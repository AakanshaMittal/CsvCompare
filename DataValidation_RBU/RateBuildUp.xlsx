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ms.ds.uhc.com\userdata\030\amitta73\Desktop\CsvCompare\"/>
    </mc:Choice>
  </mc:AlternateContent>
  <xr:revisionPtr revIDLastSave="0" documentId="13_ncr:1_{78E6C356-9B24-41F9-B9F2-B8389C029B69}" xr6:coauthVersionLast="47" xr6:coauthVersionMax="47" xr10:uidLastSave="{00000000-0000-0000-0000-000000000000}"/>
  <bookViews>
    <workbookView xWindow="0" yWindow="360" windowWidth="19420" windowHeight="11500" xr2:uid="{FC0F690C-9FC6-4A8C-B869-B1E8C57ED976}"/>
  </bookViews>
  <sheets>
    <sheet name="Rate Build-up" sheetId="1" r:id="rId1"/>
    <sheet name="Table1" sheetId="2" r:id="rId2"/>
  </sheets>
  <externalReferences>
    <externalReference r:id="rId3"/>
  </externalReferences>
  <definedNames>
    <definedName name="CustTblsExclusionYear" localSheetId="1">[1]Tables!#REF!</definedName>
    <definedName name="CustTblsExclusionYear">[1]Tables!#REF!</definedName>
    <definedName name="ExternalData_1" localSheetId="1" hidden="1">Table1!$A$1:$EN$405</definedName>
    <definedName name="input_Annual">[1]Input!$K$183</definedName>
    <definedName name="input_BidType">[1]Input!$K$98</definedName>
    <definedName name="input_BioHumiraAdj">[1]Input!$K$39</definedName>
    <definedName name="input_BiosimHumira">[1]Input!$K$38</definedName>
    <definedName name="input_BiosimStelara">[1]Input!$K$42</definedName>
    <definedName name="input_BioStelaraAdj">[1]Input!$K$43</definedName>
    <definedName name="input_client_nm">[1]Input!$K$96</definedName>
    <definedName name="input_CustomSP">[1]Input!$K$110</definedName>
    <definedName name="input_Device">[1]Input!$K$134</definedName>
    <definedName name="input_excl_custNDC">[1]Input!$K$148</definedName>
    <definedName name="input_excl_custNDC_desc">[1]Input!$M$148</definedName>
    <definedName name="input_excl_custNDC_rebates">[1]Input!$M$149</definedName>
    <definedName name="input_excl_HIV">[1]Input!$K$146</definedName>
    <definedName name="input_excl_nonRebatable">[1]Input!$K$147</definedName>
    <definedName name="input_formulary">[1]Input!$K$30</definedName>
    <definedName name="input_Formulary_Excls">[1]Input!$K$143</definedName>
    <definedName name="input_GB">[1]Input!$K$104</definedName>
    <definedName name="input_GF_NSP">[1]Input!$K$101</definedName>
    <definedName name="input_GF_NSP_mnth">[1]Input!$K$102</definedName>
    <definedName name="input_GF_SP">[1]Input!$L$101</definedName>
    <definedName name="input_GF_SP_mnth">[1]Input!$L$102</definedName>
    <definedName name="input_HepB">[1]Input!$K$113</definedName>
    <definedName name="input_HIV">[1]Input!$K$114</definedName>
    <definedName name="input_Institutional_NDCs">[1]Input!$K$142</definedName>
    <definedName name="input_Insulin">[1]Input!$K$139</definedName>
    <definedName name="input_IVIG">[1]Input!$K$115</definedName>
    <definedName name="input_LDD">[1]Input!$K$141</definedName>
    <definedName name="input_Lift">[1]Input!$K$121</definedName>
    <definedName name="input_LOB">[1]Input!$K$97</definedName>
    <definedName name="input_MCRPartBCov">[1]Input!$K$172</definedName>
    <definedName name="input_mfp">[1]Input!$K$177</definedName>
    <definedName name="input_MFP_AdjCurr">#REF!</definedName>
    <definedName name="input_MSB">[1]Input!$K$137</definedName>
    <definedName name="input_Narcolepsy">[1]Input!$K$116</definedName>
    <definedName name="input_Nausea">[1]Input!$K$117</definedName>
    <definedName name="input_NonFDA">[1]Input!$K$140</definedName>
    <definedName name="input_oGLP1">[1]Input!$K$164</definedName>
    <definedName name="input_oGLP1_Mbrs">[1]Input!$K$165</definedName>
    <definedName name="input_OTC">[1]Input!$K$133</definedName>
    <definedName name="input_PCSK9">[1]Input!$K$145</definedName>
    <definedName name="input_RebateCredit">[1]Input!$K$125</definedName>
    <definedName name="input_RebateDollars">[1]Input!$K$130</definedName>
    <definedName name="input_Repack">[1]Input!$K$136</definedName>
    <definedName name="input_rpt_name">[1]Input!$C$5</definedName>
    <definedName name="input_Shift">[1]Input!$K$123</definedName>
    <definedName name="input_SP">[1]Input!$K$105</definedName>
    <definedName name="input_spR_PCSK9">[1]Input!$K$119</definedName>
    <definedName name="input_Synthroid">[1]Input!$K$144</definedName>
    <definedName name="input_Transplant">[1]Input!$K$118</definedName>
    <definedName name="input_TS">[1]Input!$K$138</definedName>
    <definedName name="input_Vaccine">[1]Input!$K$135</definedName>
    <definedName name="input_WghtLossCov">[1]Input!$K$155</definedName>
    <definedName name="input_WghtLossCovTdy">[1]Input!$K$160</definedName>
    <definedName name="input_WghtLossEnhUM">[1]Input!$K$157</definedName>
    <definedName name="load_out">[1]Tables!$C$9</definedName>
    <definedName name="load_rates">[1]Tables!$C$11</definedName>
    <definedName name="load_shift">[1]Tables!$C$10</definedName>
    <definedName name="Medispan_w_Override_URL">[1]Tables!$BD$17</definedName>
    <definedName name="RA_base_DS">[1]Input!$L$79</definedName>
    <definedName name="RA_base_Qnty">[1]Input!$L$78</definedName>
    <definedName name="RA_base_Rx">[1]Input!$L$77</definedName>
    <definedName name="RA_FormularyList">[1]Tables!$HK$4:$HK$272</definedName>
    <definedName name="RA_input_base_end">[1]Input!$L$74</definedName>
    <definedName name="RA_input_base_mnths">[1]Input!$L$76</definedName>
    <definedName name="RA_input_base_start">[1]Input!$L$73</definedName>
    <definedName name="RA_input_BG">[1]Input!$L$64</definedName>
    <definedName name="RA_input_BG_logic_Cust_URL">[1]Input!$L$66</definedName>
    <definedName name="RA_input_client">[1]Input!$L$53</definedName>
    <definedName name="RA_input_filter">[1]Input!$L$58</definedName>
    <definedName name="RA_input_formLOB">[1]Input!$L$63</definedName>
    <definedName name="RA_input_MFPScen">[1]Input!$K$179</definedName>
    <definedName name="RA_input_MFPYear">[1]Input!$K$178</definedName>
    <definedName name="RA_input_mid">[1]Input!$L$75</definedName>
    <definedName name="RA_input_spDesc">[1]Input!$L$68</definedName>
    <definedName name="RA_input_spLOB">[1]Input!$L$67</definedName>
    <definedName name="RA_input_yr1">[1]Input!$L$81</definedName>
    <definedName name="RA_input_yr1_end">[1]Input!$L$82</definedName>
    <definedName name="RA_input_yr1_mid">[1]Input!$L$83</definedName>
    <definedName name="RA_output_file_location">[1]Tables!$C$4</definedName>
    <definedName name="rng_finA_BG">OFFSET([1]FinAlign!$G$31, 1, 0, [1]FinAlign!$E$4-ROW([1]FinAlign!$G$31), 1)</definedName>
    <definedName name="rng_finA_drg">OFFSET([1]FinAlign!$E$31, 1, 0, [1]FinAlign!$E$4-ROW([1]FinAlign!$E$31), 1)</definedName>
    <definedName name="rng_finA_excl">OFFSET([1]FinAlign!$I$31, 1, 0, [1]FinAlign!$E$4-ROW([1]FinAlign!$I$31), 1)</definedName>
    <definedName name="rng_finA_ndc">OFFSET([1]FinAlign!$D$31, 1, 0, [1]FinAlign!$E$4-ROW([1]FinAlign!$D$31), 1)</definedName>
    <definedName name="rng_finA_rbtable">OFFSET([1]FinAlign!$J$31, 1, 0, [1]FinAlign!$E$4-ROW([1]FinAlign!$J$31), 1)</definedName>
    <definedName name="rng_finA_rebateswL_yr1">OFFSET([1]FinAlign!$AC$31, 1, 0, [1]FinAlign!$E$4-ROW([1]FinAlign!$AC$31), 1)</definedName>
    <definedName name="rng_finA_rebateswL_yr2">OFFSET([1]FinAlign!$BJ$31, 1, 0, [1]FinAlign!$E$4-ROW([1]FinAlign!$BJ$31), 1)</definedName>
    <definedName name="rng_finA_rebateswL_yr3">OFFSET([1]FinAlign!$CQ$31, 1, 0, [1]FinAlign!$E$4-ROW([1]FinAlign!$CQ$31), 1)</definedName>
    <definedName name="rng_finA_rebateswL_yr4">OFFSET([1]FinAlign!$DX$31, 1, 0, [1]FinAlign!$E$4-ROW([1]FinAlign!$DX$31), 1)</definedName>
    <definedName name="rng_finA_rebateswL_yr5">OFFSET([1]FinAlign!$FE$31, 1, 0, [1]FinAlign!$E$4-ROW([1]FinAlign!$FE$31), 1)</definedName>
    <definedName name="rng_finA_scripts_base">OFFSET([1]FinAlign!$M$31, 1, 0, [1]FinAlign!$E$4-ROW([1]FinAlign!$M$31), 1)</definedName>
    <definedName name="rng_finA_scripts_yr1">OFFSET([1]FinAlign!$S$31, 1, 0, [1]FinAlign!$E$4-ROW([1]FinAlign!$S$31), 1)</definedName>
    <definedName name="rng_finA_scripts_yr2">OFFSET([1]FinAlign!$AZ$31, 1, 0, [1]FinAlign!$E$4-ROW([1]FinAlign!$AZ$31), 1)</definedName>
    <definedName name="rng_finA_scripts_yr3">OFFSET([1]FinAlign!$CG$31, 1, 0, [1]FinAlign!$E$4-ROW([1]FinAlign!$CG$31), 1)</definedName>
    <definedName name="rng_finA_scripts_yr4">OFFSET([1]FinAlign!$DN$31, 1, 0, [1]FinAlign!$E$4-ROW([1]FinAlign!$DN$31), 1)</definedName>
    <definedName name="rng_finA_scripts_yr5">OFFSET([1]FinAlign!$EU$31, 1, 0, [1]FinAlign!$E$4-ROW([1]FinAlign!$EU$31), 1)</definedName>
    <definedName name="rng_finA_scriptsrejct_yr1">OFFSET([1]FinAlign!$W$31, 1, 0, [1]FinAlign!$E$4-ROW([1]FinAlign!$W$31), 1)</definedName>
    <definedName name="rng_finA_scriptsrejct_yr2">OFFSET([1]FinAlign!$BD$31, 1, 0, [1]FinAlign!$E$4-ROW([1]FinAlign!$BD$31), 1)</definedName>
    <definedName name="rng_finA_scriptsrejct_yr3">OFFSET([1]FinAlign!$CK$31, 1, 0, [1]FinAlign!$E$4-ROW([1]FinAlign!$CK$31), 1)</definedName>
    <definedName name="rng_finA_scriptsrejct_yr4">OFFSET([1]FinAlign!$DR$31, 1, 0, [1]FinAlign!$E$4-ROW([1]FinAlign!$DR$31), 1)</definedName>
    <definedName name="rng_finA_scriptsrejct_yr5">OFFSET([1]FinAlign!$EY$31, 1, 0, [1]FinAlign!$E$4-ROW([1]FinAlign!$EY$31), 1)</definedName>
    <definedName name="rng_finA_sp">OFFSET([1]FinAlign!$H$31, 1, 0, [1]FinAlign!$E$4-ROW([1]FinAlign!$H$31), 1)</definedName>
    <definedName name="rng_finA_TC">OFFSET([1]FinAlign!$F$31, 1, 0, [1]FinAlign!$E$4-ROW([1]FinAlign!$F$31), 1)</definedName>
    <definedName name="rng_load_begin">[1]Input!$L$49</definedName>
    <definedName name="rng_load_complete">[1]Input!$L$50</definedName>
    <definedName name="rng_out_340B">OFFSET('[1]RA Output'!$Q$9, 1, 0, '[1]RA Output'!$C$4-ROW('[1]RA Output'!$Q$9), 1)</definedName>
    <definedName name="rng_out_awp_base">OFFSET('[1]RA Output'!$T$9, 1, 0, '[1]RA Output'!$C$4-ROW('[1]RA Output'!$T$9), 1)</definedName>
    <definedName name="rng_out_awp_post_final_yr1">OFFSET('[1]RA Output'!$DK$9, 1, 0, '[1]RA Output'!$C$4-ROW('[1]RA Output'!$DK$9), 1)</definedName>
    <definedName name="rng_out_awp_post_final_yr2">OFFSET('[1]RA Output'!$DL$9, 1, 0, '[1]RA Output'!$C$4-ROW('[1]RA Output'!$DL$9), 1)</definedName>
    <definedName name="rng_out_awp_post_final_yr3">OFFSET('[1]RA Output'!$DM$9, 1, 0, '[1]RA Output'!$C$4-ROW('[1]RA Output'!$DM$9), 1)</definedName>
    <definedName name="rng_out_awp_post_final_yr4">OFFSET('[1]RA Output'!$DN$9, 1, 0, '[1]RA Output'!$C$4-ROW('[1]RA Output'!$DN$9), 1)</definedName>
    <definedName name="rng_out_awp_post_final_yr5">OFFSET('[1]RA Output'!$DO$9, 1, 0, '[1]RA Output'!$C$4-ROW('[1]RA Output'!$DO$9), 1)</definedName>
    <definedName name="rng_out_awp_post_yr1">OFFSET('[1]RA Output'!$CK$9, 1, 0, '[1]RA Output'!$C$4-ROW('[1]RA Output'!$CK$9), 1)</definedName>
    <definedName name="rng_out_awp_post_yr2">OFFSET('[1]RA Output'!$CL$9, 1, 0, '[1]RA Output'!$C$4-ROW('[1]RA Output'!$CL$9), 1)</definedName>
    <definedName name="rng_out_awp_post_yr3">OFFSET('[1]RA Output'!$CM$9, 1, 0, '[1]RA Output'!$C$4-ROW('[1]RA Output'!$CM$9), 1)</definedName>
    <definedName name="rng_out_awp_post_yr4">OFFSET('[1]RA Output'!$CN$9, 1, 0, '[1]RA Output'!$C$4-ROW('[1]RA Output'!$CN$9), 1)</definedName>
    <definedName name="rng_out_awp_post_yr5">OFFSET('[1]RA Output'!$CO$9, 1, 0, '[1]RA Output'!$C$4-ROW('[1]RA Output'!$CO$9), 1)</definedName>
    <definedName name="rng_out_awp_pre_yr1">OFFSET('[1]RA Output'!$BK$9, 1, 0, '[1]RA Output'!$C$4-ROW('[1]RA Output'!$BK$9), 1)</definedName>
    <definedName name="rng_out_awp_pre_yr2">OFFSET('[1]RA Output'!$BL$9, 1, 0, '[1]RA Output'!$C$4-ROW('[1]RA Output'!$BL$9), 1)</definedName>
    <definedName name="rng_out_awp_pre_yr3">OFFSET('[1]RA Output'!$BM$9, 1, 0, '[1]RA Output'!$C$4-ROW('[1]RA Output'!$BM$9), 1)</definedName>
    <definedName name="rng_out_awp_pre_yr4">OFFSET('[1]RA Output'!$BN$9, 1, 0, '[1]RA Output'!$C$4-ROW('[1]RA Output'!$BN$9), 1)</definedName>
    <definedName name="rng_out_awp_pre_yr5">OFFSET('[1]RA Output'!$BO$9, 1, 0, '[1]RA Output'!$C$4-ROW('[1]RA Output'!$BO$9), 1)</definedName>
    <definedName name="rng_out_base_post_final_yr1">OFFSET('[1]RA Output'!$DP$9, 1, 0, '[1]RA Output'!$C$4-ROW('[1]RA Output'!$DP$9), 1)</definedName>
    <definedName name="rng_out_base_post_final_yr2">OFFSET('[1]RA Output'!$DQ$9, 1, 0, '[1]RA Output'!$C$4-ROW('[1]RA Output'!$DQ$9), 1)</definedName>
    <definedName name="rng_out_base_post_final_yr3">OFFSET('[1]RA Output'!$DR$9, 1, 0, '[1]RA Output'!$C$4-ROW('[1]RA Output'!$DR$9), 1)</definedName>
    <definedName name="rng_out_base_post_final_yr4">OFFSET('[1]RA Output'!$DS$9, 1, 0, '[1]RA Output'!$C$4-ROW('[1]RA Output'!$DS$9), 1)</definedName>
    <definedName name="rng_out_base_post_final_yr5">OFFSET('[1]RA Output'!$DT$9, 1, 0, '[1]RA Output'!$C$4-ROW('[1]RA Output'!$DT$9), 1)</definedName>
    <definedName name="rng_out_base_post_yr1">OFFSET('[1]RA Output'!$CP$9, 1, 0, '[1]RA Output'!$C$4-ROW('[1]RA Output'!$CP$9), 1)</definedName>
    <definedName name="rng_out_base_post_yr2">OFFSET('[1]RA Output'!$CQ$9, 1, 0, '[1]RA Output'!$C$4-ROW('[1]RA Output'!$CQ$9), 1)</definedName>
    <definedName name="rng_out_base_post_yr3">OFFSET('[1]RA Output'!$CR$9, 1, 0, '[1]RA Output'!$C$4-ROW('[1]RA Output'!$CR$9), 1)</definedName>
    <definedName name="rng_out_base_post_yr4">OFFSET('[1]RA Output'!$CS$9, 1, 0, '[1]RA Output'!$C$4-ROW('[1]RA Output'!$CS$9), 1)</definedName>
    <definedName name="rng_out_base_post_yr5">OFFSET('[1]RA Output'!$CT$9, 1, 0, '[1]RA Output'!$C$4-ROW('[1]RA Output'!$CT$9), 1)</definedName>
    <definedName name="rng_out_base_pre_yr1">OFFSET('[1]RA Output'!$BP$9, 1, 0, '[1]RA Output'!$C$4-ROW('[1]RA Output'!$BP$9), 1)</definedName>
    <definedName name="rng_out_base_pre_yr2">OFFSET('[1]RA Output'!$BQ$9, 1, 0, '[1]RA Output'!$C$4-ROW('[1]RA Output'!$BQ$9), 1)</definedName>
    <definedName name="rng_out_base_pre_yr3">OFFSET('[1]RA Output'!$BR$9, 1, 0, '[1]RA Output'!$C$4-ROW('[1]RA Output'!$BR$9), 1)</definedName>
    <definedName name="rng_out_base_pre_yr4">OFFSET('[1]RA Output'!$BS$9, 1, 0, '[1]RA Output'!$C$4-ROW('[1]RA Output'!$BS$9), 1)</definedName>
    <definedName name="rng_out_base_pre_yr5">OFFSET('[1]RA Output'!$BT$9, 1, 0, '[1]RA Output'!$C$4-ROW('[1]RA Output'!$BT$9), 1)</definedName>
    <definedName name="rng_out_drg">OFFSET('[1]RA Output'!$D$9, 1, 0, '[1]RA Output'!$C$4-ROW('[1]RA Output'!$D$9), 1)</definedName>
    <definedName name="rng_out_drg_nm">OFFSET('[1]RA Output'!$D$9, 1, 0, '[1]RA Output'!$C$4-ROW('[1]RA Output'!$D$9), 1)</definedName>
    <definedName name="rng_out_drg_type">OFFSET('[1]RA Output'!$E$9, 1, 0, '[1]RA Output'!$C$4-ROW('[1]RA Output'!$E$9), 1)</definedName>
    <definedName name="rng_out_ds">OFFSET('[1]RA Output'!$K$9, 1, 0, '[1]RA Output'!$C$4-ROW('[1]RA Output'!$K$9), 1)</definedName>
    <definedName name="rng_out_ds_base">OFFSET('[1]RA Output'!$S$9, 1, 0, '[1]RA Output'!$C$4-ROW('[1]RA Output'!$S$9), 1)</definedName>
    <definedName name="rng_out_excl_cd">OFFSET('[1]RA Output'!$M$9, 1, 0, '[1]RA Output'!$C$4-ROW('[1]RA Output'!$M$9), 1)</definedName>
    <definedName name="rng_out_form_id">OFFSET('[1]RA Output'!$B$9, 1, 0, '[1]RA Output'!$C$4-ROW('[1]RA Output'!$B$9), 1)</definedName>
    <definedName name="rng_out_GB_Alt">OFFSET('[1]RA Output'!$G$9, 1, 0, '[1]RA Output'!$C$4-ROW('[1]RA Output'!$G$9), 1)</definedName>
    <definedName name="rng_out_GB_Medispan">OFFSET('[1]RA Output'!$F$9, 1, 0, '[1]RA Output'!$C$4-ROW('[1]RA Output'!$F$9), 1)</definedName>
    <definedName name="rng_out_maf_post_final_yr1">OFFSET('[1]RA Output'!$DU$9, 1, 0, '[1]RA Output'!$C$4-ROW('[1]RA Output'!$DU$9), 1)</definedName>
    <definedName name="rng_out_maf_post_final_yr2">OFFSET('[1]RA Output'!$DV$9, 1, 0, '[1]RA Output'!$C$4-ROW('[1]RA Output'!$DV$9), 1)</definedName>
    <definedName name="rng_out_maf_post_final_yr3">OFFSET('[1]RA Output'!$DW$9, 1, 0, '[1]RA Output'!$C$4-ROW('[1]RA Output'!$DW$9), 1)</definedName>
    <definedName name="rng_out_maf_post_final_yr4">OFFSET('[1]RA Output'!$DX$9, 1, 0, '[1]RA Output'!$C$4-ROW('[1]RA Output'!$DX$9), 1)</definedName>
    <definedName name="rng_out_maf_post_final_yr5">OFFSET('[1]RA Output'!$DY$9, 1, 0, '[1]RA Output'!$C$4-ROW('[1]RA Output'!$DY$9), 1)</definedName>
    <definedName name="rng_out_maf_post_yr1">OFFSET('[1]RA Output'!$CU$9, 1, 0, '[1]RA Output'!$C$4-ROW('[1]RA Output'!$CU$9), 1)</definedName>
    <definedName name="rng_out_maf_post_yr2">OFFSET('[1]RA Output'!$CV$9, 1, 0, '[1]RA Output'!$C$4-ROW('[1]RA Output'!$CV$9), 1)</definedName>
    <definedName name="rng_out_maf_post_yr3">OFFSET('[1]RA Output'!$CW$9, 1, 0, '[1]RA Output'!$C$4-ROW('[1]RA Output'!$CW$9), 1)</definedName>
    <definedName name="rng_out_maf_post_yr4">OFFSET('[1]RA Output'!$CX$9, 1, 0, '[1]RA Output'!$C$4-ROW('[1]RA Output'!$CX$9), 1)</definedName>
    <definedName name="rng_out_maf_post_yr5">OFFSET('[1]RA Output'!$CY$9, 1, 0, '[1]RA Output'!$C$4-ROW('[1]RA Output'!$CY$9), 1)</definedName>
    <definedName name="rng_out_maf_pre_yr1">OFFSET('[1]RA Output'!$BU$9, 1, 0, '[1]RA Output'!$C$4-ROW('[1]RA Output'!$BU$9), 1)</definedName>
    <definedName name="rng_out_maf_pre_yr2">OFFSET('[1]RA Output'!$BV$9, 1, 0, '[1]RA Output'!$C$4-ROW('[1]RA Output'!$BV$9), 1)</definedName>
    <definedName name="rng_out_maf_pre_yr3">OFFSET('[1]RA Output'!$BW$9, 1, 0, '[1]RA Output'!$C$4-ROW('[1]RA Output'!$BW$9), 1)</definedName>
    <definedName name="rng_out_maf_pre_yr4">OFFSET('[1]RA Output'!$BX$9, 1, 0, '[1]RA Output'!$C$4-ROW('[1]RA Output'!$BX$9), 1)</definedName>
    <definedName name="rng_out_maf_pre_yr5">OFFSET('[1]RA Output'!$BY$9, 1, 0, '[1]RA Output'!$C$4-ROW('[1]RA Output'!$BY$9), 1)</definedName>
    <definedName name="rng_out_mafadj_post_yr1">OFFSET('[1]RA Output'!$FI$9, 1, 0, '[1]RA Output'!$C$4-ROW('[1]RA Output'!$FI$9), 1)</definedName>
    <definedName name="rng_out_mafadj_post_yr2">OFFSET('[1]RA Output'!$FJ$9, 1, 0, '[1]RA Output'!$C$4-ROW('[1]RA Output'!$FJ$9), 1)</definedName>
    <definedName name="rng_out_mafadj_post_yr3">OFFSET('[1]RA Output'!$FK$9, 1, 0, '[1]RA Output'!$C$4-ROW('[1]RA Output'!$FK$9), 1)</definedName>
    <definedName name="rng_out_mafadj_post_yr4">OFFSET('[1]RA Output'!$FL$9, 1, 0, '[1]RA Output'!$C$4-ROW('[1]RA Output'!$FL$9), 1)</definedName>
    <definedName name="rng_out_mafadj_post_yr5">OFFSET('[1]RA Output'!$FM$9, 1, 0, '[1]RA Output'!$C$4-ROW('[1]RA Output'!$FM$9), 1)</definedName>
    <definedName name="rng_out_mafadj_pre_yr1">OFFSET('[1]RA Output'!$FC$9, 1, 0, '[1]RA Output'!$C$4-ROW('[1]RA Output'!$FC$9), 1)</definedName>
    <definedName name="rng_out_mafadj_pre_yr2">OFFSET('[1]RA Output'!$FD$9, 1, 0, '[1]RA Output'!$C$4-ROW('[1]RA Output'!$FD$9), 1)</definedName>
    <definedName name="rng_out_mafadj_pre_yr3">OFFSET('[1]RA Output'!$FE$9, 1, 0, '[1]RA Output'!$C$4-ROW('[1]RA Output'!$FE$9), 1)</definedName>
    <definedName name="rng_out_mafadj_pre_yr4">OFFSET('[1]RA Output'!$FF$9, 1, 0, '[1]RA Output'!$C$4-ROW('[1]RA Output'!$FF$9), 1)</definedName>
    <definedName name="rng_out_mafadj_pre_yr5">OFFSET('[1]RA Output'!$FG$9, 1, 0, '[1]RA Output'!$C$4-ROW('[1]RA Output'!$FG$9), 1)</definedName>
    <definedName name="rng_out_mail_ind">OFFSET('[1]RA Output'!$J$9, 1, 0, '[1]RA Output'!$C$4-ROW('[1]RA Output'!$J$9), 1)</definedName>
    <definedName name="rng_out_maint">OFFSET('[1]RA Output'!$P$9, 1, 0, '[1]RA Output'!$C$4-ROW('[1]RA Output'!$P$9), 1)</definedName>
    <definedName name="rng_out_MSB_excl">OFFSET('[1]RA Output'!$O$9, 1, 0, '[1]RA Output'!$C$4-ROW('[1]RA Output'!$O$9), 1)</definedName>
    <definedName name="rng_out_ndc">OFFSET('[1]RA Output'!$C$9, 1, 0, '[1]RA Output'!$C$4-ROW('[1]RA Output'!$C$9), 1)</definedName>
    <definedName name="rng_out_post_reb_ind_yr1">OFFSET('[1]RA Output'!$EQ$9, 1, 0, '[1]RA Output'!$C$4-ROW('[1]RA Output'!$EQ$9), 1)</definedName>
    <definedName name="rng_out_post_reb_ind_yr2">OFFSET('[1]RA Output'!$ER$9, 1, 0, '[1]RA Output'!$C$4-ROW('[1]RA Output'!$ER$9), 1)</definedName>
    <definedName name="rng_out_post_reb_ind_yr3">OFFSET('[1]RA Output'!$ES$9, 1, 0, '[1]RA Output'!$C$4-ROW('[1]RA Output'!$ES$9), 1)</definedName>
    <definedName name="rng_out_post_reb_ind_yr4">OFFSET('[1]RA Output'!$ET$9, 1, 0, '[1]RA Output'!$C$4-ROW('[1]RA Output'!$ET$9), 1)</definedName>
    <definedName name="rng_out_post_reb_ind_yr5">OFFSET('[1]RA Output'!$EU$9, 1, 0, '[1]RA Output'!$C$4-ROW('[1]RA Output'!$EU$9), 1)</definedName>
    <definedName name="rng_out_ppa_post_final_yr1">OFFSET('[1]RA Output'!$EE$9, 1, 0, '[1]RA Output'!$C$4-ROW('[1]RA Output'!$EE$9), 1)</definedName>
    <definedName name="rng_out_ppa_post_final_yr2">OFFSET('[1]RA Output'!$EF$9, 1, 0, '[1]RA Output'!$C$4-ROW('[1]RA Output'!$EF$9), 1)</definedName>
    <definedName name="rng_out_ppa_post_final_yr3">OFFSET('[1]RA Output'!$EG$9, 1, 0, '[1]RA Output'!$C$4-ROW('[1]RA Output'!$EG$9), 1)</definedName>
    <definedName name="rng_out_ppa_post_final_yr4">OFFSET('[1]RA Output'!$EH$9, 1, 0, '[1]RA Output'!$C$4-ROW('[1]RA Output'!$EH$9), 1)</definedName>
    <definedName name="rng_out_ppa_post_final_yr5">OFFSET('[1]RA Output'!$EI$9, 1, 0, '[1]RA Output'!$C$4-ROW('[1]RA Output'!$EI$9), 1)</definedName>
    <definedName name="rng_out_ppa_post_yr1">OFFSET('[1]RA Output'!$DE$9, 1, 0, '[1]RA Output'!$C$4-ROW('[1]RA Output'!$DE$9), 1)</definedName>
    <definedName name="rng_out_ppa_post_yr2">OFFSET('[1]RA Output'!$DF$9, 1, 0, '[1]RA Output'!$C$4-ROW('[1]RA Output'!$DF$9), 1)</definedName>
    <definedName name="rng_out_ppa_post_yr3">OFFSET('[1]RA Output'!$DG$9, 1, 0, '[1]RA Output'!$C$4-ROW('[1]RA Output'!$DG$9), 1)</definedName>
    <definedName name="rng_out_ppa_post_yr4">OFFSET('[1]RA Output'!$DH$9, 1, 0, '[1]RA Output'!$C$4-ROW('[1]RA Output'!$DH$9), 1)</definedName>
    <definedName name="rng_out_ppa_post_yr5">OFFSET('[1]RA Output'!$DI$9, 1, 0, '[1]RA Output'!$C$4-ROW('[1]RA Output'!$DI$9), 1)</definedName>
    <definedName name="rng_out_ppa_pre_yr1">OFFSET('[1]RA Output'!$CE$9, 1, 0, '[1]RA Output'!$C$4-ROW('[1]RA Output'!$CE$9), 1)</definedName>
    <definedName name="rng_out_ppa_pre_yr2">OFFSET('[1]RA Output'!$CF$9, 1, 0, '[1]RA Output'!$C$4-ROW('[1]RA Output'!$CF$9), 1)</definedName>
    <definedName name="rng_out_ppa_pre_yr3">OFFSET('[1]RA Output'!$CG$9, 1, 0, '[1]RA Output'!$C$4-ROW('[1]RA Output'!$CG$9), 1)</definedName>
    <definedName name="rng_out_ppa_pre_yr4">OFFSET('[1]RA Output'!$CH$9, 1, 0, '[1]RA Output'!$C$4-ROW('[1]RA Output'!$CH$9), 1)</definedName>
    <definedName name="rng_out_ppa_pre_yr5">OFFSET('[1]RA Output'!$CI$9, 1, 0, '[1]RA Output'!$C$4-ROW('[1]RA Output'!$CI$9), 1)</definedName>
    <definedName name="rng_out_ppl_post_final_yr1">OFFSET('[1]RA Output'!$DZ$9, 1, 0, '[1]RA Output'!$C$4-ROW('[1]RA Output'!$DZ$9), 1)</definedName>
    <definedName name="rng_out_ppl_post_final_yr2">OFFSET('[1]RA Output'!$EA$9, 1, 0, '[1]RA Output'!$C$4-ROW('[1]RA Output'!$EA$9), 1)</definedName>
    <definedName name="rng_out_ppl_post_final_yr3">OFFSET('[1]RA Output'!$EB$9, 1, 0, '[1]RA Output'!$C$4-ROW('[1]RA Output'!$EB$9), 1)</definedName>
    <definedName name="rng_out_ppl_post_final_yr4">OFFSET('[1]RA Output'!$EC$9, 1, 0, '[1]RA Output'!$C$4-ROW('[1]RA Output'!$EC$9), 1)</definedName>
    <definedName name="rng_out_ppl_post_final_yr5">OFFSET('[1]RA Output'!$ED$9, 1, 0, '[1]RA Output'!$C$4-ROW('[1]RA Output'!$ED$9), 1)</definedName>
    <definedName name="rng_out_ppl_post_yr1">OFFSET('[1]RA Output'!$CZ$9, 1, 0, '[1]RA Output'!$C$4-ROW('[1]RA Output'!$CZ$9), 1)</definedName>
    <definedName name="rng_out_ppl_post_yr2">OFFSET('[1]RA Output'!$DA$9, 1, 0, '[1]RA Output'!$C$4-ROW('[1]RA Output'!$DA$9), 1)</definedName>
    <definedName name="rng_out_ppl_post_yr3">OFFSET('[1]RA Output'!$DB$9, 1, 0, '[1]RA Output'!$C$4-ROW('[1]RA Output'!$DB$9), 1)</definedName>
    <definedName name="rng_out_ppl_post_yr4">OFFSET('[1]RA Output'!$DC$9, 1, 0, '[1]RA Output'!$C$4-ROW('[1]RA Output'!$DC$9), 1)</definedName>
    <definedName name="rng_out_ppl_post_yr5">OFFSET('[1]RA Output'!$DD$9, 1, 0, '[1]RA Output'!$C$4-ROW('[1]RA Output'!$DD$9), 1)</definedName>
    <definedName name="rng_out_ppl_pre_yr1">OFFSET('[1]RA Output'!$BZ$9, 1, 0, '[1]RA Output'!$C$4-ROW('[1]RA Output'!$BZ$9), 1)</definedName>
    <definedName name="rng_out_ppl_pre_yr2">OFFSET('[1]RA Output'!$CA$9, 1, 0, '[1]RA Output'!$C$4-ROW('[1]RA Output'!$CA$9), 1)</definedName>
    <definedName name="rng_out_ppl_pre_yr3">OFFSET('[1]RA Output'!$CB$9, 1, 0, '[1]RA Output'!$C$4-ROW('[1]RA Output'!$CB$9), 1)</definedName>
    <definedName name="rng_out_ppl_pre_yr4">OFFSET('[1]RA Output'!$CC$9, 1, 0, '[1]RA Output'!$C$4-ROW('[1]RA Output'!$CC$9), 1)</definedName>
    <definedName name="rng_out_ppl_pre_yr5">OFFSET('[1]RA Output'!$CD$9, 1, 0, '[1]RA Output'!$C$4-ROW('[1]RA Output'!$CD$9), 1)</definedName>
    <definedName name="rng_out_qty_base">OFFSET('[1]RA Output'!$AA$9, 1, 0, '[1]RA Output'!$C$4-ROW('[1]RA Output'!$AA$9), 1)</definedName>
    <definedName name="rng_out_qty_post_yr1">OFFSET('[1]RA Output'!$BE$9, 1, 0, '[1]RA Output'!$C$4-ROW('[1]RA Output'!$BE$9), 1)</definedName>
    <definedName name="rng_out_qty_post_yr2">OFFSET('[1]RA Output'!$BF$9, 1, 0, '[1]RA Output'!$C$4-ROW('[1]RA Output'!$BF$9), 1)</definedName>
    <definedName name="rng_out_qty_post_yr3">OFFSET('[1]RA Output'!$BG$9, 1, 0, '[1]RA Output'!$C$4-ROW('[1]RA Output'!$BG$9), 1)</definedName>
    <definedName name="rng_out_qty_post_yr4">OFFSET('[1]RA Output'!$BH$9, 1, 0, '[1]RA Output'!$C$4-ROW('[1]RA Output'!$BH$9), 1)</definedName>
    <definedName name="rng_out_qty_post_yr5">OFFSET('[1]RA Output'!$BI$9, 1, 0, '[1]RA Output'!$C$4-ROW('[1]RA Output'!$BI$9), 1)</definedName>
    <definedName name="rng_out_qty_pre_yr1">OFFSET('[1]RA Output'!$AB$9, 1, 0, '[1]RA Output'!$C$4-ROW('[1]RA Output'!$AB$9), 1)</definedName>
    <definedName name="rng_out_qty_pre_yr2">OFFSET('[1]RA Output'!$AC$9, 1, 0, '[1]RA Output'!$C$4-ROW('[1]RA Output'!$AC$9), 1)</definedName>
    <definedName name="rng_out_qty_pre_yr3">OFFSET('[1]RA Output'!$AD$9, 1, 0, '[1]RA Output'!$C$4-ROW('[1]RA Output'!$AD$9), 1)</definedName>
    <definedName name="rng_out_qty_pre_yr4">OFFSET('[1]RA Output'!$AE$9, 1, 0, '[1]RA Output'!$C$4-ROW('[1]RA Output'!$AE$9), 1)</definedName>
    <definedName name="rng_out_qty_pre_yr5">OFFSET('[1]RA Output'!$AF$9, 1, 0, '[1]RA Output'!$C$4-ROW('[1]RA Output'!$AF$9), 1)</definedName>
    <definedName name="rng_out_Rwac_post_yr1">OFFSET('[1]RA Output'!$EW$9, 1, 0, '[1]RA Output'!$C$4-ROW('[1]RA Output'!$EW$9), 1)</definedName>
    <definedName name="rng_out_Rwac_post_yr2">OFFSET('[1]RA Output'!$EX$9, 1, 0, '[1]RA Output'!$C$4-ROW('[1]RA Output'!$EX$9), 1)</definedName>
    <definedName name="rng_out_Rwac_post_yr3">OFFSET('[1]RA Output'!$EY$9, 1, 0, '[1]RA Output'!$C$4-ROW('[1]RA Output'!$EY$9), 1)</definedName>
    <definedName name="rng_out_Rwac_post_yr4">OFFSET('[1]RA Output'!$EZ$9, 1, 0, '[1]RA Output'!$C$4-ROW('[1]RA Output'!$EZ$9), 1)</definedName>
    <definedName name="rng_out_Rwac_post_yr5">OFFSET('[1]RA Output'!$FA$9, 1, 0, '[1]RA Output'!$C$4-ROW('[1]RA Output'!$FA$9), 1)</definedName>
    <definedName name="rng_out_rx_base">OFFSET('[1]RA Output'!$U$9, 1, 0, '[1]RA Output'!$C$4-ROW('[1]RA Output'!$U$9), 1)</definedName>
    <definedName name="rng_out_rx_post_yr1">OFFSET('[1]RA Output'!$AZ$9, 1, 0, '[1]RA Output'!$C$4-ROW('[1]RA Output'!$AZ$9), 1)</definedName>
    <definedName name="rng_out_rx_post_yr2">OFFSET('[1]RA Output'!$BA$9, 1, 0, '[1]RA Output'!$C$4-ROW('[1]RA Output'!$BA$9), 1)</definedName>
    <definedName name="rng_out_rx_post_yr3">OFFSET('[1]RA Output'!$BB$9, 1, 0, '[1]RA Output'!$C$4-ROW('[1]RA Output'!$BB$9), 1)</definedName>
    <definedName name="rng_out_rx_post_yr4">OFFSET('[1]RA Output'!$BC$9, 1, 0, '[1]RA Output'!$C$4-ROW('[1]RA Output'!$BC$9), 1)</definedName>
    <definedName name="rng_out_rx_post_yr5">OFFSET('[1]RA Output'!$BD$9, 1, 0, '[1]RA Output'!$C$4-ROW('[1]RA Output'!$BD$9), 1)</definedName>
    <definedName name="rng_out_rx_pre_yr1">OFFSET('[1]RA Output'!$V$9, 1, 0, '[1]RA Output'!$C$4-ROW('[1]RA Output'!$V$9), 1)</definedName>
    <definedName name="rng_out_rx_pre_yr2">OFFSET('[1]RA Output'!$W$9, 1, 0, '[1]RA Output'!$C$4-ROW('[1]RA Output'!$W$9), 1)</definedName>
    <definedName name="rng_out_rx_pre_yr3">OFFSET('[1]RA Output'!$X$9, 1, 0, '[1]RA Output'!$C$4-ROW('[1]RA Output'!$X$9), 1)</definedName>
    <definedName name="rng_out_rx_pre_yr4">OFFSET('[1]RA Output'!$Y$9, 1, 0, '[1]RA Output'!$C$4-ROW('[1]RA Output'!$Y$9), 1)</definedName>
    <definedName name="rng_out_rx_pre_yr5">OFFSET('[1]RA Output'!$Z$9, 1, 0, '[1]RA Output'!$C$4-ROW('[1]RA Output'!$Z$9), 1)</definedName>
    <definedName name="rng_out_sel_excl_desc">OFFSET('[1]RA Output'!$AU$9, 1, 0, '[1]RA Output'!$C$4-ROW('[1]RA Output'!$AU$9), 1)</definedName>
    <definedName name="rng_out_sel_excl_ind">OFFSET('[1]RA Output'!$AT$9, 1, 0, '[1]RA Output'!$C$4-ROW('[1]RA Output'!$AT$9), 1)</definedName>
    <definedName name="rng_out_sel_excl_yr_ind">OFFSET('[1]RA Output'!$AV$9, 1, 0, '[1]RA Output'!$C$4-ROW('[1]RA Output'!$AV$9), 1)</definedName>
    <definedName name="rng_out_sel_G_ind">OFFSET('[1]RA Output'!$AW$9, 1, 0, '[1]RA Output'!$C$4-ROW('[1]RA Output'!$AW$9), 1)</definedName>
    <definedName name="rng_out_sel_sp_incl_cd">OFFSET('[1]RA Output'!$N$9, 1, 0, '[1]RA Output'!$C$4-ROW('[1]RA Output'!$N$9), 1)</definedName>
    <definedName name="rng_out_sel_sp_incl_ind">OFFSET('[1]RA Output'!$AY$9, 1, 0, '[1]RA Output'!$C$4-ROW('[1]RA Output'!$AY$9), 1)</definedName>
    <definedName name="rng_out_sel_sp_ind">OFFSET('[1]RA Output'!$AX$9, 1, 0, '[1]RA Output'!$C$4-ROW('[1]RA Output'!$AX$9), 1)</definedName>
    <definedName name="rng_out_SP_Alt">OFFSET('[1]RA Output'!$I$9, 1, 0, '[1]RA Output'!$C$4-ROW('[1]RA Output'!$I$9), 1)</definedName>
    <definedName name="rng_out_SP_Briova">OFFSET('[1]RA Output'!$H$9, 1, 0, '[1]RA Output'!$C$4-ROW('[1]RA Output'!$H$9), 1)</definedName>
    <definedName name="rng_out_sp_ind_lookup">OFFSET('[1]RA Output'!$C$9, 1, 0, '[1]RA Output'!$C$4-ROW('[1]RA Output'!$C$9), COLUMN('[1]RA Output'!$AX$9)-COLUMN('[1]RA Output'!$C$9)+1)</definedName>
    <definedName name="rng_out_TClass">OFFSET('[1]RA Output'!$R$9, 1, 0, '[1]RA Output'!$C$4-ROW('[1]RA Output'!$R$9), 1)</definedName>
    <definedName name="rng_out_TOTAL_rebate_final_y1">OFFSET('[1]RA Output'!$EK$9, 1, 0, '[1]RA Output'!$C$4-ROW('[1]RA Output'!$EK$9), 1)</definedName>
    <definedName name="rng_out_TOTAL_rebate_final_y2">OFFSET('[1]RA Output'!$EL$9, 1, 0, '[1]RA Output'!$C$4-ROW('[1]RA Output'!$EL$9), 1)</definedName>
    <definedName name="rng_out_TOTAL_rebate_final_y3">OFFSET('[1]RA Output'!$EM$9, 1, 0, '[1]RA Output'!$C$4-ROW('[1]RA Output'!$EM$9), 1)</definedName>
    <definedName name="rng_out_TOTAL_rebate_final_y4">OFFSET('[1]RA Output'!$EN$9, 1, 0, '[1]RA Output'!$C$4-ROW('[1]RA Output'!$EN$9), 1)</definedName>
    <definedName name="rng_out_TOTAL_rebate_final_y5">OFFSET('[1]RA Output'!$EO$9, 1, 0, '[1]RA Output'!$C$4-ROW('[1]RA Output'!$EO$9), 1)</definedName>
    <definedName name="rng_out_TOTAL_rebate_preMFP_yr1">OFFSET('[1]RA Output'!$GS$9, 1, 0, '[1]RA Output'!$C$4-ROW('[1]RA Output'!$GS$9), 1)</definedName>
    <definedName name="rng_out_TOTAL_rebate_preMFP_yr2">OFFSET('[1]RA Output'!$GT$9, 1, 0, '[1]RA Output'!$C$4-ROW('[1]RA Output'!$GT$9), 1)</definedName>
    <definedName name="rng_out_TOTAL_rebate_preMFP_yr3">OFFSET('[1]RA Output'!$GU$9, 1, 0, '[1]RA Output'!$C$4-ROW('[1]RA Output'!$GU$9), 1)</definedName>
    <definedName name="rng_out_TOTAL_rebate_preMFP_yr4">OFFSET('[1]RA Output'!$GV$9, 1, 0, '[1]RA Output'!$C$4-ROW('[1]RA Output'!$GV$9), 1)</definedName>
    <definedName name="rng_out_TOTAL_rebate_preMFP_yr5">OFFSET('[1]RA Output'!$GW$9, 1, 0, '[1]RA Output'!$C$4-ROW('[1]RA Output'!$GW$9), 1)</definedName>
    <definedName name="rng_pasteID">'[1]Output| Specialty RPT'!$D$13</definedName>
    <definedName name="rng_rank_drgNR_Mail">OFFSET('[1]DrgRank (NonRebatable)'!$I$11, 1, 0, '[1]DrgRank (NonRebatable)'!$C$2-ROW('[1]DrgRank (NonRebatable)'!$I$11), 1)</definedName>
    <definedName name="rng_rank_drgNR_Mail_lup">OFFSET('[1]DrgRank (NonRebatable)'!$N$11, 1, 0, '[1]DrgRank (NonRebatable)'!$C$2-ROW('[1]DrgRank (NonRebatable)'!$N$11), 1)</definedName>
    <definedName name="rng_rank_drgNR_name">OFFSET('[1]DrgRank (NonRebatable)'!$B$11, 1, 0, '[1]DrgRank (NonRebatable)'!$C$2-ROW('[1]DrgRank (NonRebatable)'!$B$11), 1)</definedName>
    <definedName name="rng_rank_drgNR_Overall">OFFSET('[1]DrgRank (NonRebatable)'!$F$11, 1, 0, '[1]DrgRank (NonRebatable)'!$C$2-ROW('[1]DrgRank (NonRebatable)'!$F$11), 1)</definedName>
    <definedName name="rng_rank_drgNR_Overall_lup">OFFSET('[1]DrgRank (NonRebatable)'!$K$11, 1, 0, '[1]DrgRank (NonRebatable)'!$C$2-ROW('[1]DrgRank (NonRebatable)'!$K$11), 1)</definedName>
    <definedName name="rng_rank_drgNR_R30">OFFSET('[1]DrgRank (NonRebatable)'!$G$11, 1, 0, '[1]DrgRank (NonRebatable)'!$C$2-ROW('[1]DrgRank (NonRebatable)'!$G$11), 1)</definedName>
    <definedName name="rng_rank_drgNR_R30_lup">OFFSET('[1]DrgRank (NonRebatable)'!$L$11, 1, 0, '[1]DrgRank (NonRebatable)'!$C$2-ROW('[1]DrgRank (NonRebatable)'!$L$11), 1)</definedName>
    <definedName name="rng_rank_drgNR_R90">OFFSET('[1]DrgRank (NonRebatable)'!$H$11, 1, 0, '[1]DrgRank (NonRebatable)'!$C$2-ROW('[1]DrgRank (NonRebatable)'!$H$11), 1)</definedName>
    <definedName name="rng_rank_drgNR_R90_lup">OFFSET('[1]DrgRank (NonRebatable)'!$M$11, 1, 0, '[1]DrgRank (NonRebatable)'!$C$2-ROW('[1]DrgRank (NonRebatable)'!$M$11), 1)</definedName>
    <definedName name="rng_rank_drgNR_RebInd">OFFSET('[1]DrgRank (NonRebatable)'!$E$11, 1, 0, '[1]DrgRank (NonRebatable)'!$C$2-ROW('[1]DrgRank (NonRebatable)'!$E$11), 1)</definedName>
    <definedName name="rng_rank_drgNR_sel_G_ind">OFFSET('[1]DrgRank (NonRebatable)'!$D$11, 1, 0, '[1]DrgRank (NonRebatable)'!$C$2-ROW('[1]DrgRank (NonRebatable)'!$D$11), 1)</definedName>
    <definedName name="rng_rank_drgNR_Specialty">OFFSET('[1]DrgRank (NonRebatable)'!$J$11, 1, 0, '[1]DrgRank (NonRebatable)'!$C$2-ROW('[1]DrgRank (NonRebatable)'!$J$11), 1)</definedName>
    <definedName name="rng_rank_drgNR_Specialty_lup">OFFSET('[1]DrgRank (NonRebatable)'!$O$11, 1, 0, '[1]DrgRank (NonRebatable)'!$C$2-ROW('[1]DrgRank (NonRebatable)'!$O$11), 1)</definedName>
    <definedName name="rng_rank_drgNR_start">'[1]DrgRank (NonRebatable)'!$B$12</definedName>
    <definedName name="rng_rank_drgNR_TClass">OFFSET('[1]DrgRank (NonRebatable)'!$C$11, 1, 0, '[1]DrgRank (NonRebatable)'!$C$2-ROW('[1]DrgRank (NonRebatable)'!$C$11), 1)</definedName>
    <definedName name="rng_rank_drgR_Mail">OFFSET('[1]DrgRank (Rebatable)'!$I$11, 1, 0, '[1]DrgRank (Rebatable)'!$C$2-ROW('[1]DrgRank (Rebatable)'!$I$11), 1)</definedName>
    <definedName name="rng_rank_drgR_Mail_lup">OFFSET('[1]DrgRank (Rebatable)'!$N$11, 1, 0, '[1]DrgRank (Rebatable)'!$C$2-ROW('[1]DrgRank (Rebatable)'!$N$11), 1)</definedName>
    <definedName name="rng_rank_drgR_name">OFFSET('[1]DrgRank (Rebatable)'!$B$11, 1, 0, '[1]DrgRank (Rebatable)'!$C$2-ROW('[1]DrgRank (Rebatable)'!$B$11), 1)</definedName>
    <definedName name="rng_rank_drgR_Overall">OFFSET('[1]DrgRank (Rebatable)'!$F$11, 1, 0, '[1]DrgRank (Rebatable)'!$C$2-ROW('[1]DrgRank (Rebatable)'!$F$11), 1)</definedName>
    <definedName name="rng_rank_drgR_Overall_lup">OFFSET('[1]DrgRank (Rebatable)'!$K$11, 1, 0, '[1]DrgRank (Rebatable)'!$C$2-ROW('[1]DrgRank (Rebatable)'!$K$11), 1)</definedName>
    <definedName name="rng_rank_drgR_R30">OFFSET('[1]DrgRank (Rebatable)'!$G$11, 1, 0, '[1]DrgRank (Rebatable)'!$C$2-ROW('[1]DrgRank (Rebatable)'!$G$11), 1)</definedName>
    <definedName name="rng_rank_drgR_R30_lup">OFFSET('[1]DrgRank (Rebatable)'!$L$11, 1, 0, '[1]DrgRank (Rebatable)'!$C$2-ROW('[1]DrgRank (Rebatable)'!$L$11), 1)</definedName>
    <definedName name="rng_rank_drgR_R90">OFFSET('[1]DrgRank (Rebatable)'!$H$11, 1, 0, '[1]DrgRank (Rebatable)'!$C$2-ROW('[1]DrgRank (Rebatable)'!$H$11), 1)</definedName>
    <definedName name="rng_rank_drgR_R90_lup">OFFSET('[1]DrgRank (Rebatable)'!$M$11, 1, 0, '[1]DrgRank (Rebatable)'!$C$2-ROW('[1]DrgRank (Rebatable)'!$M$11), 1)</definedName>
    <definedName name="rng_rank_drgR_RebInd">OFFSET('[1]DrgRank (Rebatable)'!$E$11, 1, 0, '[1]DrgRank (Rebatable)'!$C$2-ROW('[1]DrgRank (Rebatable)'!$E$11), 1)</definedName>
    <definedName name="rng_rank_drgR_sel_G_ind">OFFSET('[1]DrgRank (Rebatable)'!$D$11, 1, 0, '[1]DrgRank (Rebatable)'!$C$2-ROW('[1]DrgRank (Rebatable)'!$D$11), 1)</definedName>
    <definedName name="rng_rank_drgR_Specialty">OFFSET('[1]DrgRank (Rebatable)'!$J$11, 1, 0, '[1]DrgRank (Rebatable)'!$C$2-ROW('[1]DrgRank (Rebatable)'!$J$11), 1)</definedName>
    <definedName name="rng_rank_drgR_Specialty_lup">OFFSET('[1]DrgRank (Rebatable)'!$O$11, 1, 0, '[1]DrgRank (Rebatable)'!$C$2-ROW('[1]DrgRank (Rebatable)'!$O$11), 1)</definedName>
    <definedName name="rng_rank_drgR_start">'[1]DrgRank (Rebatable)'!$B$12</definedName>
    <definedName name="rng_rank_drgR_TClass">OFFSET('[1]DrgRank (Rebatable)'!$C$11, 1, 0, '[1]DrgRank (Rebatable)'!$C$2-ROW('[1]DrgRank (Rebatable)'!$C$11), 1)</definedName>
    <definedName name="rng_rank_TC_formulas_01">[1]TCRank!$E$14</definedName>
    <definedName name="rng_rank_TC_Ind">OFFSET([1]TCRank!$E$13, 1, 0, [1]TCRank!$C$2-ROW([1]TCRank!$E$13), 1)</definedName>
    <definedName name="rng_rank_TC_NSP_awp">OFFSET([1]TCRank!$J$13, 1, 0, [1]TCRank!$C$2-ROW([1]TCRank!$J$13), 1)</definedName>
    <definedName name="rng_rank_TC_NSP_AWP_lup">OFFSET([1]TCRank!$S$13, 1, 0, [1]TCRank!$C$2-ROW([1]TCRank!$S$13), 1)</definedName>
    <definedName name="rng_rank_TC_NSP_FRb_lup">OFFSET([1]TCRank!$M$13, 1, 0, [1]TCRank!$C$2-ROW([1]TCRank!$M$13), 1)</definedName>
    <definedName name="rng_rank_TC_NSP_Rb_lup">OFFSET([1]TCRank!$P$13, 1, 0, [1]TCRank!$C$2-ROW([1]TCRank!$P$13), 1)</definedName>
    <definedName name="rng_rank_TC_NSP_rebates">OFFSET([1]TCRank!$G$13, 1, 0, [1]TCRank!$C$2-ROW([1]TCRank!$G$13), 1)</definedName>
    <definedName name="rng_rank_TC_Overall_awp">OFFSET([1]TCRank!$I$13, 1, 0, [1]TCRank!$C$2-ROW([1]TCRank!$I$13), 1)</definedName>
    <definedName name="rng_rank_TC_Overall_AWP_lup">OFFSET([1]TCRank!$R$13, 1, 0, [1]TCRank!$C$2-ROW([1]TCRank!$R$13), 1)</definedName>
    <definedName name="rng_rank_TC_Overall_FRb_lup">OFFSET([1]TCRank!$L$13, 1, 0, [1]TCRank!$C$2-ROW([1]TCRank!$L$13), 1)</definedName>
    <definedName name="rng_rank_TC_Overall_Rb_lup">OFFSET([1]TCRank!$O$13, 1, 0, [1]TCRank!$C$2-ROW([1]TCRank!$O$13), 1)</definedName>
    <definedName name="rng_rank_TC_Overall_rebates">OFFSET([1]TCRank!$F$13, 1, 0, [1]TCRank!$C$2-ROW([1]TCRank!$F$13), 1)</definedName>
    <definedName name="rng_rank_TC_SP_awp">OFFSET([1]TCRank!$K$13, 1, 0, [1]TCRank!$C$2-ROW([1]TCRank!$K$13), 1)</definedName>
    <definedName name="rng_rank_TC_SP_AWP_lup">OFFSET([1]TCRank!$T$13, 1, 0, [1]TCRank!$C$2-ROW([1]TCRank!$T$13), 1)</definedName>
    <definedName name="rng_rank_TC_SP_FRb_lup">OFFSET([1]TCRank!$N$13, 1, 0, [1]TCRank!$C$2-ROW([1]TCRank!$N$13), 1)</definedName>
    <definedName name="rng_rank_TC_SP_Rb_lup">OFFSET([1]TCRank!$Q$13, 1, 0, [1]TCRank!$C$2-ROW([1]TCRank!$Q$13), 1)</definedName>
    <definedName name="rng_rank_TC_SP_rebates">OFFSET([1]TCRank!$H$13, 1, 0, [1]TCRank!$C$2-ROW([1]TCRank!$H$13), 1)</definedName>
    <definedName name="rng_rank_TC_start">[1]TCRank!$C$14</definedName>
    <definedName name="rng_rates_form_id">OFFSET([1]RatesPerQnty!$C$9, 1, 0,[1]RatesPerQnty!$C$3-ROW([1]RatesPerQnty!$C$9), 1)</definedName>
    <definedName name="rng_rates_key">OFFSET([1]RatesPerQnty!$B$9, 1, 0,[1]RatesPerQnty!$C$3-ROW([1]RatesPerQnty!$B$9), 1)</definedName>
    <definedName name="rng_rates_lookup">OFFSET([1]RatesPerQnty!$B$9, 1, 0,[1]RatesPerQnty!$C$3-ROW([1]RatesPerQnty!$B$9), COLUMN([1]RatesPerQnty!$AJ$9)-COLUMN([1]RatesPerQnty!$B$9)+1)</definedName>
    <definedName name="rng_start_Custom_NDC">[1]Tables!$GY$3</definedName>
    <definedName name="rng_start_MFP_NDC">[1]Tables!$HP$3</definedName>
    <definedName name="RPA_Key_Start">'[1]RPA Fee'!$Z$9</definedName>
    <definedName name="RpaQty_Start">'[1]RPA Fee'!$B$10</definedName>
    <definedName name="RtQty_Start">[1]RatesPerQnty!$C$10</definedName>
    <definedName name="sel_det_stats_IU_time_period">'[1]Detailed Stats (Internal Use)'!$W$17</definedName>
    <definedName name="sel_Device">[1]Tables!$BJ$6</definedName>
    <definedName name="sel_excl_custNDC">[1]Tables!$BJ$19</definedName>
    <definedName name="sel_excl_HIV">[1]Tables!$BJ$17</definedName>
    <definedName name="sel_excl_nonRebatable">[1]Tables!$BJ$18</definedName>
    <definedName name="sel_formID">[1]Tables!$C$5</definedName>
    <definedName name="sel_formType">[1]Tables!$C$7</definedName>
    <definedName name="sel_Formulary_Excls">[1]Tables!$BJ$14</definedName>
    <definedName name="sel_HepB">[1]Tables!$BR$4</definedName>
    <definedName name="sel_HIV">[1]Tables!$BR$5</definedName>
    <definedName name="sel_Institutional_NDCs">[1]Tables!$BJ$13</definedName>
    <definedName name="sel_Insulin">[1]Tables!$BJ$9</definedName>
    <definedName name="sel_IVIG">[1]Tables!$BR$6</definedName>
    <definedName name="sel_LDD">[1]Tables!$BJ$12</definedName>
    <definedName name="sel_MSB">[1]Tables!$BJ$10</definedName>
    <definedName name="sel_Narcolepsy">[1]Tables!$BR$7</definedName>
    <definedName name="sel_Nausea">[1]Tables!$BR$8</definedName>
    <definedName name="sel_NonFDA">[1]Tables!$BJ$11</definedName>
    <definedName name="sel_OTC">[1]Tables!$BJ$7</definedName>
    <definedName name="sel_PCSK9">[1]Tables!$BJ$16</definedName>
    <definedName name="sel_Repack">[1]Tables!$BJ$4</definedName>
    <definedName name="sel_runstats_yr1">[1]Tables!$AA$4</definedName>
    <definedName name="sel_spR_PCSK9">[1]Tables!$BR$10</definedName>
    <definedName name="sel_Synthroid">[1]Tables!$BJ$15</definedName>
    <definedName name="sel_Transplant">[1]Tables!$BR$9</definedName>
    <definedName name="sel_TS">[1]Tables!$BJ$8</definedName>
    <definedName name="sel_Vaccine">[1]Tables!$BJ$5</definedName>
    <definedName name="start_FinAlign">[1]FinAlign!$D$31</definedName>
    <definedName name="start_RA_Out">'[1]RA Output'!$B$10</definedName>
    <definedName name="tblBG_List">[1]Tables!$O$4:$O$5</definedName>
    <definedName name="tblBidType">[1]Tables!$GV$5:$GV$7</definedName>
    <definedName name="tblCustNDCList">OFFSET([1]Tables!$GY$3, 1, 0, [1]Tables!$GY$1-ROW([1]Tables!$GY$3), 1)</definedName>
    <definedName name="tblCustNDCListFull">OFFSET([1]Tables!$GY$3, 1, 0, [1]Tables!$GY$1-ROW([1]Tables!$GY$3), 3)</definedName>
    <definedName name="tblGFMnths">[1]Tables!$U$4:$U$15</definedName>
    <definedName name="tblLOB_List">[1]Tables!$EG$4:$EG$18</definedName>
    <definedName name="tblMFPNDCList">OFFSET([1]Tables!$HP$3, 1, 0, [1]Tables!$HP$1-ROW([1]Tables!$HP$3), 1)</definedName>
    <definedName name="tblMFPNDCListFull">OFFSET([1]Tables!$HP$3, 1, 0, [1]Tables!$HP$1-ROW([1]Tables!$HP$3), 5)</definedName>
    <definedName name="tblRebateExcl_Options_List">[1]Tables!$CE$4:$CE$5</definedName>
    <definedName name="tblSP_List">[1]Tables!$Q$4:$Q$5</definedName>
    <definedName name="tblSpExcl_List">[1]Tables!$DK$4:$DK$8</definedName>
    <definedName name="tblTimePeriods">[1]Tables!$AA$4:$AA$8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2" i="1" l="1"/>
  <c r="DG367" i="1"/>
  <c r="DF367" i="1"/>
  <c r="DE367" i="1"/>
  <c r="DD367" i="1"/>
  <c r="DC367" i="1"/>
  <c r="CH367" i="1"/>
  <c r="CG367" i="1"/>
  <c r="CF367" i="1"/>
  <c r="CE367" i="1"/>
  <c r="CD367" i="1"/>
  <c r="CC367" i="1"/>
  <c r="CB367" i="1"/>
  <c r="CA367" i="1"/>
  <c r="BZ367" i="1"/>
  <c r="BY367" i="1"/>
  <c r="BQ367" i="1"/>
  <c r="BP367" i="1"/>
  <c r="BO367" i="1"/>
  <c r="BN367" i="1"/>
  <c r="BM367" i="1"/>
  <c r="BL367" i="1"/>
  <c r="BK367" i="1"/>
  <c r="BJ367" i="1"/>
  <c r="BI367" i="1"/>
  <c r="BH367" i="1"/>
  <c r="AZ367" i="1"/>
  <c r="AY367" i="1"/>
  <c r="AX367" i="1"/>
  <c r="AW367" i="1"/>
  <c r="AV367" i="1"/>
  <c r="AU367" i="1"/>
  <c r="AT367" i="1"/>
  <c r="AS367" i="1"/>
  <c r="AR367" i="1"/>
  <c r="AQ367" i="1"/>
  <c r="AI367" i="1"/>
  <c r="AH367" i="1"/>
  <c r="AG367" i="1"/>
  <c r="AF367" i="1"/>
  <c r="AE367" i="1"/>
  <c r="AD367" i="1"/>
  <c r="AC367" i="1"/>
  <c r="AB367" i="1"/>
  <c r="AA367" i="1"/>
  <c r="Z367" i="1"/>
  <c r="R367" i="1"/>
  <c r="Q367" i="1"/>
  <c r="P367" i="1"/>
  <c r="O367" i="1"/>
  <c r="N367" i="1"/>
  <c r="M367" i="1"/>
  <c r="L367" i="1"/>
  <c r="K367" i="1"/>
  <c r="J367" i="1"/>
  <c r="I367" i="1"/>
  <c r="E363" i="1"/>
  <c r="CH358" i="1"/>
  <c r="CG358" i="1"/>
  <c r="CF358" i="1"/>
  <c r="CE358" i="1"/>
  <c r="CD358" i="1"/>
  <c r="CC358" i="1"/>
  <c r="CB358" i="1"/>
  <c r="CA358" i="1"/>
  <c r="BZ358" i="1"/>
  <c r="BY358" i="1"/>
  <c r="BQ358" i="1"/>
  <c r="BP358" i="1"/>
  <c r="BO358" i="1"/>
  <c r="BN358" i="1"/>
  <c r="BM358" i="1"/>
  <c r="BL358" i="1"/>
  <c r="BK358" i="1"/>
  <c r="BJ358" i="1"/>
  <c r="BI358" i="1"/>
  <c r="BH358" i="1"/>
  <c r="AZ358" i="1"/>
  <c r="AY358" i="1"/>
  <c r="AX358" i="1"/>
  <c r="AW358" i="1"/>
  <c r="AV358" i="1"/>
  <c r="AU358" i="1"/>
  <c r="AT358" i="1"/>
  <c r="AS358" i="1"/>
  <c r="AR358" i="1"/>
  <c r="AQ358" i="1"/>
  <c r="AI358" i="1"/>
  <c r="AH358" i="1"/>
  <c r="AG358" i="1"/>
  <c r="AF358" i="1"/>
  <c r="AE358" i="1"/>
  <c r="AD358" i="1"/>
  <c r="AC358" i="1"/>
  <c r="AB358" i="1"/>
  <c r="AA358" i="1"/>
  <c r="Z358" i="1"/>
  <c r="R358" i="1"/>
  <c r="Q358" i="1"/>
  <c r="P358" i="1"/>
  <c r="O358" i="1"/>
  <c r="N358" i="1"/>
  <c r="M358" i="1"/>
  <c r="L358" i="1"/>
  <c r="K358" i="1"/>
  <c r="J358" i="1"/>
  <c r="I358" i="1"/>
  <c r="E354" i="1"/>
  <c r="CH349" i="1"/>
  <c r="CG349" i="1"/>
  <c r="CF349" i="1"/>
  <c r="CE349" i="1"/>
  <c r="CD349" i="1"/>
  <c r="CC349" i="1"/>
  <c r="CB349" i="1"/>
  <c r="CA349" i="1"/>
  <c r="BZ349" i="1"/>
  <c r="BY349" i="1"/>
  <c r="BQ349" i="1"/>
  <c r="BP349" i="1"/>
  <c r="BO349" i="1"/>
  <c r="BN349" i="1"/>
  <c r="BM349" i="1"/>
  <c r="BL349" i="1"/>
  <c r="BK349" i="1"/>
  <c r="BJ349" i="1"/>
  <c r="BI349" i="1"/>
  <c r="BH349" i="1"/>
  <c r="AZ349" i="1"/>
  <c r="AY349" i="1"/>
  <c r="AX349" i="1"/>
  <c r="AW349" i="1"/>
  <c r="AV349" i="1"/>
  <c r="AU349" i="1"/>
  <c r="AT349" i="1"/>
  <c r="AS349" i="1"/>
  <c r="AR349" i="1"/>
  <c r="AQ349" i="1"/>
  <c r="AI349" i="1"/>
  <c r="AH349" i="1"/>
  <c r="AG349" i="1"/>
  <c r="AF349" i="1"/>
  <c r="AE349" i="1"/>
  <c r="AD349" i="1"/>
  <c r="AC349" i="1"/>
  <c r="AB349" i="1"/>
  <c r="AA349" i="1"/>
  <c r="Z349" i="1"/>
  <c r="R349" i="1"/>
  <c r="Q349" i="1"/>
  <c r="P349" i="1"/>
  <c r="O349" i="1"/>
  <c r="N349" i="1"/>
  <c r="M349" i="1"/>
  <c r="L349" i="1"/>
  <c r="K349" i="1"/>
  <c r="J349" i="1"/>
  <c r="I349" i="1"/>
  <c r="E345" i="1"/>
  <c r="CH340" i="1"/>
  <c r="CG340" i="1"/>
  <c r="CF340" i="1"/>
  <c r="CE340" i="1"/>
  <c r="CD340" i="1"/>
  <c r="CC340" i="1"/>
  <c r="CB340" i="1"/>
  <c r="CA340" i="1"/>
  <c r="BZ340" i="1"/>
  <c r="BY340" i="1"/>
  <c r="BQ340" i="1"/>
  <c r="BP340" i="1"/>
  <c r="BO340" i="1"/>
  <c r="BN340" i="1"/>
  <c r="BM340" i="1"/>
  <c r="BL340" i="1"/>
  <c r="BK340" i="1"/>
  <c r="BJ340" i="1"/>
  <c r="BI340" i="1"/>
  <c r="BH340" i="1"/>
  <c r="AZ340" i="1"/>
  <c r="AY340" i="1"/>
  <c r="AX340" i="1"/>
  <c r="AW340" i="1"/>
  <c r="AV340" i="1"/>
  <c r="AU340" i="1"/>
  <c r="AT340" i="1"/>
  <c r="AS340" i="1"/>
  <c r="AR340" i="1"/>
  <c r="AQ340" i="1"/>
  <c r="AI340" i="1"/>
  <c r="AH340" i="1"/>
  <c r="AG340" i="1"/>
  <c r="AF340" i="1"/>
  <c r="AE340" i="1"/>
  <c r="AD340" i="1"/>
  <c r="AC340" i="1"/>
  <c r="AB340" i="1"/>
  <c r="AA340" i="1"/>
  <c r="Z340" i="1"/>
  <c r="R340" i="1"/>
  <c r="Q340" i="1"/>
  <c r="P340" i="1"/>
  <c r="O340" i="1"/>
  <c r="N340" i="1"/>
  <c r="M340" i="1"/>
  <c r="L340" i="1"/>
  <c r="K340" i="1"/>
  <c r="J340" i="1"/>
  <c r="I340" i="1"/>
  <c r="E336" i="1"/>
  <c r="CH331" i="1"/>
  <c r="CG331" i="1"/>
  <c r="CF331" i="1"/>
  <c r="CE331" i="1"/>
  <c r="CD331" i="1"/>
  <c r="CC331" i="1"/>
  <c r="CB331" i="1"/>
  <c r="CA331" i="1"/>
  <c r="BZ331" i="1"/>
  <c r="BY331" i="1"/>
  <c r="BQ331" i="1"/>
  <c r="BP331" i="1"/>
  <c r="BO331" i="1"/>
  <c r="BN331" i="1"/>
  <c r="BM331" i="1"/>
  <c r="BL331" i="1"/>
  <c r="BK331" i="1"/>
  <c r="BJ331" i="1"/>
  <c r="BI331" i="1"/>
  <c r="BH331" i="1"/>
  <c r="AZ331" i="1"/>
  <c r="AY331" i="1"/>
  <c r="AX331" i="1"/>
  <c r="AW331" i="1"/>
  <c r="AV331" i="1"/>
  <c r="AU331" i="1"/>
  <c r="AT331" i="1"/>
  <c r="AS331" i="1"/>
  <c r="AR331" i="1"/>
  <c r="AQ331" i="1"/>
  <c r="AI331" i="1"/>
  <c r="AH331" i="1"/>
  <c r="AG331" i="1"/>
  <c r="AF331" i="1"/>
  <c r="AE331" i="1"/>
  <c r="AD331" i="1"/>
  <c r="AC331" i="1"/>
  <c r="AB331" i="1"/>
  <c r="AA331" i="1"/>
  <c r="Z331" i="1"/>
  <c r="R331" i="1"/>
  <c r="Q331" i="1"/>
  <c r="P331" i="1"/>
  <c r="O331" i="1"/>
  <c r="N331" i="1"/>
  <c r="M331" i="1"/>
  <c r="L331" i="1"/>
  <c r="K331" i="1"/>
  <c r="J331" i="1"/>
  <c r="I331" i="1"/>
  <c r="E327" i="1"/>
  <c r="CH322" i="1"/>
  <c r="CG322" i="1"/>
  <c r="CF322" i="1"/>
  <c r="CE322" i="1"/>
  <c r="CD322" i="1"/>
  <c r="CC322" i="1"/>
  <c r="CB322" i="1"/>
  <c r="CA322" i="1"/>
  <c r="BZ322" i="1"/>
  <c r="BY322" i="1"/>
  <c r="BQ322" i="1"/>
  <c r="BP322" i="1"/>
  <c r="BO322" i="1"/>
  <c r="BN322" i="1"/>
  <c r="BM322" i="1"/>
  <c r="BL322" i="1"/>
  <c r="BK322" i="1"/>
  <c r="BJ322" i="1"/>
  <c r="BI322" i="1"/>
  <c r="BH322" i="1"/>
  <c r="AZ322" i="1"/>
  <c r="AY322" i="1"/>
  <c r="AX322" i="1"/>
  <c r="AW322" i="1"/>
  <c r="AV322" i="1"/>
  <c r="AU322" i="1"/>
  <c r="AT322" i="1"/>
  <c r="AS322" i="1"/>
  <c r="AR322" i="1"/>
  <c r="AQ322" i="1"/>
  <c r="AI322" i="1"/>
  <c r="AH322" i="1"/>
  <c r="AG322" i="1"/>
  <c r="AF322" i="1"/>
  <c r="AE322" i="1"/>
  <c r="AD322" i="1"/>
  <c r="AC322" i="1"/>
  <c r="AB322" i="1"/>
  <c r="AA322" i="1"/>
  <c r="Z322" i="1"/>
  <c r="R322" i="1"/>
  <c r="Q322" i="1"/>
  <c r="P322" i="1"/>
  <c r="O322" i="1"/>
  <c r="N322" i="1"/>
  <c r="M322" i="1"/>
  <c r="L322" i="1"/>
  <c r="K322" i="1"/>
  <c r="J322" i="1"/>
  <c r="I322" i="1"/>
  <c r="CM311" i="1"/>
  <c r="CL311" i="1"/>
  <c r="CK311" i="1"/>
  <c r="CJ311" i="1"/>
  <c r="CI311" i="1"/>
  <c r="CH311" i="1"/>
  <c r="CG311" i="1"/>
  <c r="CF311" i="1"/>
  <c r="CE311" i="1"/>
  <c r="CD311" i="1"/>
  <c r="CC311" i="1"/>
  <c r="CB311" i="1"/>
  <c r="CA311" i="1"/>
  <c r="BZ311" i="1"/>
  <c r="BY311" i="1"/>
  <c r="BV311" i="1"/>
  <c r="BU311" i="1"/>
  <c r="BT311" i="1"/>
  <c r="BS311" i="1"/>
  <c r="BR311" i="1"/>
  <c r="BQ311" i="1"/>
  <c r="BP311" i="1"/>
  <c r="BO311" i="1"/>
  <c r="BN311" i="1"/>
  <c r="BM311" i="1"/>
  <c r="BL311" i="1"/>
  <c r="BK311" i="1"/>
  <c r="BJ311" i="1"/>
  <c r="BI311" i="1"/>
  <c r="BH311" i="1"/>
  <c r="BE311" i="1"/>
  <c r="BD311" i="1"/>
  <c r="BC311" i="1"/>
  <c r="BB311" i="1"/>
  <c r="BA311" i="1"/>
  <c r="AZ311" i="1"/>
  <c r="AY311" i="1"/>
  <c r="AX311" i="1"/>
  <c r="AW311" i="1"/>
  <c r="AV311" i="1"/>
  <c r="AU311" i="1"/>
  <c r="AT311" i="1"/>
  <c r="AS311" i="1"/>
  <c r="AR311" i="1"/>
  <c r="AQ311" i="1"/>
  <c r="AN311" i="1"/>
  <c r="AM311" i="1"/>
  <c r="AL311" i="1"/>
  <c r="AK311" i="1"/>
  <c r="AJ311" i="1"/>
  <c r="AI311" i="1"/>
  <c r="AH311" i="1"/>
  <c r="AG311" i="1"/>
  <c r="AF311" i="1"/>
  <c r="AE311" i="1"/>
  <c r="AD311" i="1"/>
  <c r="AC311" i="1"/>
  <c r="AB311" i="1"/>
  <c r="AA311" i="1"/>
  <c r="Z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CM302" i="1"/>
  <c r="CL302" i="1"/>
  <c r="CK302" i="1"/>
  <c r="CJ302" i="1"/>
  <c r="CI302" i="1"/>
  <c r="CH302" i="1"/>
  <c r="CG302" i="1"/>
  <c r="CF302" i="1"/>
  <c r="CE302" i="1"/>
  <c r="CD302" i="1"/>
  <c r="CC302" i="1"/>
  <c r="CB302" i="1"/>
  <c r="CA302" i="1"/>
  <c r="BZ302" i="1"/>
  <c r="BY302" i="1"/>
  <c r="BV302" i="1"/>
  <c r="BU302" i="1"/>
  <c r="BT302" i="1"/>
  <c r="BS302" i="1"/>
  <c r="BR302" i="1"/>
  <c r="BQ302" i="1"/>
  <c r="BP302" i="1"/>
  <c r="BO302" i="1"/>
  <c r="BN302" i="1"/>
  <c r="BM302" i="1"/>
  <c r="BL302" i="1"/>
  <c r="BK302" i="1"/>
  <c r="BJ302" i="1"/>
  <c r="BI302" i="1"/>
  <c r="BH302" i="1"/>
  <c r="BE302" i="1"/>
  <c r="BD302" i="1"/>
  <c r="BC302" i="1"/>
  <c r="BB302" i="1"/>
  <c r="BA302" i="1"/>
  <c r="AZ302" i="1"/>
  <c r="AY302" i="1"/>
  <c r="AX302" i="1"/>
  <c r="AW302" i="1"/>
  <c r="AV302" i="1"/>
  <c r="AU302" i="1"/>
  <c r="AT302" i="1"/>
  <c r="AS302" i="1"/>
  <c r="AR302" i="1"/>
  <c r="AQ302" i="1"/>
  <c r="AN302" i="1"/>
  <c r="AM302" i="1"/>
  <c r="AL302" i="1"/>
  <c r="AK302" i="1"/>
  <c r="AJ302" i="1"/>
  <c r="AI302" i="1"/>
  <c r="AH302" i="1"/>
  <c r="AG302" i="1"/>
  <c r="AF302" i="1"/>
  <c r="AE302" i="1"/>
  <c r="AD302" i="1"/>
  <c r="AC302" i="1"/>
  <c r="AB302" i="1"/>
  <c r="AA302" i="1"/>
  <c r="Z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E298" i="1"/>
  <c r="DG293" i="1"/>
  <c r="DF293" i="1"/>
  <c r="DE293" i="1"/>
  <c r="DD293" i="1"/>
  <c r="DC293" i="1"/>
  <c r="CM293" i="1"/>
  <c r="CL293" i="1"/>
  <c r="CK293" i="1"/>
  <c r="CJ293" i="1"/>
  <c r="CI293" i="1"/>
  <c r="CH293" i="1"/>
  <c r="CG293" i="1"/>
  <c r="CF293" i="1"/>
  <c r="CE293" i="1"/>
  <c r="CD293" i="1"/>
  <c r="CC293" i="1"/>
  <c r="CB293" i="1"/>
  <c r="CA293" i="1"/>
  <c r="BZ293" i="1"/>
  <c r="BY293" i="1"/>
  <c r="BV293" i="1"/>
  <c r="BU293" i="1"/>
  <c r="BT293" i="1"/>
  <c r="BS293" i="1"/>
  <c r="BR293" i="1"/>
  <c r="BQ293" i="1"/>
  <c r="BP293" i="1"/>
  <c r="BO293" i="1"/>
  <c r="BN293" i="1"/>
  <c r="BM293" i="1"/>
  <c r="BL293" i="1"/>
  <c r="BK293" i="1"/>
  <c r="BJ293" i="1"/>
  <c r="BI293" i="1"/>
  <c r="BH293" i="1"/>
  <c r="BE293" i="1"/>
  <c r="BD293" i="1"/>
  <c r="BC293" i="1"/>
  <c r="BB293" i="1"/>
  <c r="BA293" i="1"/>
  <c r="AZ293" i="1"/>
  <c r="AY293" i="1"/>
  <c r="AX293" i="1"/>
  <c r="AW293" i="1"/>
  <c r="AV293" i="1"/>
  <c r="AU293" i="1"/>
  <c r="AT293" i="1"/>
  <c r="AS293" i="1"/>
  <c r="AR293" i="1"/>
  <c r="AQ293" i="1"/>
  <c r="AN293" i="1"/>
  <c r="AM293" i="1"/>
  <c r="AL293" i="1"/>
  <c r="AK293" i="1"/>
  <c r="AJ293" i="1"/>
  <c r="AI293" i="1"/>
  <c r="AH293" i="1"/>
  <c r="AG293" i="1"/>
  <c r="AF293" i="1"/>
  <c r="AE293" i="1"/>
  <c r="AD293" i="1"/>
  <c r="AC293" i="1"/>
  <c r="AB293" i="1"/>
  <c r="AA293" i="1"/>
  <c r="Z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CO291" i="1"/>
  <c r="E289" i="1"/>
  <c r="CM284" i="1"/>
  <c r="CL284" i="1"/>
  <c r="CK284" i="1"/>
  <c r="CJ284" i="1"/>
  <c r="CI284" i="1"/>
  <c r="CH284" i="1"/>
  <c r="CG284" i="1"/>
  <c r="CF284" i="1"/>
  <c r="CE284" i="1"/>
  <c r="CD284" i="1"/>
  <c r="CC284" i="1"/>
  <c r="CB284" i="1"/>
  <c r="CA284" i="1"/>
  <c r="BZ284" i="1"/>
  <c r="BY284" i="1"/>
  <c r="BV284" i="1"/>
  <c r="BU284" i="1"/>
  <c r="BT284" i="1"/>
  <c r="BS284" i="1"/>
  <c r="BR284" i="1"/>
  <c r="BQ284" i="1"/>
  <c r="BP284" i="1"/>
  <c r="BO284" i="1"/>
  <c r="BN284" i="1"/>
  <c r="BM284" i="1"/>
  <c r="BL284" i="1"/>
  <c r="BK284" i="1"/>
  <c r="BJ284" i="1"/>
  <c r="BI284" i="1"/>
  <c r="BH284" i="1"/>
  <c r="BE284" i="1"/>
  <c r="BD284" i="1"/>
  <c r="BC284" i="1"/>
  <c r="BB284" i="1"/>
  <c r="BA284" i="1"/>
  <c r="AZ284" i="1"/>
  <c r="AY284" i="1"/>
  <c r="AX284" i="1"/>
  <c r="AW284" i="1"/>
  <c r="AV284" i="1"/>
  <c r="AU284" i="1"/>
  <c r="AT284" i="1"/>
  <c r="AS284" i="1"/>
  <c r="AR284" i="1"/>
  <c r="AQ284" i="1"/>
  <c r="AN284" i="1"/>
  <c r="AM284" i="1"/>
  <c r="AL284" i="1"/>
  <c r="AK284" i="1"/>
  <c r="AJ284" i="1"/>
  <c r="AI284" i="1"/>
  <c r="AH284" i="1"/>
  <c r="AG284" i="1"/>
  <c r="AF284" i="1"/>
  <c r="AE284" i="1"/>
  <c r="AD284" i="1"/>
  <c r="AC284" i="1"/>
  <c r="AB284" i="1"/>
  <c r="AA284" i="1"/>
  <c r="Z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CO282" i="1"/>
  <c r="E280" i="1"/>
  <c r="CM275" i="1"/>
  <c r="CL275" i="1"/>
  <c r="CK275" i="1"/>
  <c r="CJ275" i="1"/>
  <c r="CI275" i="1"/>
  <c r="CH275" i="1"/>
  <c r="CG275" i="1"/>
  <c r="CF275" i="1"/>
  <c r="CE275" i="1"/>
  <c r="CD275" i="1"/>
  <c r="CC275" i="1"/>
  <c r="CB275" i="1"/>
  <c r="CA275" i="1"/>
  <c r="BZ275" i="1"/>
  <c r="BY275" i="1"/>
  <c r="BV275" i="1"/>
  <c r="BU275" i="1"/>
  <c r="BT275" i="1"/>
  <c r="BS275" i="1"/>
  <c r="BR275" i="1"/>
  <c r="BQ275" i="1"/>
  <c r="BP275" i="1"/>
  <c r="BO275" i="1"/>
  <c r="BN275" i="1"/>
  <c r="BM275" i="1"/>
  <c r="BL275" i="1"/>
  <c r="BK275" i="1"/>
  <c r="BJ275" i="1"/>
  <c r="BI275" i="1"/>
  <c r="BH275" i="1"/>
  <c r="BE275" i="1"/>
  <c r="BD275" i="1"/>
  <c r="BC275" i="1"/>
  <c r="BB275" i="1"/>
  <c r="BA275" i="1"/>
  <c r="AZ275" i="1"/>
  <c r="AY275" i="1"/>
  <c r="AX275" i="1"/>
  <c r="AW275" i="1"/>
  <c r="AV275" i="1"/>
  <c r="AU275" i="1"/>
  <c r="AT275" i="1"/>
  <c r="AS275" i="1"/>
  <c r="AR275" i="1"/>
  <c r="AQ275" i="1"/>
  <c r="AN275" i="1"/>
  <c r="AM275" i="1"/>
  <c r="AL275" i="1"/>
  <c r="AK275" i="1"/>
  <c r="AJ275" i="1"/>
  <c r="AI275" i="1"/>
  <c r="AH275" i="1"/>
  <c r="AG275" i="1"/>
  <c r="AF275" i="1"/>
  <c r="AE275" i="1"/>
  <c r="AD275" i="1"/>
  <c r="AC275" i="1"/>
  <c r="AB275" i="1"/>
  <c r="AA275" i="1"/>
  <c r="Z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CO273" i="1"/>
  <c r="DO268" i="1"/>
  <c r="DN268" i="1"/>
  <c r="DM268" i="1"/>
  <c r="DL268" i="1"/>
  <c r="DK268" i="1"/>
  <c r="E268" i="1"/>
  <c r="DU263" i="1"/>
  <c r="DT263" i="1"/>
  <c r="DS263" i="1"/>
  <c r="DR263" i="1"/>
  <c r="DQ263" i="1"/>
  <c r="DO263" i="1"/>
  <c r="DN263" i="1"/>
  <c r="DM263" i="1"/>
  <c r="DL263" i="1"/>
  <c r="DK263" i="1"/>
  <c r="CH263" i="1"/>
  <c r="CG263" i="1"/>
  <c r="CF263" i="1"/>
  <c r="CE263" i="1"/>
  <c r="CD263" i="1"/>
  <c r="CC263" i="1"/>
  <c r="CB263" i="1"/>
  <c r="CA263" i="1"/>
  <c r="BZ263" i="1"/>
  <c r="BY263" i="1"/>
  <c r="BQ263" i="1"/>
  <c r="BP263" i="1"/>
  <c r="BO263" i="1"/>
  <c r="BN263" i="1"/>
  <c r="BM263" i="1"/>
  <c r="BL263" i="1"/>
  <c r="BK263" i="1"/>
  <c r="BJ263" i="1"/>
  <c r="BI263" i="1"/>
  <c r="BH263" i="1"/>
  <c r="AZ263" i="1"/>
  <c r="AY263" i="1"/>
  <c r="AX263" i="1"/>
  <c r="AW263" i="1"/>
  <c r="AV263" i="1"/>
  <c r="AU263" i="1"/>
  <c r="AT263" i="1"/>
  <c r="AS263" i="1"/>
  <c r="AR263" i="1"/>
  <c r="AQ263" i="1"/>
  <c r="AI263" i="1"/>
  <c r="AH263" i="1"/>
  <c r="AG263" i="1"/>
  <c r="AF263" i="1"/>
  <c r="AE263" i="1"/>
  <c r="AD263" i="1"/>
  <c r="AC263" i="1"/>
  <c r="AB263" i="1"/>
  <c r="AA263" i="1"/>
  <c r="Z263" i="1"/>
  <c r="R263" i="1"/>
  <c r="Q263" i="1"/>
  <c r="P263" i="1"/>
  <c r="O263" i="1"/>
  <c r="N263" i="1"/>
  <c r="M263" i="1"/>
  <c r="L263" i="1"/>
  <c r="K263" i="1"/>
  <c r="J263" i="1"/>
  <c r="I263" i="1"/>
  <c r="E259" i="1"/>
  <c r="CH254" i="1"/>
  <c r="CG254" i="1"/>
  <c r="CF254" i="1"/>
  <c r="CE254" i="1"/>
  <c r="CD254" i="1"/>
  <c r="CC254" i="1"/>
  <c r="CB254" i="1"/>
  <c r="CA254" i="1"/>
  <c r="BZ254" i="1"/>
  <c r="BY254" i="1"/>
  <c r="BQ254" i="1"/>
  <c r="BP254" i="1"/>
  <c r="BO254" i="1"/>
  <c r="BN254" i="1"/>
  <c r="BM254" i="1"/>
  <c r="BL254" i="1"/>
  <c r="BK254" i="1"/>
  <c r="BJ254" i="1"/>
  <c r="BI254" i="1"/>
  <c r="BH254" i="1"/>
  <c r="AZ254" i="1"/>
  <c r="AY254" i="1"/>
  <c r="AX254" i="1"/>
  <c r="AW254" i="1"/>
  <c r="AV254" i="1"/>
  <c r="AU254" i="1"/>
  <c r="AT254" i="1"/>
  <c r="AS254" i="1"/>
  <c r="AR254" i="1"/>
  <c r="AQ254" i="1"/>
  <c r="AI254" i="1"/>
  <c r="AH254" i="1"/>
  <c r="AG254" i="1"/>
  <c r="AF254" i="1"/>
  <c r="AE254" i="1"/>
  <c r="AD254" i="1"/>
  <c r="AC254" i="1"/>
  <c r="AB254" i="1"/>
  <c r="AA254" i="1"/>
  <c r="Z254" i="1"/>
  <c r="R254" i="1"/>
  <c r="Q254" i="1"/>
  <c r="P254" i="1"/>
  <c r="O254" i="1"/>
  <c r="N254" i="1"/>
  <c r="M254" i="1"/>
  <c r="L254" i="1"/>
  <c r="K254" i="1"/>
  <c r="J254" i="1"/>
  <c r="I254" i="1"/>
  <c r="E250" i="1"/>
  <c r="CH245" i="1"/>
  <c r="CG245" i="1"/>
  <c r="CF245" i="1"/>
  <c r="CE245" i="1"/>
  <c r="CD245" i="1"/>
  <c r="CC245" i="1"/>
  <c r="CB245" i="1"/>
  <c r="CA245" i="1"/>
  <c r="BZ245" i="1"/>
  <c r="BY245" i="1"/>
  <c r="BQ245" i="1"/>
  <c r="BP245" i="1"/>
  <c r="BO245" i="1"/>
  <c r="BN245" i="1"/>
  <c r="BM245" i="1"/>
  <c r="BL245" i="1"/>
  <c r="BK245" i="1"/>
  <c r="BJ245" i="1"/>
  <c r="BI245" i="1"/>
  <c r="BH245" i="1"/>
  <c r="AZ245" i="1"/>
  <c r="AY245" i="1"/>
  <c r="AX245" i="1"/>
  <c r="AW245" i="1"/>
  <c r="AV245" i="1"/>
  <c r="AU245" i="1"/>
  <c r="AT245" i="1"/>
  <c r="AS245" i="1"/>
  <c r="AR245" i="1"/>
  <c r="AQ245" i="1"/>
  <c r="AI245" i="1"/>
  <c r="AH245" i="1"/>
  <c r="AG245" i="1"/>
  <c r="AF245" i="1"/>
  <c r="AE245" i="1"/>
  <c r="AD245" i="1"/>
  <c r="AC245" i="1"/>
  <c r="AB245" i="1"/>
  <c r="AA245" i="1"/>
  <c r="Z245" i="1"/>
  <c r="R245" i="1"/>
  <c r="Q245" i="1"/>
  <c r="P245" i="1"/>
  <c r="O245" i="1"/>
  <c r="N245" i="1"/>
  <c r="M245" i="1"/>
  <c r="L245" i="1"/>
  <c r="K245" i="1"/>
  <c r="J245" i="1"/>
  <c r="I245" i="1"/>
  <c r="E241" i="1"/>
  <c r="CH236" i="1"/>
  <c r="CG236" i="1"/>
  <c r="CF236" i="1"/>
  <c r="CE236" i="1"/>
  <c r="CD236" i="1"/>
  <c r="CC236" i="1"/>
  <c r="CB236" i="1"/>
  <c r="CA236" i="1"/>
  <c r="BZ236" i="1"/>
  <c r="BY236" i="1"/>
  <c r="BQ236" i="1"/>
  <c r="BP236" i="1"/>
  <c r="BO236" i="1"/>
  <c r="BN236" i="1"/>
  <c r="BM236" i="1"/>
  <c r="BL236" i="1"/>
  <c r="BK236" i="1"/>
  <c r="BJ236" i="1"/>
  <c r="BI236" i="1"/>
  <c r="BH236" i="1"/>
  <c r="AZ236" i="1"/>
  <c r="AY236" i="1"/>
  <c r="AX236" i="1"/>
  <c r="AW236" i="1"/>
  <c r="AV236" i="1"/>
  <c r="AU236" i="1"/>
  <c r="AT236" i="1"/>
  <c r="AS236" i="1"/>
  <c r="AR236" i="1"/>
  <c r="AQ236" i="1"/>
  <c r="AI236" i="1"/>
  <c r="AH236" i="1"/>
  <c r="AG236" i="1"/>
  <c r="AF236" i="1"/>
  <c r="AE236" i="1"/>
  <c r="AD236" i="1"/>
  <c r="AC236" i="1"/>
  <c r="AB236" i="1"/>
  <c r="AA236" i="1"/>
  <c r="Z236" i="1"/>
  <c r="R236" i="1"/>
  <c r="Q236" i="1"/>
  <c r="P236" i="1"/>
  <c r="O236" i="1"/>
  <c r="N236" i="1"/>
  <c r="M236" i="1"/>
  <c r="L236" i="1"/>
  <c r="K236" i="1"/>
  <c r="J236" i="1"/>
  <c r="I236" i="1"/>
  <c r="E232" i="1"/>
  <c r="CH227" i="1"/>
  <c r="CG227" i="1"/>
  <c r="CF227" i="1"/>
  <c r="CE227" i="1"/>
  <c r="CD227" i="1"/>
  <c r="CC227" i="1"/>
  <c r="CB227" i="1"/>
  <c r="CA227" i="1"/>
  <c r="BZ227" i="1"/>
  <c r="BY227" i="1"/>
  <c r="BQ227" i="1"/>
  <c r="BP227" i="1"/>
  <c r="BO227" i="1"/>
  <c r="BN227" i="1"/>
  <c r="BM227" i="1"/>
  <c r="BL227" i="1"/>
  <c r="BK227" i="1"/>
  <c r="BJ227" i="1"/>
  <c r="BI227" i="1"/>
  <c r="BH227" i="1"/>
  <c r="AZ227" i="1"/>
  <c r="AY227" i="1"/>
  <c r="AX227" i="1"/>
  <c r="AW227" i="1"/>
  <c r="AV227" i="1"/>
  <c r="AU227" i="1"/>
  <c r="AT227" i="1"/>
  <c r="AS227" i="1"/>
  <c r="AR227" i="1"/>
  <c r="AQ227" i="1"/>
  <c r="AI227" i="1"/>
  <c r="AH227" i="1"/>
  <c r="AG227" i="1"/>
  <c r="AF227" i="1"/>
  <c r="AE227" i="1"/>
  <c r="AD227" i="1"/>
  <c r="AC227" i="1"/>
  <c r="AB227" i="1"/>
  <c r="AA227" i="1"/>
  <c r="Z227" i="1"/>
  <c r="R227" i="1"/>
  <c r="Q227" i="1"/>
  <c r="P227" i="1"/>
  <c r="O227" i="1"/>
  <c r="N227" i="1"/>
  <c r="M227" i="1"/>
  <c r="L227" i="1"/>
  <c r="K227" i="1"/>
  <c r="J227" i="1"/>
  <c r="I227" i="1"/>
  <c r="E223" i="1"/>
  <c r="CH218" i="1"/>
  <c r="CG218" i="1"/>
  <c r="CF218" i="1"/>
  <c r="CE218" i="1"/>
  <c r="CD218" i="1"/>
  <c r="CC218" i="1"/>
  <c r="CB218" i="1"/>
  <c r="CA218" i="1"/>
  <c r="BZ218" i="1"/>
  <c r="BY218" i="1"/>
  <c r="BQ218" i="1"/>
  <c r="BP218" i="1"/>
  <c r="BO218" i="1"/>
  <c r="BN218" i="1"/>
  <c r="BM218" i="1"/>
  <c r="BL218" i="1"/>
  <c r="BK218" i="1"/>
  <c r="BJ218" i="1"/>
  <c r="BI218" i="1"/>
  <c r="BH218" i="1"/>
  <c r="AZ218" i="1"/>
  <c r="AY218" i="1"/>
  <c r="AX218" i="1"/>
  <c r="AW218" i="1"/>
  <c r="AV218" i="1"/>
  <c r="AU218" i="1"/>
  <c r="AT218" i="1"/>
  <c r="AS218" i="1"/>
  <c r="AR218" i="1"/>
  <c r="AQ218" i="1"/>
  <c r="AI218" i="1"/>
  <c r="AH218" i="1"/>
  <c r="AG218" i="1"/>
  <c r="AF218" i="1"/>
  <c r="AE218" i="1"/>
  <c r="AD218" i="1"/>
  <c r="AC218" i="1"/>
  <c r="AB218" i="1"/>
  <c r="AA218" i="1"/>
  <c r="Z218" i="1"/>
  <c r="R218" i="1"/>
  <c r="Q218" i="1"/>
  <c r="P218" i="1"/>
  <c r="O218" i="1"/>
  <c r="N218" i="1"/>
  <c r="M218" i="1"/>
  <c r="L218" i="1"/>
  <c r="K218" i="1"/>
  <c r="J218" i="1"/>
  <c r="I218" i="1"/>
  <c r="CM207" i="1"/>
  <c r="CL207" i="1"/>
  <c r="CK207" i="1"/>
  <c r="CJ207" i="1"/>
  <c r="CI207" i="1"/>
  <c r="CH207" i="1"/>
  <c r="CG207" i="1"/>
  <c r="CF207" i="1"/>
  <c r="CE207" i="1"/>
  <c r="CD207" i="1"/>
  <c r="CC207" i="1"/>
  <c r="CB207" i="1"/>
  <c r="CA207" i="1"/>
  <c r="BZ207" i="1"/>
  <c r="BY207" i="1"/>
  <c r="BV207" i="1"/>
  <c r="BU207" i="1"/>
  <c r="BT207" i="1"/>
  <c r="BS207" i="1"/>
  <c r="BR207" i="1"/>
  <c r="BQ207" i="1"/>
  <c r="BP207" i="1"/>
  <c r="BO207" i="1"/>
  <c r="BN207" i="1"/>
  <c r="BM207" i="1"/>
  <c r="BL207" i="1"/>
  <c r="BK207" i="1"/>
  <c r="BJ207" i="1"/>
  <c r="BI207" i="1"/>
  <c r="BH207" i="1"/>
  <c r="BE207" i="1"/>
  <c r="BD207" i="1"/>
  <c r="BC207" i="1"/>
  <c r="BB207" i="1"/>
  <c r="BA207" i="1"/>
  <c r="AZ207" i="1"/>
  <c r="AY207" i="1"/>
  <c r="AX207" i="1"/>
  <c r="AW207" i="1"/>
  <c r="AV207" i="1"/>
  <c r="AU207" i="1"/>
  <c r="AT207" i="1"/>
  <c r="AS207" i="1"/>
  <c r="AR207" i="1"/>
  <c r="AQ207" i="1"/>
  <c r="AN207" i="1"/>
  <c r="AM207" i="1"/>
  <c r="AL207" i="1"/>
  <c r="AK207" i="1"/>
  <c r="AJ207" i="1"/>
  <c r="AI207" i="1"/>
  <c r="AH207" i="1"/>
  <c r="AG207" i="1"/>
  <c r="AF207" i="1"/>
  <c r="AE207" i="1"/>
  <c r="AD207" i="1"/>
  <c r="AC207" i="1"/>
  <c r="AB207" i="1"/>
  <c r="AA207" i="1"/>
  <c r="Z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CM198" i="1"/>
  <c r="CL198" i="1"/>
  <c r="CK198" i="1"/>
  <c r="CJ198" i="1"/>
  <c r="CI198" i="1"/>
  <c r="CH198" i="1"/>
  <c r="CG198" i="1"/>
  <c r="CF198" i="1"/>
  <c r="CE198" i="1"/>
  <c r="CD198" i="1"/>
  <c r="CC198" i="1"/>
  <c r="CB198" i="1"/>
  <c r="CA198" i="1"/>
  <c r="BZ198" i="1"/>
  <c r="BY198" i="1"/>
  <c r="BV198" i="1"/>
  <c r="BU198" i="1"/>
  <c r="BT198" i="1"/>
  <c r="BS198" i="1"/>
  <c r="BR198" i="1"/>
  <c r="BQ198" i="1"/>
  <c r="BP198" i="1"/>
  <c r="BO198" i="1"/>
  <c r="BN198" i="1"/>
  <c r="BM198" i="1"/>
  <c r="BL198" i="1"/>
  <c r="BK198" i="1"/>
  <c r="BJ198" i="1"/>
  <c r="BI198" i="1"/>
  <c r="BH198" i="1"/>
  <c r="BE198" i="1"/>
  <c r="BD198" i="1"/>
  <c r="BC198" i="1"/>
  <c r="BB198" i="1"/>
  <c r="BA198" i="1"/>
  <c r="AZ198" i="1"/>
  <c r="AY198" i="1"/>
  <c r="AX198" i="1"/>
  <c r="AW198" i="1"/>
  <c r="AV198" i="1"/>
  <c r="AU198" i="1"/>
  <c r="AT198" i="1"/>
  <c r="AS198" i="1"/>
  <c r="AR198" i="1"/>
  <c r="AQ198" i="1"/>
  <c r="AN198" i="1"/>
  <c r="AM198" i="1"/>
  <c r="AL198" i="1"/>
  <c r="AK198" i="1"/>
  <c r="AJ198" i="1"/>
  <c r="AI198" i="1"/>
  <c r="AH198" i="1"/>
  <c r="AG198" i="1"/>
  <c r="AF198" i="1"/>
  <c r="AE198" i="1"/>
  <c r="AD198" i="1"/>
  <c r="AC198" i="1"/>
  <c r="AB198" i="1"/>
  <c r="AA198" i="1"/>
  <c r="Z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DI197" i="1"/>
  <c r="DH197" i="1"/>
  <c r="DG197" i="1"/>
  <c r="DF197" i="1"/>
  <c r="DE197" i="1"/>
  <c r="DD197" i="1"/>
  <c r="DC197" i="1"/>
  <c r="DB197" i="1"/>
  <c r="DA197" i="1"/>
  <c r="CZ197" i="1"/>
  <c r="CX197" i="1"/>
  <c r="CW197" i="1"/>
  <c r="CV197" i="1"/>
  <c r="CU197" i="1"/>
  <c r="CT197" i="1"/>
  <c r="CS197" i="1"/>
  <c r="CR197" i="1"/>
  <c r="CQ197" i="1"/>
  <c r="CP197" i="1"/>
  <c r="CO197" i="1"/>
  <c r="E194" i="1"/>
  <c r="DM189" i="1"/>
  <c r="DL189" i="1"/>
  <c r="DK189" i="1"/>
  <c r="DJ189" i="1"/>
  <c r="DI189" i="1"/>
  <c r="DG189" i="1"/>
  <c r="DF189" i="1"/>
  <c r="DE189" i="1"/>
  <c r="DD189" i="1"/>
  <c r="DC189" i="1"/>
  <c r="CM189" i="1"/>
  <c r="CL189" i="1"/>
  <c r="CK189" i="1"/>
  <c r="CJ189" i="1"/>
  <c r="CI189" i="1"/>
  <c r="CH189" i="1"/>
  <c r="CG189" i="1"/>
  <c r="CF189" i="1"/>
  <c r="CE189" i="1"/>
  <c r="CD189" i="1"/>
  <c r="CC189" i="1"/>
  <c r="CB189" i="1"/>
  <c r="CA189" i="1"/>
  <c r="BZ189" i="1"/>
  <c r="BY189" i="1"/>
  <c r="BV189" i="1"/>
  <c r="BU189" i="1"/>
  <c r="BT189" i="1"/>
  <c r="BS189" i="1"/>
  <c r="BR189" i="1"/>
  <c r="BQ189" i="1"/>
  <c r="BP189" i="1"/>
  <c r="BO189" i="1"/>
  <c r="BN189" i="1"/>
  <c r="BM189" i="1"/>
  <c r="BL189" i="1"/>
  <c r="BK189" i="1"/>
  <c r="BJ189" i="1"/>
  <c r="BI189" i="1"/>
  <c r="BH189" i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AS189" i="1"/>
  <c r="AR189" i="1"/>
  <c r="AQ189" i="1"/>
  <c r="AN189" i="1"/>
  <c r="AM189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CO187" i="1"/>
  <c r="E185" i="1"/>
  <c r="CM180" i="1"/>
  <c r="CL180" i="1"/>
  <c r="CK180" i="1"/>
  <c r="CJ180" i="1"/>
  <c r="CI180" i="1"/>
  <c r="CH180" i="1"/>
  <c r="CG180" i="1"/>
  <c r="CF180" i="1"/>
  <c r="CE180" i="1"/>
  <c r="CD180" i="1"/>
  <c r="CC180" i="1"/>
  <c r="CB180" i="1"/>
  <c r="CA180" i="1"/>
  <c r="BZ180" i="1"/>
  <c r="BY180" i="1"/>
  <c r="BV180" i="1"/>
  <c r="BU180" i="1"/>
  <c r="BT180" i="1"/>
  <c r="BS180" i="1"/>
  <c r="BR180" i="1"/>
  <c r="BQ180" i="1"/>
  <c r="BP180" i="1"/>
  <c r="BO180" i="1"/>
  <c r="BN180" i="1"/>
  <c r="BM180" i="1"/>
  <c r="BL180" i="1"/>
  <c r="BK180" i="1"/>
  <c r="BJ180" i="1"/>
  <c r="BI180" i="1"/>
  <c r="BH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CO178" i="1"/>
  <c r="E176" i="1"/>
  <c r="CM171" i="1"/>
  <c r="CL171" i="1"/>
  <c r="CK171" i="1"/>
  <c r="CJ171" i="1"/>
  <c r="CI171" i="1"/>
  <c r="CH171" i="1"/>
  <c r="CG171" i="1"/>
  <c r="CF171" i="1"/>
  <c r="CE171" i="1"/>
  <c r="CD171" i="1"/>
  <c r="CC171" i="1"/>
  <c r="CB171" i="1"/>
  <c r="CA171" i="1"/>
  <c r="BZ171" i="1"/>
  <c r="BY171" i="1"/>
  <c r="BV171" i="1"/>
  <c r="BU171" i="1"/>
  <c r="BT171" i="1"/>
  <c r="BS171" i="1"/>
  <c r="BR171" i="1"/>
  <c r="BQ171" i="1"/>
  <c r="BP171" i="1"/>
  <c r="BO171" i="1"/>
  <c r="BN171" i="1"/>
  <c r="BM171" i="1"/>
  <c r="BL171" i="1"/>
  <c r="BK171" i="1"/>
  <c r="BJ171" i="1"/>
  <c r="BI171" i="1"/>
  <c r="BH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CO169" i="1"/>
  <c r="DM158" i="1"/>
  <c r="DL158" i="1"/>
  <c r="DK158" i="1"/>
  <c r="DJ158" i="1"/>
  <c r="DI158" i="1"/>
  <c r="DG158" i="1"/>
  <c r="DF158" i="1"/>
  <c r="DE158" i="1"/>
  <c r="DD158" i="1"/>
  <c r="DC158" i="1"/>
  <c r="CM158" i="1"/>
  <c r="CL158" i="1"/>
  <c r="CK158" i="1"/>
  <c r="CJ158" i="1"/>
  <c r="CI158" i="1"/>
  <c r="CH158" i="1"/>
  <c r="CG158" i="1"/>
  <c r="CF158" i="1"/>
  <c r="CE158" i="1"/>
  <c r="CD158" i="1"/>
  <c r="CC158" i="1"/>
  <c r="CB158" i="1"/>
  <c r="CA158" i="1"/>
  <c r="BZ158" i="1"/>
  <c r="BY158" i="1"/>
  <c r="BV158" i="1"/>
  <c r="BU158" i="1"/>
  <c r="BT158" i="1"/>
  <c r="BS158" i="1"/>
  <c r="BR158" i="1"/>
  <c r="BQ158" i="1"/>
  <c r="BP158" i="1"/>
  <c r="BO158" i="1"/>
  <c r="BN158" i="1"/>
  <c r="BM158" i="1"/>
  <c r="BL158" i="1"/>
  <c r="BK158" i="1"/>
  <c r="BJ158" i="1"/>
  <c r="BI158" i="1"/>
  <c r="BH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E150" i="1"/>
  <c r="DG145" i="1"/>
  <c r="DF145" i="1"/>
  <c r="DE145" i="1"/>
  <c r="DD145" i="1"/>
  <c r="DC145" i="1"/>
  <c r="CH145" i="1"/>
  <c r="CG145" i="1"/>
  <c r="CF145" i="1"/>
  <c r="CE145" i="1"/>
  <c r="CD145" i="1"/>
  <c r="CC145" i="1"/>
  <c r="CB145" i="1"/>
  <c r="CA145" i="1"/>
  <c r="BZ145" i="1"/>
  <c r="BY145" i="1"/>
  <c r="BQ145" i="1"/>
  <c r="BP145" i="1"/>
  <c r="BO145" i="1"/>
  <c r="BN145" i="1"/>
  <c r="BM145" i="1"/>
  <c r="BL145" i="1"/>
  <c r="BK145" i="1"/>
  <c r="BJ145" i="1"/>
  <c r="BI145" i="1"/>
  <c r="BH145" i="1"/>
  <c r="AZ145" i="1"/>
  <c r="AY145" i="1"/>
  <c r="AX145" i="1"/>
  <c r="AW145" i="1"/>
  <c r="AV145" i="1"/>
  <c r="AU145" i="1"/>
  <c r="AT145" i="1"/>
  <c r="AS145" i="1"/>
  <c r="AR145" i="1"/>
  <c r="AQ145" i="1"/>
  <c r="AI145" i="1"/>
  <c r="AH145" i="1"/>
  <c r="AG145" i="1"/>
  <c r="AF145" i="1"/>
  <c r="AE145" i="1"/>
  <c r="AD145" i="1"/>
  <c r="AC145" i="1"/>
  <c r="AB145" i="1"/>
  <c r="AA145" i="1"/>
  <c r="Z145" i="1"/>
  <c r="R145" i="1"/>
  <c r="Q145" i="1"/>
  <c r="P145" i="1"/>
  <c r="O145" i="1"/>
  <c r="N145" i="1"/>
  <c r="M145" i="1"/>
  <c r="L145" i="1"/>
  <c r="K145" i="1"/>
  <c r="J145" i="1"/>
  <c r="I145" i="1"/>
  <c r="E141" i="1"/>
  <c r="CH136" i="1"/>
  <c r="CG136" i="1"/>
  <c r="CF136" i="1"/>
  <c r="CE136" i="1"/>
  <c r="CD136" i="1"/>
  <c r="CC136" i="1"/>
  <c r="CB136" i="1"/>
  <c r="CA136" i="1"/>
  <c r="BZ136" i="1"/>
  <c r="BY136" i="1"/>
  <c r="BQ136" i="1"/>
  <c r="BP136" i="1"/>
  <c r="BO136" i="1"/>
  <c r="BN136" i="1"/>
  <c r="BM136" i="1"/>
  <c r="BL136" i="1"/>
  <c r="BK136" i="1"/>
  <c r="BJ136" i="1"/>
  <c r="BI136" i="1"/>
  <c r="BH136" i="1"/>
  <c r="AZ136" i="1"/>
  <c r="AY136" i="1"/>
  <c r="AX136" i="1"/>
  <c r="AW136" i="1"/>
  <c r="AV136" i="1"/>
  <c r="AU136" i="1"/>
  <c r="AT136" i="1"/>
  <c r="AS136" i="1"/>
  <c r="AR136" i="1"/>
  <c r="AQ136" i="1"/>
  <c r="AI136" i="1"/>
  <c r="AH136" i="1"/>
  <c r="AG136" i="1"/>
  <c r="AF136" i="1"/>
  <c r="AE136" i="1"/>
  <c r="AD136" i="1"/>
  <c r="AC136" i="1"/>
  <c r="AB136" i="1"/>
  <c r="AA136" i="1"/>
  <c r="Z136" i="1"/>
  <c r="R136" i="1"/>
  <c r="Q136" i="1"/>
  <c r="P136" i="1"/>
  <c r="O136" i="1"/>
  <c r="N136" i="1"/>
  <c r="M136" i="1"/>
  <c r="L136" i="1"/>
  <c r="K136" i="1"/>
  <c r="J136" i="1"/>
  <c r="I136" i="1"/>
  <c r="CM125" i="1"/>
  <c r="CL125" i="1"/>
  <c r="CK125" i="1"/>
  <c r="CJ125" i="1"/>
  <c r="CI125" i="1"/>
  <c r="CH125" i="1"/>
  <c r="CG125" i="1"/>
  <c r="CF125" i="1"/>
  <c r="CE125" i="1"/>
  <c r="CD125" i="1"/>
  <c r="CC125" i="1"/>
  <c r="CB125" i="1"/>
  <c r="CA125" i="1"/>
  <c r="BZ125" i="1"/>
  <c r="BY125" i="1"/>
  <c r="BV125" i="1"/>
  <c r="BU125" i="1"/>
  <c r="BT125" i="1"/>
  <c r="BS125" i="1"/>
  <c r="BR125" i="1"/>
  <c r="BQ125" i="1"/>
  <c r="BP125" i="1"/>
  <c r="BO125" i="1"/>
  <c r="BN125" i="1"/>
  <c r="BM125" i="1"/>
  <c r="BL125" i="1"/>
  <c r="BK125" i="1"/>
  <c r="BJ125" i="1"/>
  <c r="BI125" i="1"/>
  <c r="BH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CM116" i="1"/>
  <c r="CL116" i="1"/>
  <c r="CK116" i="1"/>
  <c r="CJ116" i="1"/>
  <c r="CI116" i="1"/>
  <c r="CH116" i="1"/>
  <c r="CG116" i="1"/>
  <c r="CF116" i="1"/>
  <c r="CE116" i="1"/>
  <c r="CD116" i="1"/>
  <c r="CC116" i="1"/>
  <c r="CB116" i="1"/>
  <c r="CA116" i="1"/>
  <c r="BZ116" i="1"/>
  <c r="BY116" i="1"/>
  <c r="BV116" i="1"/>
  <c r="BU116" i="1"/>
  <c r="BT116" i="1"/>
  <c r="BS116" i="1"/>
  <c r="BR116" i="1"/>
  <c r="BQ116" i="1"/>
  <c r="BP116" i="1"/>
  <c r="BO116" i="1"/>
  <c r="BN116" i="1"/>
  <c r="BM116" i="1"/>
  <c r="BL116" i="1"/>
  <c r="BK116" i="1"/>
  <c r="BJ116" i="1"/>
  <c r="BI116" i="1"/>
  <c r="BH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E112" i="1"/>
  <c r="DG107" i="1"/>
  <c r="DF107" i="1"/>
  <c r="DE107" i="1"/>
  <c r="DD107" i="1"/>
  <c r="DC107" i="1"/>
  <c r="CM107" i="1"/>
  <c r="CL107" i="1"/>
  <c r="CK107" i="1"/>
  <c r="CJ107" i="1"/>
  <c r="CI107" i="1"/>
  <c r="CH107" i="1"/>
  <c r="CG107" i="1"/>
  <c r="CF107" i="1"/>
  <c r="CE107" i="1"/>
  <c r="CD107" i="1"/>
  <c r="CC107" i="1"/>
  <c r="CB107" i="1"/>
  <c r="CA107" i="1"/>
  <c r="BZ107" i="1"/>
  <c r="BY107" i="1"/>
  <c r="BV107" i="1"/>
  <c r="BU107" i="1"/>
  <c r="BT107" i="1"/>
  <c r="BS107" i="1"/>
  <c r="BR107" i="1"/>
  <c r="BQ107" i="1"/>
  <c r="BP107" i="1"/>
  <c r="BO107" i="1"/>
  <c r="BN107" i="1"/>
  <c r="BM107" i="1"/>
  <c r="BL107" i="1"/>
  <c r="BK107" i="1"/>
  <c r="BJ107" i="1"/>
  <c r="BI107" i="1"/>
  <c r="BH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CO105" i="1"/>
  <c r="DG100" i="1"/>
  <c r="DF100" i="1"/>
  <c r="DE100" i="1"/>
  <c r="DD100" i="1"/>
  <c r="DC100" i="1"/>
  <c r="E100" i="1"/>
  <c r="DM95" i="1"/>
  <c r="DL95" i="1"/>
  <c r="DK95" i="1"/>
  <c r="DJ95" i="1"/>
  <c r="DI95" i="1"/>
  <c r="DG95" i="1"/>
  <c r="DF95" i="1"/>
  <c r="DE95" i="1"/>
  <c r="DD95" i="1"/>
  <c r="DC95" i="1"/>
  <c r="CH95" i="1"/>
  <c r="CG95" i="1"/>
  <c r="CF95" i="1"/>
  <c r="CE95" i="1"/>
  <c r="CD95" i="1"/>
  <c r="CC95" i="1"/>
  <c r="CB95" i="1"/>
  <c r="CA95" i="1"/>
  <c r="BZ95" i="1"/>
  <c r="BY95" i="1"/>
  <c r="BQ95" i="1"/>
  <c r="BP95" i="1"/>
  <c r="BO95" i="1"/>
  <c r="BN95" i="1"/>
  <c r="BM95" i="1"/>
  <c r="BL95" i="1"/>
  <c r="BK95" i="1"/>
  <c r="BJ95" i="1"/>
  <c r="BI95" i="1"/>
  <c r="BH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I95" i="1"/>
  <c r="AH95" i="1"/>
  <c r="AG95" i="1"/>
  <c r="AF95" i="1"/>
  <c r="AE95" i="1"/>
  <c r="AD95" i="1"/>
  <c r="AC95" i="1"/>
  <c r="AB95" i="1"/>
  <c r="AA95" i="1"/>
  <c r="Z95" i="1"/>
  <c r="R95" i="1"/>
  <c r="Q95" i="1"/>
  <c r="P95" i="1"/>
  <c r="O95" i="1"/>
  <c r="N95" i="1"/>
  <c r="M95" i="1"/>
  <c r="L95" i="1"/>
  <c r="K95" i="1"/>
  <c r="J95" i="1"/>
  <c r="I95" i="1"/>
  <c r="E91" i="1"/>
  <c r="CH86" i="1"/>
  <c r="CG86" i="1"/>
  <c r="CF86" i="1"/>
  <c r="CE86" i="1"/>
  <c r="CD86" i="1"/>
  <c r="CC86" i="1"/>
  <c r="CB86" i="1"/>
  <c r="CA86" i="1"/>
  <c r="BZ86" i="1"/>
  <c r="BY86" i="1"/>
  <c r="BQ86" i="1"/>
  <c r="BP86" i="1"/>
  <c r="BO86" i="1"/>
  <c r="BN86" i="1"/>
  <c r="BM86" i="1"/>
  <c r="BL86" i="1"/>
  <c r="BK86" i="1"/>
  <c r="BJ86" i="1"/>
  <c r="BI86" i="1"/>
  <c r="BH86" i="1"/>
  <c r="AZ86" i="1"/>
  <c r="AY86" i="1"/>
  <c r="AX86" i="1"/>
  <c r="AW86" i="1"/>
  <c r="AV86" i="1"/>
  <c r="AU86" i="1"/>
  <c r="AT86" i="1"/>
  <c r="AS86" i="1"/>
  <c r="AR86" i="1"/>
  <c r="AQ86" i="1"/>
  <c r="AI86" i="1"/>
  <c r="AH86" i="1"/>
  <c r="AG86" i="1"/>
  <c r="AF86" i="1"/>
  <c r="AE86" i="1"/>
  <c r="AD86" i="1"/>
  <c r="AC86" i="1"/>
  <c r="AB86" i="1"/>
  <c r="AA86" i="1"/>
  <c r="Z86" i="1"/>
  <c r="R86" i="1"/>
  <c r="Q86" i="1"/>
  <c r="P86" i="1"/>
  <c r="O86" i="1"/>
  <c r="N86" i="1"/>
  <c r="M86" i="1"/>
  <c r="L86" i="1"/>
  <c r="K86" i="1"/>
  <c r="J86" i="1"/>
  <c r="I86" i="1"/>
  <c r="CM75" i="1"/>
  <c r="CL75" i="1"/>
  <c r="CK75" i="1"/>
  <c r="CJ75" i="1"/>
  <c r="CI75" i="1"/>
  <c r="CH75" i="1"/>
  <c r="CG75" i="1"/>
  <c r="CF75" i="1"/>
  <c r="CE75" i="1"/>
  <c r="CD75" i="1"/>
  <c r="CC75" i="1"/>
  <c r="CB75" i="1"/>
  <c r="CA75" i="1"/>
  <c r="BZ75" i="1"/>
  <c r="BY75" i="1"/>
  <c r="BV75" i="1"/>
  <c r="BU75" i="1"/>
  <c r="BT75" i="1"/>
  <c r="BS75" i="1"/>
  <c r="BR75" i="1"/>
  <c r="BQ75" i="1"/>
  <c r="BP75" i="1"/>
  <c r="BO75" i="1"/>
  <c r="BN75" i="1"/>
  <c r="BM75" i="1"/>
  <c r="BL75" i="1"/>
  <c r="BK75" i="1"/>
  <c r="BJ75" i="1"/>
  <c r="BI75" i="1"/>
  <c r="BH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CM66" i="1"/>
  <c r="CL66" i="1"/>
  <c r="CK66" i="1"/>
  <c r="CJ66" i="1"/>
  <c r="CI66" i="1"/>
  <c r="CH66" i="1"/>
  <c r="CG66" i="1"/>
  <c r="CF66" i="1"/>
  <c r="CE66" i="1"/>
  <c r="CD66" i="1"/>
  <c r="CC66" i="1"/>
  <c r="CB66" i="1"/>
  <c r="CA66" i="1"/>
  <c r="BZ66" i="1"/>
  <c r="BY66" i="1"/>
  <c r="BV66" i="1"/>
  <c r="BU66" i="1"/>
  <c r="BT66" i="1"/>
  <c r="BS66" i="1"/>
  <c r="BR66" i="1"/>
  <c r="BQ66" i="1"/>
  <c r="BP66" i="1"/>
  <c r="BO66" i="1"/>
  <c r="BN66" i="1"/>
  <c r="BM66" i="1"/>
  <c r="BL66" i="1"/>
  <c r="BK66" i="1"/>
  <c r="BJ66" i="1"/>
  <c r="BI66" i="1"/>
  <c r="BH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E62" i="1"/>
  <c r="DM57" i="1"/>
  <c r="DL57" i="1"/>
  <c r="DK57" i="1"/>
  <c r="DJ57" i="1"/>
  <c r="DI57" i="1"/>
  <c r="DG57" i="1"/>
  <c r="DF57" i="1"/>
  <c r="DE57" i="1"/>
  <c r="DD57" i="1"/>
  <c r="DC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BY57" i="1"/>
  <c r="BV57" i="1"/>
  <c r="BU57" i="1"/>
  <c r="BT57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CO55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DM37" i="1"/>
  <c r="DL37" i="1"/>
  <c r="DK37" i="1"/>
  <c r="DJ37" i="1"/>
  <c r="DI37" i="1"/>
  <c r="DG37" i="1"/>
  <c r="DF37" i="1"/>
  <c r="DE37" i="1"/>
  <c r="DD37" i="1"/>
  <c r="DC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DM28" i="1"/>
  <c r="DL28" i="1"/>
  <c r="DK28" i="1"/>
  <c r="DJ28" i="1"/>
  <c r="DI28" i="1"/>
  <c r="DG28" i="1"/>
  <c r="DF28" i="1"/>
  <c r="DE28" i="1"/>
  <c r="DD28" i="1"/>
  <c r="DC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DM19" i="1"/>
  <c r="DL19" i="1"/>
  <c r="DK19" i="1"/>
  <c r="DJ19" i="1"/>
  <c r="DI19" i="1"/>
  <c r="DG19" i="1"/>
  <c r="DF19" i="1"/>
  <c r="DE19" i="1"/>
  <c r="DD19" i="1"/>
  <c r="DC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DM10" i="1"/>
  <c r="DL10" i="1"/>
  <c r="DK10" i="1"/>
  <c r="DJ10" i="1"/>
  <c r="DI10" i="1"/>
  <c r="DG10" i="1"/>
  <c r="DF10" i="1"/>
  <c r="DE10" i="1"/>
  <c r="DD10" i="1"/>
  <c r="DC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BY6" i="1"/>
  <c r="BH6" i="1"/>
  <c r="AQ6" i="1"/>
  <c r="Z6" i="1"/>
  <c r="N1" i="1"/>
  <c r="O1" i="1" s="1"/>
  <c r="P1" i="1" s="1"/>
  <c r="Q1" i="1" s="1"/>
  <c r="R1" i="1" s="1"/>
  <c r="I1" i="1"/>
  <c r="J1" i="1" s="1"/>
  <c r="K1" i="1" s="1"/>
  <c r="L1" i="1" s="1"/>
  <c r="M1" i="1" s="1"/>
  <c r="M371" i="1" l="1" a="1"/>
  <c r="M371" i="1" s="1"/>
  <c r="K371" i="1" a="1"/>
  <c r="K371" i="1" s="1"/>
  <c r="I371" i="1" a="1"/>
  <c r="I371" i="1" s="1"/>
  <c r="L369" i="1" a="1"/>
  <c r="L369" i="1" s="1"/>
  <c r="J369" i="1" a="1"/>
  <c r="J369" i="1" s="1"/>
  <c r="M370" i="1" a="1"/>
  <c r="M370" i="1" s="1"/>
  <c r="K370" i="1" a="1"/>
  <c r="K370" i="1" s="1"/>
  <c r="I370" i="1" a="1"/>
  <c r="I370" i="1" s="1"/>
  <c r="L368" i="1" a="1"/>
  <c r="L368" i="1" s="1"/>
  <c r="J368" i="1" a="1"/>
  <c r="J368" i="1" s="1"/>
  <c r="L371" i="1" a="1"/>
  <c r="L371" i="1" s="1"/>
  <c r="L370" i="1" a="1"/>
  <c r="L370" i="1" s="1"/>
  <c r="J370" i="1" a="1"/>
  <c r="J370" i="1" s="1"/>
  <c r="M368" i="1" a="1"/>
  <c r="M368" i="1" s="1"/>
  <c r="K368" i="1" a="1"/>
  <c r="K368" i="1" s="1"/>
  <c r="I368" i="1" a="1"/>
  <c r="I368" i="1" s="1"/>
  <c r="M369" i="1" a="1"/>
  <c r="M369" i="1" s="1"/>
  <c r="L362" i="1" a="1"/>
  <c r="L362" i="1" s="1"/>
  <c r="J362" i="1" a="1"/>
  <c r="J362" i="1" s="1"/>
  <c r="J258" i="1" s="1" a="1"/>
  <c r="J258" i="1" s="1"/>
  <c r="L361" i="1" a="1"/>
  <c r="L361" i="1" s="1"/>
  <c r="L257" i="1" s="1" a="1"/>
  <c r="L257" i="1" s="1"/>
  <c r="J361" i="1" a="1"/>
  <c r="J361" i="1" s="1"/>
  <c r="L360" i="1" a="1"/>
  <c r="L360" i="1" s="1"/>
  <c r="L256" i="1" s="1" a="1"/>
  <c r="L256" i="1" s="1"/>
  <c r="J360" i="1" a="1"/>
  <c r="J360" i="1" s="1"/>
  <c r="L359" i="1" a="1"/>
  <c r="L359" i="1" s="1"/>
  <c r="J359" i="1" a="1"/>
  <c r="J359" i="1" s="1"/>
  <c r="J371" i="1" a="1"/>
  <c r="J371" i="1" s="1"/>
  <c r="K369" i="1" a="1"/>
  <c r="K369" i="1" s="1"/>
  <c r="I369" i="1" a="1"/>
  <c r="I369" i="1" s="1"/>
  <c r="M362" i="1" a="1"/>
  <c r="M362" i="1" s="1"/>
  <c r="K362" i="1" a="1"/>
  <c r="K362" i="1" s="1"/>
  <c r="I362" i="1" a="1"/>
  <c r="I362" i="1" s="1"/>
  <c r="I258" i="1" s="1" a="1"/>
  <c r="I258" i="1" s="1"/>
  <c r="M361" i="1" a="1"/>
  <c r="M361" i="1" s="1"/>
  <c r="M257" i="1" s="1" a="1"/>
  <c r="M257" i="1" s="1"/>
  <c r="K361" i="1" a="1"/>
  <c r="K361" i="1" s="1"/>
  <c r="I361" i="1" a="1"/>
  <c r="I361" i="1" s="1"/>
  <c r="M360" i="1" a="1"/>
  <c r="M360" i="1" s="1"/>
  <c r="M256" i="1" s="1" a="1"/>
  <c r="M256" i="1" s="1"/>
  <c r="K360" i="1" a="1"/>
  <c r="K360" i="1" s="1"/>
  <c r="K256" i="1" s="1" a="1"/>
  <c r="K256" i="1" s="1"/>
  <c r="I360" i="1" a="1"/>
  <c r="I360" i="1" s="1"/>
  <c r="M359" i="1" a="1"/>
  <c r="M359" i="1" s="1"/>
  <c r="K359" i="1" a="1"/>
  <c r="K359" i="1" s="1"/>
  <c r="K255" i="1" s="1" a="1"/>
  <c r="K255" i="1" s="1"/>
  <c r="I359" i="1" a="1"/>
  <c r="I359" i="1" s="1"/>
  <c r="I255" i="1" s="1" a="1"/>
  <c r="I255" i="1" s="1"/>
  <c r="AU353" i="1" a="1"/>
  <c r="AU353" i="1" s="1"/>
  <c r="AS353" i="1" a="1"/>
  <c r="AS353" i="1" s="1"/>
  <c r="AQ353" i="1" a="1"/>
  <c r="AQ353" i="1" s="1"/>
  <c r="AU352" i="1" a="1"/>
  <c r="AU352" i="1" s="1"/>
  <c r="AS352" i="1" a="1"/>
  <c r="AS352" i="1" s="1"/>
  <c r="AQ352" i="1" a="1"/>
  <c r="AQ352" i="1" s="1"/>
  <c r="AU351" i="1" a="1"/>
  <c r="AU351" i="1" s="1"/>
  <c r="AS351" i="1" a="1"/>
  <c r="AS351" i="1" s="1"/>
  <c r="AQ351" i="1" a="1"/>
  <c r="AQ351" i="1" s="1"/>
  <c r="M353" i="1" a="1"/>
  <c r="M353" i="1" s="1"/>
  <c r="K353" i="1" a="1"/>
  <c r="K353" i="1" s="1"/>
  <c r="I353" i="1" a="1"/>
  <c r="I353" i="1" s="1"/>
  <c r="M352" i="1" a="1"/>
  <c r="M352" i="1" s="1"/>
  <c r="K352" i="1" a="1"/>
  <c r="K352" i="1" s="1"/>
  <c r="I352" i="1" a="1"/>
  <c r="I352" i="1" s="1"/>
  <c r="M351" i="1" a="1"/>
  <c r="M351" i="1" s="1"/>
  <c r="K351" i="1" a="1"/>
  <c r="K351" i="1" s="1"/>
  <c r="I351" i="1" a="1"/>
  <c r="I351" i="1" s="1"/>
  <c r="M350" i="1" a="1"/>
  <c r="M350" i="1" s="1"/>
  <c r="K350" i="1" a="1"/>
  <c r="K350" i="1" s="1"/>
  <c r="I350" i="1" a="1"/>
  <c r="I350" i="1" s="1"/>
  <c r="AT353" i="1" a="1"/>
  <c r="AT353" i="1" s="1"/>
  <c r="AR353" i="1" a="1"/>
  <c r="AR353" i="1" s="1"/>
  <c r="AT352" i="1" a="1"/>
  <c r="AT352" i="1" s="1"/>
  <c r="AR352" i="1" a="1"/>
  <c r="AR352" i="1" s="1"/>
  <c r="AT351" i="1" a="1"/>
  <c r="AT351" i="1" s="1"/>
  <c r="AR351" i="1" a="1"/>
  <c r="AR351" i="1" s="1"/>
  <c r="J353" i="1" a="1"/>
  <c r="J353" i="1" s="1"/>
  <c r="AU350" i="1" a="1"/>
  <c r="AU350" i="1" s="1"/>
  <c r="AR350" i="1" a="1"/>
  <c r="AR350" i="1" s="1"/>
  <c r="L350" i="1" a="1"/>
  <c r="L350" i="1" s="1"/>
  <c r="CO344" i="1" a="1"/>
  <c r="CO344" i="1" s="1"/>
  <c r="M344" i="1" a="1"/>
  <c r="M344" i="1" s="1"/>
  <c r="K344" i="1" a="1"/>
  <c r="K344" i="1" s="1"/>
  <c r="I344" i="1" a="1"/>
  <c r="I344" i="1" s="1"/>
  <c r="CO343" i="1" a="1"/>
  <c r="CO343" i="1" s="1"/>
  <c r="M343" i="1" a="1"/>
  <c r="M343" i="1" s="1"/>
  <c r="K343" i="1" a="1"/>
  <c r="K343" i="1" s="1"/>
  <c r="I343" i="1" a="1"/>
  <c r="I343" i="1" s="1"/>
  <c r="CO342" i="1" a="1"/>
  <c r="CO342" i="1" s="1"/>
  <c r="M342" i="1" a="1"/>
  <c r="M342" i="1" s="1"/>
  <c r="K342" i="1" a="1"/>
  <c r="K342" i="1" s="1"/>
  <c r="I342" i="1" a="1"/>
  <c r="I342" i="1" s="1"/>
  <c r="CO341" i="1" a="1"/>
  <c r="CO341" i="1" s="1"/>
  <c r="M341" i="1" a="1"/>
  <c r="M341" i="1" s="1"/>
  <c r="K341" i="1" a="1"/>
  <c r="K341" i="1" s="1"/>
  <c r="I341" i="1" a="1"/>
  <c r="I341" i="1" s="1"/>
  <c r="AR370" i="1" a="1"/>
  <c r="AR370" i="1" s="1"/>
  <c r="L351" i="1" a="1"/>
  <c r="L351" i="1" s="1"/>
  <c r="AT350" i="1" a="1"/>
  <c r="AT350" i="1" s="1"/>
  <c r="L352" i="1" a="1"/>
  <c r="L352" i="1" s="1"/>
  <c r="J351" i="1" a="1"/>
  <c r="J351" i="1" s="1"/>
  <c r="AQ350" i="1" a="1"/>
  <c r="AQ350" i="1" s="1"/>
  <c r="CP344" i="1" a="1"/>
  <c r="CP344" i="1" s="1"/>
  <c r="L344" i="1" a="1"/>
  <c r="L344" i="1" s="1"/>
  <c r="J344" i="1" a="1"/>
  <c r="J344" i="1" s="1"/>
  <c r="CP343" i="1" a="1"/>
  <c r="CP343" i="1" s="1"/>
  <c r="L343" i="1" a="1"/>
  <c r="L343" i="1" s="1"/>
  <c r="AR361" i="1" a="1"/>
  <c r="AR361" i="1" s="1"/>
  <c r="L353" i="1" a="1"/>
  <c r="L353" i="1" s="1"/>
  <c r="J352" i="1" a="1"/>
  <c r="J352" i="1" s="1"/>
  <c r="J343" i="1" a="1"/>
  <c r="J343" i="1" s="1"/>
  <c r="CP342" i="1" a="1"/>
  <c r="CP342" i="1" s="1"/>
  <c r="L342" i="1" a="1"/>
  <c r="L342" i="1" s="1"/>
  <c r="CP335" i="1" a="1"/>
  <c r="CP335" i="1" s="1"/>
  <c r="K335" i="1" a="1"/>
  <c r="K335" i="1" s="1"/>
  <c r="M334" i="1" a="1"/>
  <c r="M334" i="1" s="1"/>
  <c r="M230" i="1" s="1" a="1"/>
  <c r="M230" i="1" s="1"/>
  <c r="J334" i="1" a="1"/>
  <c r="J334" i="1" s="1"/>
  <c r="J230" i="1" s="1" a="1"/>
  <c r="J230" i="1" s="1"/>
  <c r="CO333" i="1" a="1"/>
  <c r="CO333" i="1" s="1"/>
  <c r="L333" i="1" a="1"/>
  <c r="L333" i="1" s="1"/>
  <c r="J333" i="1" a="1"/>
  <c r="J333" i="1" s="1"/>
  <c r="J229" i="1" s="1" a="1"/>
  <c r="J229" i="1" s="1"/>
  <c r="CP332" i="1" a="1"/>
  <c r="CP332" i="1" s="1"/>
  <c r="L332" i="1" a="1"/>
  <c r="L332" i="1" s="1"/>
  <c r="J332" i="1" a="1"/>
  <c r="J332" i="1" s="1"/>
  <c r="AS368" i="1" a="1"/>
  <c r="AS368" i="1" s="1"/>
  <c r="AS350" i="1" a="1"/>
  <c r="AS350" i="1" s="1"/>
  <c r="CP341" i="1" a="1"/>
  <c r="CP341" i="1" s="1"/>
  <c r="M335" i="1" a="1"/>
  <c r="M335" i="1" s="1"/>
  <c r="J335" i="1" a="1"/>
  <c r="J335" i="1" s="1"/>
  <c r="J231" i="1" s="1" a="1"/>
  <c r="J231" i="1" s="1"/>
  <c r="CO334" i="1" a="1"/>
  <c r="CO334" i="1" s="1"/>
  <c r="L334" i="1" a="1"/>
  <c r="L334" i="1" s="1"/>
  <c r="CO326" i="1" a="1"/>
  <c r="CO326" i="1" s="1"/>
  <c r="M326" i="1" a="1"/>
  <c r="M326" i="1" s="1"/>
  <c r="K326" i="1" a="1"/>
  <c r="K326" i="1" s="1"/>
  <c r="I326" i="1" a="1"/>
  <c r="I326" i="1" s="1"/>
  <c r="CO325" i="1" a="1"/>
  <c r="CO325" i="1" s="1"/>
  <c r="M325" i="1" a="1"/>
  <c r="M325" i="1" s="1"/>
  <c r="K325" i="1" a="1"/>
  <c r="K325" i="1" s="1"/>
  <c r="I325" i="1" a="1"/>
  <c r="I325" i="1" s="1"/>
  <c r="AS359" i="1" a="1"/>
  <c r="AS359" i="1" s="1"/>
  <c r="AS255" i="1" s="1" a="1"/>
  <c r="AS255" i="1" s="1"/>
  <c r="J350" i="1" a="1"/>
  <c r="J350" i="1" s="1"/>
  <c r="J341" i="1" a="1"/>
  <c r="J341" i="1" s="1"/>
  <c r="CO335" i="1" a="1"/>
  <c r="CO335" i="1" s="1"/>
  <c r="L335" i="1" a="1"/>
  <c r="L335" i="1" s="1"/>
  <c r="L231" i="1" s="1" a="1"/>
  <c r="L231" i="1" s="1"/>
  <c r="I334" i="1" a="1"/>
  <c r="I334" i="1" s="1"/>
  <c r="I230" i="1" s="1" a="1"/>
  <c r="I230" i="1" s="1"/>
  <c r="CP333" i="1" a="1"/>
  <c r="CP333" i="1" s="1"/>
  <c r="M333" i="1" a="1"/>
  <c r="M333" i="1" s="1"/>
  <c r="K333" i="1" a="1"/>
  <c r="K333" i="1" s="1"/>
  <c r="I333" i="1" a="1"/>
  <c r="I333" i="1" s="1"/>
  <c r="I229" i="1" s="1" a="1"/>
  <c r="I229" i="1" s="1"/>
  <c r="CO332" i="1" a="1"/>
  <c r="CO332" i="1" s="1"/>
  <c r="M332" i="1" a="1"/>
  <c r="M332" i="1" s="1"/>
  <c r="K332" i="1" a="1"/>
  <c r="K332" i="1" s="1"/>
  <c r="I332" i="1" a="1"/>
  <c r="I332" i="1" s="1"/>
  <c r="I228" i="1" s="1" a="1"/>
  <c r="I228" i="1" s="1"/>
  <c r="AT324" i="1" a="1"/>
  <c r="AT324" i="1" s="1"/>
  <c r="AS342" i="1" a="1"/>
  <c r="AS342" i="1" s="1"/>
  <c r="AU341" i="1" a="1"/>
  <c r="AU341" i="1" s="1"/>
  <c r="CP325" i="1" a="1"/>
  <c r="CP325" i="1" s="1"/>
  <c r="K324" i="1" a="1"/>
  <c r="K324" i="1" s="1"/>
  <c r="CP323" i="1" a="1"/>
  <c r="CP323" i="1" s="1"/>
  <c r="M323" i="1" a="1"/>
  <c r="M323" i="1" s="1"/>
  <c r="CU297" i="1" a="1"/>
  <c r="CU297" i="1" s="1"/>
  <c r="CP297" i="1" a="1"/>
  <c r="CP297" i="1" s="1"/>
  <c r="CR296" i="1" a="1"/>
  <c r="CR296" i="1" s="1"/>
  <c r="AY296" i="1" a="1"/>
  <c r="AY296" i="1" s="1"/>
  <c r="BP296" i="1" s="1"/>
  <c r="AW296" i="1" a="1"/>
  <c r="AW296" i="1" s="1"/>
  <c r="BN296" i="1" s="1"/>
  <c r="AU296" i="1" a="1"/>
  <c r="AU296" i="1" s="1"/>
  <c r="AS296" i="1" a="1"/>
  <c r="AS296" i="1" s="1"/>
  <c r="AQ296" i="1" a="1"/>
  <c r="AQ296" i="1" s="1"/>
  <c r="Q296" i="1" a="1"/>
  <c r="Q296" i="1" s="1"/>
  <c r="AH296" i="1" s="1"/>
  <c r="O296" i="1" a="1"/>
  <c r="O296" i="1" s="1"/>
  <c r="AF296" i="1" s="1"/>
  <c r="M296" i="1" a="1"/>
  <c r="M296" i="1" s="1"/>
  <c r="K296" i="1" a="1"/>
  <c r="K296" i="1" s="1"/>
  <c r="I296" i="1" a="1"/>
  <c r="I296" i="1" s="1"/>
  <c r="I192" i="1" s="1" a="1"/>
  <c r="I192" i="1" s="1"/>
  <c r="CV295" i="1" a="1"/>
  <c r="CV295" i="1" s="1"/>
  <c r="CO295" i="1" a="1"/>
  <c r="CO295" i="1" s="1"/>
  <c r="CS294" i="1" a="1"/>
  <c r="CS294" i="1" s="1"/>
  <c r="AZ294" i="1" a="1"/>
  <c r="AZ294" i="1" s="1"/>
  <c r="AX294" i="1" a="1"/>
  <c r="AX294" i="1" s="1"/>
  <c r="AV294" i="1" a="1"/>
  <c r="AV294" i="1" s="1"/>
  <c r="AT294" i="1" a="1"/>
  <c r="AT294" i="1" s="1"/>
  <c r="AR294" i="1" a="1"/>
  <c r="AR294" i="1" s="1"/>
  <c r="AT362" i="1" a="1"/>
  <c r="AT362" i="1" s="1"/>
  <c r="AT258" i="1" s="1" a="1"/>
  <c r="AT258" i="1" s="1"/>
  <c r="J342" i="1" a="1"/>
  <c r="J342" i="1" s="1"/>
  <c r="AR341" i="1" a="1"/>
  <c r="AR341" i="1" s="1"/>
  <c r="L341" i="1" a="1"/>
  <c r="L341" i="1" s="1"/>
  <c r="I335" i="1" a="1"/>
  <c r="I335" i="1" s="1"/>
  <c r="I231" i="1" s="1" a="1"/>
  <c r="I231" i="1" s="1"/>
  <c r="AQ334" i="1" a="1"/>
  <c r="AQ334" i="1" s="1"/>
  <c r="K334" i="1" a="1"/>
  <c r="K334" i="1" s="1"/>
  <c r="AS333" i="1" a="1"/>
  <c r="AS333" i="1" s="1"/>
  <c r="AT332" i="1" a="1"/>
  <c r="AT332" i="1" s="1"/>
  <c r="L326" i="1" a="1"/>
  <c r="L326" i="1" s="1"/>
  <c r="CP324" i="1" a="1"/>
  <c r="CP324" i="1" s="1"/>
  <c r="M324" i="1" a="1"/>
  <c r="M324" i="1" s="1"/>
  <c r="CO323" i="1" a="1"/>
  <c r="CO323" i="1" s="1"/>
  <c r="J323" i="1" a="1"/>
  <c r="J323" i="1" s="1"/>
  <c r="CP334" i="1" a="1"/>
  <c r="CP334" i="1" s="1"/>
  <c r="AR332" i="1" a="1"/>
  <c r="AR332" i="1" s="1"/>
  <c r="J326" i="1" a="1"/>
  <c r="J326" i="1" s="1"/>
  <c r="L325" i="1" a="1"/>
  <c r="L325" i="1" s="1"/>
  <c r="CO324" i="1" a="1"/>
  <c r="CO324" i="1" s="1"/>
  <c r="J324" i="1" a="1"/>
  <c r="J324" i="1" s="1"/>
  <c r="AR323" i="1" a="1"/>
  <c r="AR323" i="1" s="1"/>
  <c r="L323" i="1" a="1"/>
  <c r="L323" i="1" s="1"/>
  <c r="I323" i="1" a="1"/>
  <c r="I323" i="1" s="1"/>
  <c r="CP326" i="1" a="1"/>
  <c r="CP326" i="1" s="1"/>
  <c r="J325" i="1" a="1"/>
  <c r="J325" i="1" s="1"/>
  <c r="CB306" i="1" a="1"/>
  <c r="CB306" i="1" s="1"/>
  <c r="CB305" i="1" a="1"/>
  <c r="CB305" i="1" s="1"/>
  <c r="CB304" i="1" a="1"/>
  <c r="CB304" i="1" s="1"/>
  <c r="CB303" i="1" a="1"/>
  <c r="CB303" i="1" s="1"/>
  <c r="AY297" i="1" a="1"/>
  <c r="AY297" i="1" s="1"/>
  <c r="BP297" i="1" s="1"/>
  <c r="AT297" i="1" a="1"/>
  <c r="AT297" i="1" s="1"/>
  <c r="AQ297" i="1" a="1"/>
  <c r="AQ297" i="1" s="1"/>
  <c r="P297" i="1" a="1"/>
  <c r="P297" i="1" s="1"/>
  <c r="AG297" i="1" s="1"/>
  <c r="M297" i="1" a="1"/>
  <c r="M297" i="1" s="1"/>
  <c r="CV296" i="1" a="1"/>
  <c r="CV296" i="1" s="1"/>
  <c r="CS296" i="1" a="1"/>
  <c r="CS296" i="1" s="1"/>
  <c r="CP296" i="1" a="1"/>
  <c r="CP296" i="1" s="1"/>
  <c r="AX296" i="1" a="1"/>
  <c r="AX296" i="1" s="1"/>
  <c r="BO296" i="1" s="1"/>
  <c r="L296" i="1" a="1"/>
  <c r="L296" i="1" s="1"/>
  <c r="CU295" i="1" a="1"/>
  <c r="CU295" i="1" s="1"/>
  <c r="CR295" i="1" a="1"/>
  <c r="CR295" i="1" s="1"/>
  <c r="AW295" i="1" a="1"/>
  <c r="AW295" i="1" s="1"/>
  <c r="BN295" i="1" s="1"/>
  <c r="AT295" i="1" a="1"/>
  <c r="AT295" i="1" s="1"/>
  <c r="P295" i="1" a="1"/>
  <c r="P295" i="1" s="1"/>
  <c r="AG295" i="1" s="1"/>
  <c r="K295" i="1" a="1"/>
  <c r="K295" i="1" s="1"/>
  <c r="CP294" i="1" a="1"/>
  <c r="CP294" i="1" s="1"/>
  <c r="AS294" i="1" a="1"/>
  <c r="AS294" i="1" s="1"/>
  <c r="CU288" i="1" a="1"/>
  <c r="CU288" i="1" s="1"/>
  <c r="CP288" i="1" a="1"/>
  <c r="CP288" i="1" s="1"/>
  <c r="CV287" i="1" a="1"/>
  <c r="CV287" i="1" s="1"/>
  <c r="CO287" i="1" a="1"/>
  <c r="CO287" i="1" s="1"/>
  <c r="CU286" i="1" a="1"/>
  <c r="CU286" i="1" s="1"/>
  <c r="CP286" i="1" a="1"/>
  <c r="CP286" i="1" s="1"/>
  <c r="CV285" i="1" a="1"/>
  <c r="CV285" i="1" s="1"/>
  <c r="CO285" i="1" a="1"/>
  <c r="CO285" i="1" s="1"/>
  <c r="CS279" i="1" a="1"/>
  <c r="CS279" i="1" s="1"/>
  <c r="AZ279" i="1" a="1"/>
  <c r="AZ279" i="1" s="1"/>
  <c r="BQ279" i="1" s="1"/>
  <c r="AX279" i="1" a="1"/>
  <c r="AX279" i="1" s="1"/>
  <c r="BO279" i="1" s="1"/>
  <c r="AV279" i="1" a="1"/>
  <c r="AV279" i="1" s="1"/>
  <c r="BM279" i="1" s="1"/>
  <c r="R279" i="1" a="1"/>
  <c r="R279" i="1" s="1"/>
  <c r="AI279" i="1" s="1"/>
  <c r="P279" i="1" a="1"/>
  <c r="P279" i="1" s="1"/>
  <c r="AG279" i="1" s="1"/>
  <c r="AU344" i="1" a="1"/>
  <c r="AU344" i="1" s="1"/>
  <c r="AR324" i="1" a="1"/>
  <c r="AR324" i="1" s="1"/>
  <c r="L324" i="1" a="1"/>
  <c r="L324" i="1" s="1"/>
  <c r="AT323" i="1" a="1"/>
  <c r="AT323" i="1" s="1"/>
  <c r="CA306" i="1" a="1"/>
  <c r="CA306" i="1" s="1"/>
  <c r="CA305" i="1" a="1"/>
  <c r="CA305" i="1" s="1"/>
  <c r="CA304" i="1" a="1"/>
  <c r="CA304" i="1" s="1"/>
  <c r="CA303" i="1" a="1"/>
  <c r="CA303" i="1" s="1"/>
  <c r="AV297" i="1" a="1"/>
  <c r="AV297" i="1" s="1"/>
  <c r="BM297" i="1" s="1"/>
  <c r="AS297" i="1" a="1"/>
  <c r="AS297" i="1" s="1"/>
  <c r="R297" i="1" a="1"/>
  <c r="R297" i="1" s="1"/>
  <c r="AI297" i="1" s="1"/>
  <c r="O297" i="1" a="1"/>
  <c r="O297" i="1" s="1"/>
  <c r="AF297" i="1" s="1"/>
  <c r="J297" i="1" a="1"/>
  <c r="J297" i="1" s="1"/>
  <c r="CO296" i="1" a="1"/>
  <c r="CO296" i="1" s="1"/>
  <c r="AZ296" i="1" a="1"/>
  <c r="AZ296" i="1" s="1"/>
  <c r="BQ296" i="1" s="1"/>
  <c r="AR296" i="1" a="1"/>
  <c r="AR296" i="1" s="1"/>
  <c r="N296" i="1" a="1"/>
  <c r="N296" i="1" s="1"/>
  <c r="AE296" i="1" s="1"/>
  <c r="AY295" i="1" a="1"/>
  <c r="AY295" i="1" s="1"/>
  <c r="BP295" i="1" s="1"/>
  <c r="AV295" i="1" a="1"/>
  <c r="AV295" i="1" s="1"/>
  <c r="BM295" i="1" s="1"/>
  <c r="AQ295" i="1" a="1"/>
  <c r="AQ295" i="1" s="1"/>
  <c r="R295" i="1" a="1"/>
  <c r="R295" i="1" s="1"/>
  <c r="AI295" i="1" s="1"/>
  <c r="M295" i="1" a="1"/>
  <c r="M295" i="1" s="1"/>
  <c r="J295" i="1" a="1"/>
  <c r="J295" i="1" s="1"/>
  <c r="J191" i="1" s="1" a="1"/>
  <c r="J191" i="1" s="1"/>
  <c r="CV294" i="1" a="1"/>
  <c r="CV294" i="1" s="1"/>
  <c r="AU294" i="1" a="1"/>
  <c r="AU294" i="1" s="1"/>
  <c r="I324" i="1" a="1"/>
  <c r="I324" i="1" s="1"/>
  <c r="K323" i="1" a="1"/>
  <c r="K323" i="1" s="1"/>
  <c r="BZ306" i="1" a="1"/>
  <c r="BZ306" i="1" s="1"/>
  <c r="BZ305" i="1" a="1"/>
  <c r="BZ305" i="1" s="1"/>
  <c r="BZ304" i="1" a="1"/>
  <c r="BZ304" i="1" s="1"/>
  <c r="BZ303" i="1" a="1"/>
  <c r="BZ303" i="1" s="1"/>
  <c r="CV297" i="1" a="1"/>
  <c r="CV297" i="1" s="1"/>
  <c r="CS297" i="1" a="1"/>
  <c r="CS297" i="1" s="1"/>
  <c r="AX297" i="1" a="1"/>
  <c r="AX297" i="1" s="1"/>
  <c r="BO297" i="1" s="1"/>
  <c r="AU297" i="1" a="1"/>
  <c r="AU297" i="1" s="1"/>
  <c r="Q297" i="1" a="1"/>
  <c r="Q297" i="1" s="1"/>
  <c r="AH297" i="1" s="1"/>
  <c r="L297" i="1" a="1"/>
  <c r="L297" i="1" s="1"/>
  <c r="I297" i="1" a="1"/>
  <c r="I297" i="1" s="1"/>
  <c r="CU296" i="1" a="1"/>
  <c r="CU296" i="1" s="1"/>
  <c r="AT296" i="1" a="1"/>
  <c r="AT296" i="1" s="1"/>
  <c r="P296" i="1" a="1"/>
  <c r="P296" i="1" s="1"/>
  <c r="AG296" i="1" s="1"/>
  <c r="CS295" i="1" a="1"/>
  <c r="CS295" i="1" s="1"/>
  <c r="CP295" i="1" a="1"/>
  <c r="CP295" i="1" s="1"/>
  <c r="AX295" i="1" a="1"/>
  <c r="AX295" i="1" s="1"/>
  <c r="BO295" i="1" s="1"/>
  <c r="AS295" i="1" a="1"/>
  <c r="AS295" i="1" s="1"/>
  <c r="O295" i="1" a="1"/>
  <c r="O295" i="1" s="1"/>
  <c r="AF295" i="1" s="1"/>
  <c r="L295" i="1" a="1"/>
  <c r="L295" i="1" s="1"/>
  <c r="L191" i="1" s="1" a="1"/>
  <c r="L191" i="1" s="1"/>
  <c r="CU294" i="1" a="1"/>
  <c r="CU294" i="1" s="1"/>
  <c r="CR294" i="1" a="1"/>
  <c r="CR294" i="1" s="1"/>
  <c r="CO294" i="1" a="1"/>
  <c r="CO294" i="1" s="1"/>
  <c r="AW294" i="1" a="1"/>
  <c r="AW294" i="1" s="1"/>
  <c r="CC306" i="1" a="1"/>
  <c r="CC306" i="1" s="1"/>
  <c r="CC304" i="1" a="1"/>
  <c r="CC304" i="1" s="1"/>
  <c r="K297" i="1" a="1"/>
  <c r="K297" i="1" s="1"/>
  <c r="AR295" i="1" a="1"/>
  <c r="AR295" i="1" s="1"/>
  <c r="I295" i="1" a="1"/>
  <c r="I295" i="1" s="1"/>
  <c r="I191" i="1" s="1" a="1"/>
  <c r="I191" i="1" s="1"/>
  <c r="Q294" i="1" a="1"/>
  <c r="Q294" i="1" s="1"/>
  <c r="M294" i="1" a="1"/>
  <c r="M294" i="1" s="1"/>
  <c r="I294" i="1" a="1"/>
  <c r="I294" i="1" s="1"/>
  <c r="I190" i="1" s="1" a="1"/>
  <c r="I190" i="1" s="1"/>
  <c r="CR288" i="1" a="1"/>
  <c r="CR288" i="1" s="1"/>
  <c r="CO288" i="1" a="1"/>
  <c r="CO288" i="1" s="1"/>
  <c r="AZ288" i="1" a="1"/>
  <c r="AZ288" i="1" s="1"/>
  <c r="BQ288" i="1" s="1"/>
  <c r="AW288" i="1" a="1"/>
  <c r="AW288" i="1" s="1"/>
  <c r="BN288" i="1" s="1"/>
  <c r="N288" i="1" a="1"/>
  <c r="N288" i="1" s="1"/>
  <c r="AE288" i="1" s="1"/>
  <c r="K288" i="1" a="1"/>
  <c r="K288" i="1" s="1"/>
  <c r="AY287" i="1" a="1"/>
  <c r="AY287" i="1" s="1"/>
  <c r="BP287" i="1" s="1"/>
  <c r="AV287" i="1" a="1"/>
  <c r="AV287" i="1" s="1"/>
  <c r="BM287" i="1" s="1"/>
  <c r="R287" i="1" a="1"/>
  <c r="R287" i="1" s="1"/>
  <c r="AI287" i="1" s="1"/>
  <c r="M287" i="1" a="1"/>
  <c r="M287" i="1" s="1"/>
  <c r="J287" i="1" a="1"/>
  <c r="J287" i="1" s="1"/>
  <c r="CV286" i="1" a="1"/>
  <c r="CV286" i="1" s="1"/>
  <c r="CS286" i="1" a="1"/>
  <c r="CS286" i="1" s="1"/>
  <c r="AX286" i="1" a="1"/>
  <c r="AX286" i="1" s="1"/>
  <c r="BO286" i="1" s="1"/>
  <c r="Q286" i="1" a="1"/>
  <c r="Q286" i="1" s="1"/>
  <c r="AH286" i="1" s="1"/>
  <c r="L286" i="1" a="1"/>
  <c r="L286" i="1" s="1"/>
  <c r="L182" i="1" s="1" a="1"/>
  <c r="L182" i="1" s="1"/>
  <c r="I286" i="1" a="1"/>
  <c r="I286" i="1" s="1"/>
  <c r="CU285" i="1" a="1"/>
  <c r="CU285" i="1" s="1"/>
  <c r="CR285" i="1" a="1"/>
  <c r="CR285" i="1" s="1"/>
  <c r="AW285" i="1" a="1"/>
  <c r="AW285" i="1" s="1"/>
  <c r="AW181" i="1" s="1" a="1"/>
  <c r="AW181" i="1" s="1"/>
  <c r="P285" i="1" a="1"/>
  <c r="P285" i="1" s="1"/>
  <c r="P181" i="1" s="1" a="1"/>
  <c r="P181" i="1" s="1"/>
  <c r="K285" i="1" a="1"/>
  <c r="K285" i="1" s="1"/>
  <c r="AY279" i="1" a="1"/>
  <c r="AY279" i="1" s="1"/>
  <c r="BP279" i="1" s="1"/>
  <c r="CV278" i="1" a="1"/>
  <c r="CV278" i="1" s="1"/>
  <c r="CO278" i="1" a="1"/>
  <c r="CO278" i="1" s="1"/>
  <c r="CU277" i="1" a="1"/>
  <c r="CU277" i="1" s="1"/>
  <c r="CP277" i="1" a="1"/>
  <c r="CP277" i="1" s="1"/>
  <c r="CV276" i="1" a="1"/>
  <c r="CV276" i="1" s="1"/>
  <c r="CO276" i="1" a="1"/>
  <c r="CO276" i="1" s="1"/>
  <c r="BY306" i="1" a="1"/>
  <c r="BY306" i="1" s="1"/>
  <c r="BY304" i="1" a="1"/>
  <c r="BY304" i="1" s="1"/>
  <c r="AR297" i="1" a="1"/>
  <c r="AR297" i="1" s="1"/>
  <c r="AV296" i="1" a="1"/>
  <c r="AV296" i="1" s="1"/>
  <c r="BM296" i="1" s="1"/>
  <c r="AZ295" i="1" a="1"/>
  <c r="AZ295" i="1" s="1"/>
  <c r="BQ295" i="1" s="1"/>
  <c r="Q295" i="1" a="1"/>
  <c r="Q295" i="1" s="1"/>
  <c r="AH295" i="1" s="1"/>
  <c r="P294" i="1" a="1"/>
  <c r="P294" i="1" s="1"/>
  <c r="P190" i="1" s="1" a="1"/>
  <c r="P190" i="1" s="1"/>
  <c r="L294" i="1" a="1"/>
  <c r="L294" i="1" s="1"/>
  <c r="L190" i="1" s="1" a="1"/>
  <c r="L190" i="1" s="1"/>
  <c r="AY288" i="1" a="1"/>
  <c r="AY288" i="1" s="1"/>
  <c r="BP288" i="1" s="1"/>
  <c r="P288" i="1" a="1"/>
  <c r="P288" i="1" s="1"/>
  <c r="AG288" i="1" s="1"/>
  <c r="M288" i="1" a="1"/>
  <c r="M288" i="1" s="1"/>
  <c r="CS287" i="1" a="1"/>
  <c r="CS287" i="1" s="1"/>
  <c r="CP287" i="1" a="1"/>
  <c r="CP287" i="1" s="1"/>
  <c r="AX287" i="1" a="1"/>
  <c r="AX287" i="1" s="1"/>
  <c r="BO287" i="1" s="1"/>
  <c r="O287" i="1" a="1"/>
  <c r="O287" i="1" s="1"/>
  <c r="AF287" i="1" s="1"/>
  <c r="L287" i="1" a="1"/>
  <c r="L287" i="1" s="1"/>
  <c r="L183" i="1" s="1" a="1"/>
  <c r="L183" i="1" s="1"/>
  <c r="CR286" i="1" a="1"/>
  <c r="CR286" i="1" s="1"/>
  <c r="CO286" i="1" a="1"/>
  <c r="CO286" i="1" s="1"/>
  <c r="AZ286" i="1" a="1"/>
  <c r="AZ286" i="1" s="1"/>
  <c r="BQ286" i="1" s="1"/>
  <c r="AW286" i="1" a="1"/>
  <c r="AW286" i="1" s="1"/>
  <c r="BN286" i="1" s="1"/>
  <c r="N286" i="1" a="1"/>
  <c r="N286" i="1" s="1"/>
  <c r="AE286" i="1" s="1"/>
  <c r="K286" i="1" a="1"/>
  <c r="K286" i="1" s="1"/>
  <c r="AY285" i="1" a="1"/>
  <c r="AY285" i="1" s="1"/>
  <c r="AY181" i="1" s="1" a="1"/>
  <c r="AY181" i="1" s="1"/>
  <c r="AV285" i="1" a="1"/>
  <c r="AV285" i="1" s="1"/>
  <c r="AV181" i="1" s="1" a="1"/>
  <c r="AV181" i="1" s="1"/>
  <c r="R285" i="1" a="1"/>
  <c r="R285" i="1" s="1"/>
  <c r="M285" i="1" a="1"/>
  <c r="M285" i="1" s="1"/>
  <c r="J285" i="1" a="1"/>
  <c r="J285" i="1" s="1"/>
  <c r="J181" i="1" s="1" a="1"/>
  <c r="J181" i="1" s="1"/>
  <c r="CC305" i="1" a="1"/>
  <c r="CC305" i="1" s="1"/>
  <c r="CC303" i="1" a="1"/>
  <c r="CC303" i="1" s="1"/>
  <c r="CR297" i="1" a="1"/>
  <c r="CR297" i="1" s="1"/>
  <c r="AZ297" i="1" a="1"/>
  <c r="AZ297" i="1" s="1"/>
  <c r="BQ297" i="1" s="1"/>
  <c r="J296" i="1" a="1"/>
  <c r="J296" i="1" s="1"/>
  <c r="J192" i="1" s="1" a="1"/>
  <c r="J192" i="1" s="1"/>
  <c r="N295" i="1" a="1"/>
  <c r="N295" i="1" s="1"/>
  <c r="AE295" i="1" s="1"/>
  <c r="AQ294" i="1" a="1"/>
  <c r="AQ294" i="1" s="1"/>
  <c r="O294" i="1" a="1"/>
  <c r="O294" i="1" s="1"/>
  <c r="O190" i="1" s="1" a="1"/>
  <c r="O190" i="1" s="1"/>
  <c r="K294" i="1" a="1"/>
  <c r="K294" i="1" s="1"/>
  <c r="K190" i="1" s="1" a="1"/>
  <c r="K190" i="1" s="1"/>
  <c r="AV288" i="1" a="1"/>
  <c r="AV288" i="1" s="1"/>
  <c r="BM288" i="1" s="1"/>
  <c r="R288" i="1" a="1"/>
  <c r="R288" i="1" s="1"/>
  <c r="AI288" i="1" s="1"/>
  <c r="O288" i="1" a="1"/>
  <c r="O288" i="1" s="1"/>
  <c r="AF288" i="1" s="1"/>
  <c r="J288" i="1" a="1"/>
  <c r="J288" i="1" s="1"/>
  <c r="J184" i="1" s="1" a="1"/>
  <c r="J184" i="1" s="1"/>
  <c r="AZ287" i="1" a="1"/>
  <c r="AZ287" i="1" s="1"/>
  <c r="BQ287" i="1" s="1"/>
  <c r="Q287" i="1" a="1"/>
  <c r="Q287" i="1" s="1"/>
  <c r="AH287" i="1" s="1"/>
  <c r="N287" i="1" a="1"/>
  <c r="N287" i="1" s="1"/>
  <c r="AE287" i="1" s="1"/>
  <c r="I287" i="1" a="1"/>
  <c r="I287" i="1" s="1"/>
  <c r="I183" i="1" s="1" a="1"/>
  <c r="I183" i="1" s="1"/>
  <c r="AY286" i="1" a="1"/>
  <c r="AY286" i="1" s="1"/>
  <c r="BP286" i="1" s="1"/>
  <c r="P286" i="1" a="1"/>
  <c r="P286" i="1" s="1"/>
  <c r="AG286" i="1" s="1"/>
  <c r="M286" i="1" a="1"/>
  <c r="M286" i="1" s="1"/>
  <c r="M182" i="1" s="1" a="1"/>
  <c r="M182" i="1" s="1"/>
  <c r="CS285" i="1" a="1"/>
  <c r="CS285" i="1" s="1"/>
  <c r="CP285" i="1" a="1"/>
  <c r="CP285" i="1" s="1"/>
  <c r="AX285" i="1" a="1"/>
  <c r="AX285" i="1" s="1"/>
  <c r="AX181" i="1" s="1" a="1"/>
  <c r="AX181" i="1" s="1"/>
  <c r="O285" i="1" a="1"/>
  <c r="O285" i="1" s="1"/>
  <c r="O181" i="1" s="1" a="1"/>
  <c r="O181" i="1" s="1"/>
  <c r="L285" i="1" a="1"/>
  <c r="L285" i="1" s="1"/>
  <c r="CV279" i="1" a="1"/>
  <c r="CV279" i="1" s="1"/>
  <c r="Q279" i="1" a="1"/>
  <c r="Q279" i="1" s="1"/>
  <c r="AH279" i="1" s="1"/>
  <c r="CU278" i="1" a="1"/>
  <c r="CU278" i="1" s="1"/>
  <c r="CW278" i="1" s="1"/>
  <c r="CP278" i="1" a="1"/>
  <c r="CP278" i="1" s="1"/>
  <c r="CV277" i="1" a="1"/>
  <c r="CV277" i="1" s="1"/>
  <c r="CO277" i="1" a="1"/>
  <c r="CO277" i="1" s="1"/>
  <c r="CQ277" i="1" s="1"/>
  <c r="CU276" i="1" a="1"/>
  <c r="CU276" i="1" s="1"/>
  <c r="CP276" i="1" a="1"/>
  <c r="CP276" i="1" s="1"/>
  <c r="BY305" i="1" a="1"/>
  <c r="BY305" i="1" s="1"/>
  <c r="R296" i="1" a="1"/>
  <c r="R296" i="1" s="1"/>
  <c r="AI296" i="1" s="1"/>
  <c r="AU295" i="1" a="1"/>
  <c r="AU295" i="1" s="1"/>
  <c r="R294" i="1" a="1"/>
  <c r="R294" i="1" s="1"/>
  <c r="R190" i="1" s="1" a="1"/>
  <c r="R190" i="1" s="1"/>
  <c r="L288" i="1" a="1"/>
  <c r="L288" i="1" s="1"/>
  <c r="AW287" i="1" a="1"/>
  <c r="AW287" i="1" s="1"/>
  <c r="BN287" i="1" s="1"/>
  <c r="O286" i="1" a="1"/>
  <c r="O286" i="1" s="1"/>
  <c r="AF286" i="1" s="1"/>
  <c r="AZ285" i="1" a="1"/>
  <c r="AZ285" i="1" s="1"/>
  <c r="Q285" i="1" a="1"/>
  <c r="Q285" i="1" s="1"/>
  <c r="CR279" i="1" a="1"/>
  <c r="CR279" i="1" s="1"/>
  <c r="L279" i="1" a="1"/>
  <c r="L279" i="1" s="1"/>
  <c r="L175" i="1" s="1" a="1"/>
  <c r="L175" i="1" s="1"/>
  <c r="CR278" i="1" a="1"/>
  <c r="CR278" i="1" s="1"/>
  <c r="AW278" i="1" a="1"/>
  <c r="AW278" i="1" s="1"/>
  <c r="BN278" i="1" s="1"/>
  <c r="O278" i="1" a="1"/>
  <c r="O278" i="1" s="1"/>
  <c r="AF278" i="1" s="1"/>
  <c r="K278" i="1" a="1"/>
  <c r="K278" i="1" s="1"/>
  <c r="K174" i="1" s="1" a="1"/>
  <c r="K174" i="1" s="1"/>
  <c r="AZ277" i="1" a="1"/>
  <c r="AZ277" i="1" s="1"/>
  <c r="BQ277" i="1" s="1"/>
  <c r="AV277" i="1" a="1"/>
  <c r="AV277" i="1" s="1"/>
  <c r="BM277" i="1" s="1"/>
  <c r="R277" i="1" a="1"/>
  <c r="R277" i="1" s="1"/>
  <c r="AI277" i="1" s="1"/>
  <c r="N277" i="1" a="1"/>
  <c r="N277" i="1" s="1"/>
  <c r="AE277" i="1" s="1"/>
  <c r="J277" i="1" a="1"/>
  <c r="J277" i="1" s="1"/>
  <c r="J173" i="1" s="1" a="1"/>
  <c r="J173" i="1" s="1"/>
  <c r="AY276" i="1" a="1"/>
  <c r="AY276" i="1" s="1"/>
  <c r="Q276" i="1" a="1"/>
  <c r="Q276" i="1" s="1"/>
  <c r="M276" i="1" a="1"/>
  <c r="M276" i="1" s="1"/>
  <c r="M172" i="1" s="1" a="1"/>
  <c r="M172" i="1" s="1"/>
  <c r="I276" i="1" a="1"/>
  <c r="I276" i="1" s="1"/>
  <c r="I172" i="1" s="1" a="1"/>
  <c r="I172" i="1" s="1"/>
  <c r="CO231" i="1" a="1"/>
  <c r="CO231" i="1" s="1"/>
  <c r="M231" i="1" a="1"/>
  <c r="M231" i="1" s="1"/>
  <c r="K231" i="1" a="1"/>
  <c r="K231" i="1" s="1"/>
  <c r="CO230" i="1" a="1"/>
  <c r="CO230" i="1" s="1"/>
  <c r="K230" i="1" a="1"/>
  <c r="K230" i="1" s="1"/>
  <c r="CO229" i="1" a="1"/>
  <c r="CO229" i="1" s="1"/>
  <c r="M229" i="1" a="1"/>
  <c r="M229" i="1" s="1"/>
  <c r="K229" i="1" a="1"/>
  <c r="K229" i="1" s="1"/>
  <c r="CO228" i="1" a="1"/>
  <c r="CO228" i="1" s="1"/>
  <c r="M228" i="1" a="1"/>
  <c r="M228" i="1" s="1"/>
  <c r="K228" i="1" a="1"/>
  <c r="K228" i="1" s="1"/>
  <c r="BY303" i="1" a="1"/>
  <c r="BY303" i="1" s="1"/>
  <c r="AW297" i="1" a="1"/>
  <c r="AW297" i="1" s="1"/>
  <c r="BN297" i="1" s="1"/>
  <c r="AY294" i="1" a="1"/>
  <c r="AY294" i="1" s="1"/>
  <c r="AY190" i="1" s="1" a="1"/>
  <c r="AY190" i="1" s="1"/>
  <c r="N294" i="1" a="1"/>
  <c r="N294" i="1" s="1"/>
  <c r="N190" i="1" s="1" a="1"/>
  <c r="N190" i="1" s="1"/>
  <c r="CV288" i="1" a="1"/>
  <c r="CV288" i="1" s="1"/>
  <c r="I288" i="1" a="1"/>
  <c r="I288" i="1" s="1"/>
  <c r="I184" i="1" s="1" a="1"/>
  <c r="I184" i="1" s="1"/>
  <c r="K287" i="1" a="1"/>
  <c r="K287" i="1" s="1"/>
  <c r="K183" i="1" s="1" a="1"/>
  <c r="K183" i="1" s="1"/>
  <c r="AV286" i="1" a="1"/>
  <c r="AV286" i="1" s="1"/>
  <c r="BM286" i="1" s="1"/>
  <c r="N285" i="1" a="1"/>
  <c r="N285" i="1" s="1"/>
  <c r="CP279" i="1" a="1"/>
  <c r="CP279" i="1" s="1"/>
  <c r="O279" i="1" a="1"/>
  <c r="O279" i="1" s="1"/>
  <c r="AF279" i="1" s="1"/>
  <c r="K279" i="1" a="1"/>
  <c r="K279" i="1" s="1"/>
  <c r="K175" i="1" s="1" a="1"/>
  <c r="K175" i="1" s="1"/>
  <c r="AZ278" i="1" a="1"/>
  <c r="AZ278" i="1" s="1"/>
  <c r="BQ278" i="1" s="1"/>
  <c r="AV278" i="1" a="1"/>
  <c r="AV278" i="1" s="1"/>
  <c r="BM278" i="1" s="1"/>
  <c r="R278" i="1" a="1"/>
  <c r="R278" i="1" s="1"/>
  <c r="AI278" i="1" s="1"/>
  <c r="N278" i="1" a="1"/>
  <c r="N278" i="1" s="1"/>
  <c r="AE278" i="1" s="1"/>
  <c r="J278" i="1" a="1"/>
  <c r="J278" i="1" s="1"/>
  <c r="J174" i="1" s="1" a="1"/>
  <c r="J174" i="1" s="1"/>
  <c r="AY277" i="1" a="1"/>
  <c r="AY277" i="1" s="1"/>
  <c r="BP277" i="1" s="1"/>
  <c r="Q277" i="1" a="1"/>
  <c r="Q277" i="1" s="1"/>
  <c r="AH277" i="1" s="1"/>
  <c r="M277" i="1" a="1"/>
  <c r="M277" i="1" s="1"/>
  <c r="M173" i="1" s="1" a="1"/>
  <c r="M173" i="1" s="1"/>
  <c r="I277" i="1" a="1"/>
  <c r="I277" i="1" s="1"/>
  <c r="CS276" i="1" a="1"/>
  <c r="CS276" i="1" s="1"/>
  <c r="AX276" i="1" a="1"/>
  <c r="AX276" i="1" s="1"/>
  <c r="AX172" i="1" s="1" a="1"/>
  <c r="AX172" i="1" s="1"/>
  <c r="P276" i="1" a="1"/>
  <c r="P276" i="1" s="1"/>
  <c r="P172" i="1" s="1" a="1"/>
  <c r="P172" i="1" s="1"/>
  <c r="L276" i="1" a="1"/>
  <c r="L276" i="1" s="1"/>
  <c r="M258" i="1" a="1"/>
  <c r="M258" i="1" s="1"/>
  <c r="K258" i="1" a="1"/>
  <c r="K258" i="1" s="1"/>
  <c r="K257" i="1" a="1"/>
  <c r="K257" i="1" s="1"/>
  <c r="I257" i="1" a="1"/>
  <c r="I257" i="1" s="1"/>
  <c r="I256" i="1" a="1"/>
  <c r="I256" i="1" s="1"/>
  <c r="M255" i="1" a="1"/>
  <c r="M255" i="1" s="1"/>
  <c r="CO240" i="1" a="1"/>
  <c r="CO240" i="1" s="1"/>
  <c r="J294" i="1" a="1"/>
  <c r="J294" i="1" s="1"/>
  <c r="J190" i="1" s="1" a="1"/>
  <c r="J190" i="1" s="1"/>
  <c r="CS288" i="1" a="1"/>
  <c r="CS288" i="1" s="1"/>
  <c r="Q288" i="1" a="1"/>
  <c r="Q288" i="1" s="1"/>
  <c r="AH288" i="1" s="1"/>
  <c r="CU287" i="1" a="1"/>
  <c r="CU287" i="1" s="1"/>
  <c r="CW287" i="1" s="1"/>
  <c r="J286" i="1" a="1"/>
  <c r="J286" i="1" s="1"/>
  <c r="J182" i="1" s="1" a="1"/>
  <c r="J182" i="1" s="1"/>
  <c r="CU279" i="1" a="1"/>
  <c r="CU279" i="1" s="1"/>
  <c r="CO279" i="1" a="1"/>
  <c r="CO279" i="1" s="1"/>
  <c r="AW279" i="1" a="1"/>
  <c r="AW279" i="1" s="1"/>
  <c r="BN279" i="1" s="1"/>
  <c r="N279" i="1" a="1"/>
  <c r="N279" i="1" s="1"/>
  <c r="AE279" i="1" s="1"/>
  <c r="J279" i="1" a="1"/>
  <c r="J279" i="1" s="1"/>
  <c r="AY278" i="1" a="1"/>
  <c r="AY278" i="1" s="1"/>
  <c r="BP278" i="1" s="1"/>
  <c r="Q278" i="1" a="1"/>
  <c r="Q278" i="1" s="1"/>
  <c r="AH278" i="1" s="1"/>
  <c r="M278" i="1" a="1"/>
  <c r="M278" i="1" s="1"/>
  <c r="I278" i="1" a="1"/>
  <c r="I278" i="1" s="1"/>
  <c r="CS277" i="1" a="1"/>
  <c r="CS277" i="1" s="1"/>
  <c r="AX277" i="1" a="1"/>
  <c r="AX277" i="1" s="1"/>
  <c r="BO277" i="1" s="1"/>
  <c r="P277" i="1" a="1"/>
  <c r="P277" i="1" s="1"/>
  <c r="AG277" i="1" s="1"/>
  <c r="L277" i="1" a="1"/>
  <c r="L277" i="1" s="1"/>
  <c r="CR276" i="1" a="1"/>
  <c r="CR276" i="1" s="1"/>
  <c r="AW276" i="1" a="1"/>
  <c r="AW276" i="1" s="1"/>
  <c r="AW172" i="1" s="1" a="1"/>
  <c r="AW172" i="1" s="1"/>
  <c r="O276" i="1" a="1"/>
  <c r="O276" i="1" s="1"/>
  <c r="K276" i="1" a="1"/>
  <c r="K276" i="1" s="1"/>
  <c r="AR257" i="1" a="1"/>
  <c r="AR257" i="1" s="1"/>
  <c r="CP231" i="1" a="1"/>
  <c r="CP231" i="1" s="1"/>
  <c r="CP230" i="1" a="1"/>
  <c r="CP230" i="1" s="1"/>
  <c r="L230" i="1" a="1"/>
  <c r="L230" i="1" s="1"/>
  <c r="CP229" i="1" a="1"/>
  <c r="CP229" i="1" s="1"/>
  <c r="L229" i="1" a="1"/>
  <c r="L229" i="1" s="1"/>
  <c r="CP228" i="1" a="1"/>
  <c r="CP228" i="1" s="1"/>
  <c r="L228" i="1" a="1"/>
  <c r="L228" i="1" s="1"/>
  <c r="J228" i="1" a="1"/>
  <c r="J228" i="1" s="1"/>
  <c r="N297" i="1" a="1"/>
  <c r="N297" i="1" s="1"/>
  <c r="AE297" i="1" s="1"/>
  <c r="CR287" i="1" a="1"/>
  <c r="CR287" i="1" s="1"/>
  <c r="P287" i="1" a="1"/>
  <c r="P287" i="1" s="1"/>
  <c r="AG287" i="1" s="1"/>
  <c r="O277" i="1" a="1"/>
  <c r="O277" i="1" s="1"/>
  <c r="AF277" i="1" s="1"/>
  <c r="AZ276" i="1" a="1"/>
  <c r="AZ276" i="1" s="1"/>
  <c r="AZ172" i="1" s="1" a="1"/>
  <c r="AZ172" i="1" s="1"/>
  <c r="J255" i="1" a="1"/>
  <c r="J255" i="1" s="1"/>
  <c r="CP238" i="1" a="1"/>
  <c r="CP238" i="1" s="1"/>
  <c r="CP221" i="1" a="1"/>
  <c r="CP221" i="1" s="1"/>
  <c r="CR193" i="1" a="1"/>
  <c r="CR193" i="1" s="1"/>
  <c r="AY193" i="1" a="1"/>
  <c r="AY193" i="1" s="1"/>
  <c r="BP193" i="1" s="1"/>
  <c r="Q193" i="1" a="1"/>
  <c r="Q193" i="1" s="1"/>
  <c r="AH193" i="1" s="1"/>
  <c r="M193" i="1" a="1"/>
  <c r="M193" i="1" s="1"/>
  <c r="K193" i="1" a="1"/>
  <c r="K193" i="1" s="1"/>
  <c r="I193" i="1" a="1"/>
  <c r="I193" i="1" s="1"/>
  <c r="CS192" i="1" a="1"/>
  <c r="CS192" i="1" s="1"/>
  <c r="AX192" i="1" a="1"/>
  <c r="AX192" i="1" s="1"/>
  <c r="BO192" i="1" s="1"/>
  <c r="P192" i="1" a="1"/>
  <c r="P192" i="1" s="1"/>
  <c r="AG192" i="1" s="1"/>
  <c r="N192" i="1" a="1"/>
  <c r="N192" i="1" s="1"/>
  <c r="AE192" i="1" s="1"/>
  <c r="L192" i="1" a="1"/>
  <c r="L192" i="1" s="1"/>
  <c r="CR191" i="1" a="1"/>
  <c r="CR191" i="1" s="1"/>
  <c r="AY191" i="1" a="1"/>
  <c r="AY191" i="1" s="1"/>
  <c r="BP191" i="1" s="1"/>
  <c r="AW191" i="1" a="1"/>
  <c r="AW191" i="1" s="1"/>
  <c r="BN191" i="1" s="1"/>
  <c r="O191" i="1" a="1"/>
  <c r="O191" i="1" s="1"/>
  <c r="AF191" i="1" s="1"/>
  <c r="M191" i="1" a="1"/>
  <c r="M191" i="1" s="1"/>
  <c r="K191" i="1" a="1"/>
  <c r="K191" i="1" s="1"/>
  <c r="CS190" i="1" a="1"/>
  <c r="CS190" i="1" s="1"/>
  <c r="AZ190" i="1" a="1"/>
  <c r="AZ190" i="1" s="1"/>
  <c r="AX190" i="1" a="1"/>
  <c r="AX190" i="1" s="1"/>
  <c r="AV190" i="1" a="1"/>
  <c r="AV190" i="1" s="1"/>
  <c r="CV184" i="1" a="1"/>
  <c r="CV184" i="1" s="1"/>
  <c r="CO184" i="1" a="1"/>
  <c r="CO184" i="1" s="1"/>
  <c r="CU183" i="1" a="1"/>
  <c r="CU183" i="1" s="1"/>
  <c r="CP183" i="1" a="1"/>
  <c r="CP183" i="1" s="1"/>
  <c r="CV182" i="1" a="1"/>
  <c r="CV182" i="1" s="1"/>
  <c r="CO182" i="1" a="1"/>
  <c r="CO182" i="1" s="1"/>
  <c r="CU181" i="1" a="1"/>
  <c r="CU181" i="1" s="1"/>
  <c r="CP181" i="1" a="1"/>
  <c r="CP181" i="1" s="1"/>
  <c r="AX288" i="1" a="1"/>
  <c r="AX288" i="1" s="1"/>
  <c r="BO288" i="1" s="1"/>
  <c r="R286" i="1" a="1"/>
  <c r="R286" i="1" s="1"/>
  <c r="AI286" i="1" s="1"/>
  <c r="M279" i="1" a="1"/>
  <c r="M279" i="1" s="1"/>
  <c r="M175" i="1" s="1" a="1"/>
  <c r="M175" i="1" s="1"/>
  <c r="AX278" i="1" a="1"/>
  <c r="AX278" i="1" s="1"/>
  <c r="BO278" i="1" s="1"/>
  <c r="CR277" i="1" a="1"/>
  <c r="CR277" i="1" s="1"/>
  <c r="K277" i="1" a="1"/>
  <c r="K277" i="1" s="1"/>
  <c r="K173" i="1" s="1" a="1"/>
  <c r="K173" i="1" s="1"/>
  <c r="AV276" i="1" a="1"/>
  <c r="AV276" i="1" s="1"/>
  <c r="AV172" i="1" s="1" a="1"/>
  <c r="AV172" i="1" s="1"/>
  <c r="R276" i="1" a="1"/>
  <c r="R276" i="1" s="1"/>
  <c r="R172" i="1" s="1" a="1"/>
  <c r="R172" i="1" s="1"/>
  <c r="J256" i="1" a="1"/>
  <c r="J256" i="1" s="1"/>
  <c r="CO238" i="1" a="1"/>
  <c r="CO238" i="1" s="1"/>
  <c r="CO221" i="1" a="1"/>
  <c r="CO221" i="1" s="1"/>
  <c r="CP219" i="1" a="1"/>
  <c r="CP219" i="1" s="1"/>
  <c r="I279" i="1" a="1"/>
  <c r="I279" i="1" s="1"/>
  <c r="I175" i="1" s="1" a="1"/>
  <c r="I175" i="1" s="1"/>
  <c r="P278" i="1" a="1"/>
  <c r="P278" i="1" s="1"/>
  <c r="AG278" i="1" s="1"/>
  <c r="N276" i="1" a="1"/>
  <c r="N276" i="1" s="1"/>
  <c r="N172" i="1" s="1" a="1"/>
  <c r="N172" i="1" s="1"/>
  <c r="L258" i="1" a="1"/>
  <c r="L258" i="1" s="1"/>
  <c r="J257" i="1" a="1"/>
  <c r="J257" i="1" s="1"/>
  <c r="CP240" i="1" a="1"/>
  <c r="CP240" i="1" s="1"/>
  <c r="CP239" i="1" a="1"/>
  <c r="CP239" i="1" s="1"/>
  <c r="CP237" i="1" a="1"/>
  <c r="CP237" i="1" s="1"/>
  <c r="CP222" i="1" a="1"/>
  <c r="CP222" i="1" s="1"/>
  <c r="CP220" i="1" a="1"/>
  <c r="CP220" i="1" s="1"/>
  <c r="CO219" i="1" a="1"/>
  <c r="CO219" i="1" s="1"/>
  <c r="CS193" i="1" a="1"/>
  <c r="CS193" i="1" s="1"/>
  <c r="AZ193" i="1" a="1"/>
  <c r="AZ193" i="1" s="1"/>
  <c r="BQ193" i="1" s="1"/>
  <c r="AV193" i="1" a="1"/>
  <c r="AV193" i="1" s="1"/>
  <c r="BM193" i="1" s="1"/>
  <c r="P193" i="1" a="1"/>
  <c r="P193" i="1" s="1"/>
  <c r="AG193" i="1" s="1"/>
  <c r="L193" i="1" a="1"/>
  <c r="L193" i="1" s="1"/>
  <c r="J193" i="1" a="1"/>
  <c r="J193" i="1" s="1"/>
  <c r="CR192" i="1" a="1"/>
  <c r="CR192" i="1" s="1"/>
  <c r="O192" i="1" a="1"/>
  <c r="O192" i="1" s="1"/>
  <c r="AF192" i="1" s="1"/>
  <c r="M192" i="1" a="1"/>
  <c r="M192" i="1" s="1"/>
  <c r="K192" i="1" a="1"/>
  <c r="K192" i="1" s="1"/>
  <c r="CS191" i="1" a="1"/>
  <c r="CS191" i="1" s="1"/>
  <c r="AZ191" i="1" a="1"/>
  <c r="AZ191" i="1" s="1"/>
  <c r="BQ191" i="1" s="1"/>
  <c r="R191" i="1" a="1"/>
  <c r="R191" i="1" s="1"/>
  <c r="AI191" i="1" s="1"/>
  <c r="N191" i="1" a="1"/>
  <c r="N191" i="1" s="1"/>
  <c r="AE191" i="1" s="1"/>
  <c r="CR190" i="1" a="1"/>
  <c r="CR190" i="1" s="1"/>
  <c r="AW190" i="1" a="1"/>
  <c r="AW190" i="1" s="1"/>
  <c r="Q190" i="1" a="1"/>
  <c r="Q190" i="1" s="1"/>
  <c r="M190" i="1" a="1"/>
  <c r="M190" i="1" s="1"/>
  <c r="I285" i="1" a="1"/>
  <c r="I285" i="1" s="1"/>
  <c r="L278" i="1" a="1"/>
  <c r="L278" i="1" s="1"/>
  <c r="CO220" i="1" a="1"/>
  <c r="CO220" i="1" s="1"/>
  <c r="CU193" i="1" a="1"/>
  <c r="CU193" i="1" s="1"/>
  <c r="CP193" i="1" a="1"/>
  <c r="CP193" i="1" s="1"/>
  <c r="CV192" i="1" a="1"/>
  <c r="CV192" i="1" s="1"/>
  <c r="CO190" i="1" a="1"/>
  <c r="CO190" i="1" s="1"/>
  <c r="CS184" i="1" a="1"/>
  <c r="CS184" i="1" s="1"/>
  <c r="CP184" i="1" a="1"/>
  <c r="CP184" i="1" s="1"/>
  <c r="L184" i="1" a="1"/>
  <c r="L184" i="1" s="1"/>
  <c r="CR183" i="1" a="1"/>
  <c r="CR183" i="1" s="1"/>
  <c r="CO183" i="1" a="1"/>
  <c r="CO183" i="1" s="1"/>
  <c r="AZ183" i="1" a="1"/>
  <c r="AZ183" i="1" s="1"/>
  <c r="BQ183" i="1" s="1"/>
  <c r="AW183" i="1" a="1"/>
  <c r="AW183" i="1" s="1"/>
  <c r="BN183" i="1" s="1"/>
  <c r="AY182" i="1" a="1"/>
  <c r="AY182" i="1" s="1"/>
  <c r="BP182" i="1" s="1"/>
  <c r="CV181" i="1" a="1"/>
  <c r="CV181" i="1" s="1"/>
  <c r="CS181" i="1" a="1"/>
  <c r="CS181" i="1" s="1"/>
  <c r="CR175" i="1" a="1"/>
  <c r="CR175" i="1" s="1"/>
  <c r="AY175" i="1" a="1"/>
  <c r="AY175" i="1" s="1"/>
  <c r="BP175" i="1" s="1"/>
  <c r="CS174" i="1" a="1"/>
  <c r="CS174" i="1" s="1"/>
  <c r="AZ174" i="1" a="1"/>
  <c r="AZ174" i="1" s="1"/>
  <c r="BQ174" i="1" s="1"/>
  <c r="CR173" i="1" a="1"/>
  <c r="CR173" i="1" s="1"/>
  <c r="I173" i="1" a="1"/>
  <c r="I173" i="1" s="1"/>
  <c r="CS172" i="1" a="1"/>
  <c r="CS172" i="1" s="1"/>
  <c r="L172" i="1" a="1"/>
  <c r="L172" i="1" s="1"/>
  <c r="AT149" i="1" a="1"/>
  <c r="AT149" i="1" s="1"/>
  <c r="AR149" i="1" a="1"/>
  <c r="AR149" i="1" s="1"/>
  <c r="M148" i="1" a="1"/>
  <c r="M148" i="1" s="1"/>
  <c r="K148" i="1" a="1"/>
  <c r="K148" i="1" s="1"/>
  <c r="I148" i="1" a="1"/>
  <c r="I148" i="1" s="1"/>
  <c r="AU147" i="1" a="1"/>
  <c r="AU147" i="1" s="1"/>
  <c r="AS147" i="1" a="1"/>
  <c r="AS147" i="1" s="1"/>
  <c r="AQ147" i="1" a="1"/>
  <c r="AQ147" i="1" s="1"/>
  <c r="L146" i="1" a="1"/>
  <c r="L146" i="1" s="1"/>
  <c r="J146" i="1" a="1"/>
  <c r="J146" i="1" s="1"/>
  <c r="CS278" i="1" a="1"/>
  <c r="CS278" i="1" s="1"/>
  <c r="L255" i="1" a="1"/>
  <c r="L255" i="1" s="1"/>
  <c r="CO222" i="1" a="1"/>
  <c r="CO222" i="1" s="1"/>
  <c r="CO193" i="1" a="1"/>
  <c r="CO193" i="1" s="1"/>
  <c r="CU192" i="1" a="1"/>
  <c r="CU192" i="1" s="1"/>
  <c r="CP192" i="1" a="1"/>
  <c r="CP192" i="1" s="1"/>
  <c r="CV191" i="1" a="1"/>
  <c r="CV191" i="1" s="1"/>
  <c r="AZ184" i="1" a="1"/>
  <c r="AZ184" i="1" s="1"/>
  <c r="BQ184" i="1" s="1"/>
  <c r="N184" i="1" a="1"/>
  <c r="N184" i="1" s="1"/>
  <c r="AE184" i="1" s="1"/>
  <c r="AY183" i="1" a="1"/>
  <c r="AY183" i="1" s="1"/>
  <c r="BP183" i="1" s="1"/>
  <c r="P183" i="1" a="1"/>
  <c r="P183" i="1" s="1"/>
  <c r="AG183" i="1" s="1"/>
  <c r="M183" i="1" a="1"/>
  <c r="M183" i="1" s="1"/>
  <c r="CS182" i="1" a="1"/>
  <c r="CS182" i="1" s="1"/>
  <c r="CP182" i="1" a="1"/>
  <c r="CP182" i="1" s="1"/>
  <c r="AX182" i="1" a="1"/>
  <c r="AX182" i="1" s="1"/>
  <c r="BO182" i="1" s="1"/>
  <c r="CR181" i="1" a="1"/>
  <c r="CR181" i="1" s="1"/>
  <c r="CO181" i="1" a="1"/>
  <c r="CO181" i="1" s="1"/>
  <c r="AZ181" i="1" a="1"/>
  <c r="AZ181" i="1" s="1"/>
  <c r="Q181" i="1" a="1"/>
  <c r="Q181" i="1" s="1"/>
  <c r="M181" i="1" a="1"/>
  <c r="M181" i="1" s="1"/>
  <c r="K181" i="1" a="1"/>
  <c r="K181" i="1" s="1"/>
  <c r="CV175" i="1" a="1"/>
  <c r="CV175" i="1" s="1"/>
  <c r="CO175" i="1" a="1"/>
  <c r="CO175" i="1" s="1"/>
  <c r="CU174" i="1" a="1"/>
  <c r="CU174" i="1" s="1"/>
  <c r="CP174" i="1" a="1"/>
  <c r="CP174" i="1" s="1"/>
  <c r="CV173" i="1" a="1"/>
  <c r="CV173" i="1" s="1"/>
  <c r="CO173" i="1" a="1"/>
  <c r="CO173" i="1" s="1"/>
  <c r="CU172" i="1" a="1"/>
  <c r="CU172" i="1" s="1"/>
  <c r="CP172" i="1" a="1"/>
  <c r="CP172" i="1" s="1"/>
  <c r="L149" i="1" a="1"/>
  <c r="L149" i="1" s="1"/>
  <c r="J149" i="1" a="1"/>
  <c r="J149" i="1" s="1"/>
  <c r="AT148" i="1" a="1"/>
  <c r="AT148" i="1" s="1"/>
  <c r="AR148" i="1" a="1"/>
  <c r="AR148" i="1" s="1"/>
  <c r="M147" i="1" a="1"/>
  <c r="M147" i="1" s="1"/>
  <c r="K147" i="1" a="1"/>
  <c r="K147" i="1" s="1"/>
  <c r="I147" i="1" a="1"/>
  <c r="I147" i="1" s="1"/>
  <c r="AU146" i="1" a="1"/>
  <c r="AU146" i="1" s="1"/>
  <c r="AS146" i="1" a="1"/>
  <c r="AS146" i="1" s="1"/>
  <c r="AQ146" i="1" a="1"/>
  <c r="AQ146" i="1" s="1"/>
  <c r="CO297" i="1" a="1"/>
  <c r="CO297" i="1" s="1"/>
  <c r="AW277" i="1" a="1"/>
  <c r="AW277" i="1" s="1"/>
  <c r="CO239" i="1" a="1"/>
  <c r="CO239" i="1" s="1"/>
  <c r="CO192" i="1" a="1"/>
  <c r="CO192" i="1" s="1"/>
  <c r="CU191" i="1" a="1"/>
  <c r="CU191" i="1" s="1"/>
  <c r="CP191" i="1" a="1"/>
  <c r="CP191" i="1" s="1"/>
  <c r="CV190" i="1" a="1"/>
  <c r="CV190" i="1" s="1"/>
  <c r="CU184" i="1" a="1"/>
  <c r="CU184" i="1" s="1"/>
  <c r="CR184" i="1" a="1"/>
  <c r="CR184" i="1" s="1"/>
  <c r="P184" i="1" a="1"/>
  <c r="P184" i="1" s="1"/>
  <c r="AG184" i="1" s="1"/>
  <c r="K184" i="1" a="1"/>
  <c r="K184" i="1" s="1"/>
  <c r="J183" i="1" a="1"/>
  <c r="J183" i="1" s="1"/>
  <c r="Q182" i="1" a="1"/>
  <c r="Q182" i="1" s="1"/>
  <c r="AH182" i="1" s="1"/>
  <c r="N182" i="1" a="1"/>
  <c r="N182" i="1" s="1"/>
  <c r="AE182" i="1" s="1"/>
  <c r="I182" i="1" a="1"/>
  <c r="I182" i="1" s="1"/>
  <c r="CS175" i="1" a="1"/>
  <c r="CS175" i="1" s="1"/>
  <c r="AX175" i="1" a="1"/>
  <c r="AX175" i="1" s="1"/>
  <c r="BO175" i="1" s="1"/>
  <c r="N175" i="1" a="1"/>
  <c r="N175" i="1" s="1"/>
  <c r="AE175" i="1" s="1"/>
  <c r="J175" i="1" a="1"/>
  <c r="J175" i="1" s="1"/>
  <c r="CR174" i="1" a="1"/>
  <c r="CR174" i="1" s="1"/>
  <c r="AY174" i="1" a="1"/>
  <c r="AY174" i="1" s="1"/>
  <c r="BP174" i="1" s="1"/>
  <c r="AW174" i="1" a="1"/>
  <c r="AW174" i="1" s="1"/>
  <c r="BN174" i="1" s="1"/>
  <c r="O174" i="1" a="1"/>
  <c r="O174" i="1" s="1"/>
  <c r="AF174" i="1" s="1"/>
  <c r="M174" i="1" a="1"/>
  <c r="M174" i="1" s="1"/>
  <c r="I174" i="1" a="1"/>
  <c r="I174" i="1" s="1"/>
  <c r="CS173" i="1" a="1"/>
  <c r="CS173" i="1" s="1"/>
  <c r="AV173" i="1" a="1"/>
  <c r="AV173" i="1" s="1"/>
  <c r="BM173" i="1" s="1"/>
  <c r="R173" i="1" a="1"/>
  <c r="R173" i="1" s="1"/>
  <c r="AI173" i="1" s="1"/>
  <c r="P173" i="1" a="1"/>
  <c r="P173" i="1" s="1"/>
  <c r="AG173" i="1" s="1"/>
  <c r="L173" i="1" a="1"/>
  <c r="L173" i="1" s="1"/>
  <c r="CR172" i="1" a="1"/>
  <c r="CR172" i="1" s="1"/>
  <c r="AY172" i="1" a="1"/>
  <c r="AY172" i="1" s="1"/>
  <c r="Q172" i="1" a="1"/>
  <c r="Q172" i="1" s="1"/>
  <c r="O172" i="1" a="1"/>
  <c r="O172" i="1" s="1"/>
  <c r="K172" i="1" a="1"/>
  <c r="K172" i="1" s="1"/>
  <c r="AU149" i="1" a="1"/>
  <c r="AU149" i="1" s="1"/>
  <c r="AS149" i="1" a="1"/>
  <c r="AS149" i="1" s="1"/>
  <c r="AQ149" i="1" a="1"/>
  <c r="AQ149" i="1" s="1"/>
  <c r="L148" i="1" a="1"/>
  <c r="L148" i="1" s="1"/>
  <c r="J148" i="1" a="1"/>
  <c r="J148" i="1" s="1"/>
  <c r="AT147" i="1" a="1"/>
  <c r="AT147" i="1" s="1"/>
  <c r="AR147" i="1" a="1"/>
  <c r="AR147" i="1" s="1"/>
  <c r="M146" i="1" a="1"/>
  <c r="M146" i="1" s="1"/>
  <c r="K146" i="1" a="1"/>
  <c r="K146" i="1" s="1"/>
  <c r="I146" i="1" a="1"/>
  <c r="I146" i="1" s="1"/>
  <c r="CO140" i="1" a="1"/>
  <c r="CO140" i="1" s="1"/>
  <c r="M140" i="1" a="1"/>
  <c r="M140" i="1" s="1"/>
  <c r="K140" i="1" a="1"/>
  <c r="K140" i="1" s="1"/>
  <c r="I140" i="1" a="1"/>
  <c r="I140" i="1" s="1"/>
  <c r="CO139" i="1" a="1"/>
  <c r="CO139" i="1" s="1"/>
  <c r="M139" i="1" a="1"/>
  <c r="M139" i="1" s="1"/>
  <c r="K139" i="1" a="1"/>
  <c r="K139" i="1" s="1"/>
  <c r="I139" i="1" a="1"/>
  <c r="I139" i="1" s="1"/>
  <c r="CO138" i="1" a="1"/>
  <c r="CO138" i="1" s="1"/>
  <c r="M138" i="1" a="1"/>
  <c r="M138" i="1" s="1"/>
  <c r="K138" i="1" a="1"/>
  <c r="K138" i="1" s="1"/>
  <c r="I138" i="1" a="1"/>
  <c r="I138" i="1" s="1"/>
  <c r="CO137" i="1" a="1"/>
  <c r="CO137" i="1" s="1"/>
  <c r="CO237" i="1" a="1"/>
  <c r="CO237" i="1" s="1"/>
  <c r="CO191" i="1" a="1"/>
  <c r="CO191" i="1" s="1"/>
  <c r="CP190" i="1" a="1"/>
  <c r="CP190" i="1" s="1"/>
  <c r="AW182" i="1" a="1"/>
  <c r="AW182" i="1" s="1"/>
  <c r="BN182" i="1" s="1"/>
  <c r="CP173" i="1" a="1"/>
  <c r="CP173" i="1" s="1"/>
  <c r="CO172" i="1" a="1"/>
  <c r="CO172" i="1" s="1"/>
  <c r="I149" i="1" a="1"/>
  <c r="I149" i="1" s="1"/>
  <c r="AU148" i="1" a="1"/>
  <c r="AU148" i="1" s="1"/>
  <c r="J147" i="1" a="1"/>
  <c r="J147" i="1" s="1"/>
  <c r="AS140" i="1" a="1"/>
  <c r="AS140" i="1" s="1"/>
  <c r="J140" i="1" a="1"/>
  <c r="J140" i="1" s="1"/>
  <c r="AU139" i="1" a="1"/>
  <c r="AU139" i="1" s="1"/>
  <c r="AR139" i="1" a="1"/>
  <c r="AR139" i="1" s="1"/>
  <c r="L139" i="1" a="1"/>
  <c r="L139" i="1" s="1"/>
  <c r="AT138" i="1" a="1"/>
  <c r="AT138" i="1" s="1"/>
  <c r="CP137" i="1" a="1"/>
  <c r="CP137" i="1" s="1"/>
  <c r="AT137" i="1" a="1"/>
  <c r="AT137" i="1" s="1"/>
  <c r="AR137" i="1" a="1"/>
  <c r="AR137" i="1" s="1"/>
  <c r="CU111" i="1" a="1"/>
  <c r="CU111" i="1" s="1"/>
  <c r="CP111" i="1" a="1"/>
  <c r="CP111" i="1" s="1"/>
  <c r="CR110" i="1" a="1"/>
  <c r="CR110" i="1" s="1"/>
  <c r="AY110" i="1" a="1"/>
  <c r="AY110" i="1" s="1"/>
  <c r="BP110" i="1" s="1"/>
  <c r="AW110" i="1" a="1"/>
  <c r="AW110" i="1" s="1"/>
  <c r="BN110" i="1" s="1"/>
  <c r="Q110" i="1" a="1"/>
  <c r="Q110" i="1" s="1"/>
  <c r="AH110" i="1" s="1"/>
  <c r="O110" i="1" a="1"/>
  <c r="O110" i="1" s="1"/>
  <c r="AF110" i="1" s="1"/>
  <c r="M110" i="1" a="1"/>
  <c r="M110" i="1" s="1"/>
  <c r="M60" i="1" s="1" a="1"/>
  <c r="M60" i="1" s="1"/>
  <c r="K110" i="1" a="1"/>
  <c r="K110" i="1" s="1"/>
  <c r="K60" i="1" s="1" a="1"/>
  <c r="K60" i="1" s="1"/>
  <c r="I110" i="1" a="1"/>
  <c r="I110" i="1" s="1"/>
  <c r="I60" i="1" s="1" a="1"/>
  <c r="I60" i="1" s="1"/>
  <c r="CV109" i="1" a="1"/>
  <c r="CV109" i="1" s="1"/>
  <c r="CO109" i="1" a="1"/>
  <c r="CO109" i="1" s="1"/>
  <c r="CS108" i="1" a="1"/>
  <c r="CS108" i="1" s="1"/>
  <c r="AZ108" i="1" a="1"/>
  <c r="AZ108" i="1" s="1"/>
  <c r="AZ58" i="1" s="1" a="1"/>
  <c r="AZ58" i="1" s="1"/>
  <c r="AX108" i="1" a="1"/>
  <c r="AX108" i="1" s="1"/>
  <c r="AX58" i="1" s="1" a="1"/>
  <c r="AX58" i="1" s="1"/>
  <c r="AV108" i="1" a="1"/>
  <c r="AV108" i="1" s="1"/>
  <c r="AV58" i="1" s="1" a="1"/>
  <c r="AV58" i="1" s="1"/>
  <c r="R108" i="1" a="1"/>
  <c r="R108" i="1" s="1"/>
  <c r="R58" i="1" s="1" a="1"/>
  <c r="R58" i="1" s="1"/>
  <c r="P108" i="1" a="1"/>
  <c r="P108" i="1" s="1"/>
  <c r="P58" i="1" s="1" a="1"/>
  <c r="P58" i="1" s="1"/>
  <c r="N108" i="1" a="1"/>
  <c r="N108" i="1" s="1"/>
  <c r="N58" i="1" s="1" a="1"/>
  <c r="N58" i="1" s="1"/>
  <c r="L108" i="1" a="1"/>
  <c r="L108" i="1" s="1"/>
  <c r="L58" i="1" s="1" a="1"/>
  <c r="L58" i="1" s="1"/>
  <c r="J108" i="1" a="1"/>
  <c r="J108" i="1" s="1"/>
  <c r="J58" i="1" s="1" a="1"/>
  <c r="J58" i="1" s="1"/>
  <c r="CR61" i="1" a="1"/>
  <c r="CR61" i="1" s="1"/>
  <c r="CS60" i="1" a="1"/>
  <c r="CS60" i="1" s="1"/>
  <c r="CR59" i="1" a="1"/>
  <c r="CR59" i="1" s="1"/>
  <c r="CS58" i="1" a="1"/>
  <c r="CS58" i="1" s="1"/>
  <c r="R184" i="1" a="1"/>
  <c r="R184" i="1" s="1"/>
  <c r="AI184" i="1" s="1"/>
  <c r="CV183" i="1" a="1"/>
  <c r="CV183" i="1" s="1"/>
  <c r="K182" i="1" a="1"/>
  <c r="K182" i="1" s="1"/>
  <c r="N181" i="1" a="1"/>
  <c r="N181" i="1" s="1"/>
  <c r="CP175" i="1" a="1"/>
  <c r="CP175" i="1" s="1"/>
  <c r="CO174" i="1" a="1"/>
  <c r="CO174" i="1" s="1"/>
  <c r="CV172" i="1" a="1"/>
  <c r="CV172" i="1" s="1"/>
  <c r="AS148" i="1" a="1"/>
  <c r="AS148" i="1" s="1"/>
  <c r="AT146" i="1" a="1"/>
  <c r="AT146" i="1" s="1"/>
  <c r="AU140" i="1" a="1"/>
  <c r="AU140" i="1" s="1"/>
  <c r="AR140" i="1" a="1"/>
  <c r="AR140" i="1" s="1"/>
  <c r="L140" i="1" a="1"/>
  <c r="L140" i="1" s="1"/>
  <c r="AT139" i="1" a="1"/>
  <c r="AT139" i="1" s="1"/>
  <c r="CP138" i="1" a="1"/>
  <c r="CP138" i="1" s="1"/>
  <c r="AQ138" i="1" a="1"/>
  <c r="AQ138" i="1" s="1"/>
  <c r="L137" i="1" a="1"/>
  <c r="L137" i="1" s="1"/>
  <c r="J137" i="1" a="1"/>
  <c r="J137" i="1" s="1"/>
  <c r="CC120" i="1" a="1"/>
  <c r="CC120" i="1" s="1"/>
  <c r="CA120" i="1" a="1"/>
  <c r="CA120" i="1" s="1"/>
  <c r="BY120" i="1" a="1"/>
  <c r="BY120" i="1" s="1"/>
  <c r="CC119" i="1" a="1"/>
  <c r="CC119" i="1" s="1"/>
  <c r="CA119" i="1" a="1"/>
  <c r="CA119" i="1" s="1"/>
  <c r="BY119" i="1" a="1"/>
  <c r="BY119" i="1" s="1"/>
  <c r="CC118" i="1" a="1"/>
  <c r="CC118" i="1" s="1"/>
  <c r="CA118" i="1" a="1"/>
  <c r="CA118" i="1" s="1"/>
  <c r="BY118" i="1" a="1"/>
  <c r="BY118" i="1" s="1"/>
  <c r="CC117" i="1" a="1"/>
  <c r="CC117" i="1" s="1"/>
  <c r="CA117" i="1" a="1"/>
  <c r="CA117" i="1" s="1"/>
  <c r="BY117" i="1" a="1"/>
  <c r="BY117" i="1" s="1"/>
  <c r="CR111" i="1" a="1"/>
  <c r="CR111" i="1" s="1"/>
  <c r="AY111" i="1" a="1"/>
  <c r="AY111" i="1" s="1"/>
  <c r="BP111" i="1" s="1"/>
  <c r="AW111" i="1" a="1"/>
  <c r="AW111" i="1" s="1"/>
  <c r="BN111" i="1" s="1"/>
  <c r="AU111" i="1" a="1"/>
  <c r="AU111" i="1" s="1"/>
  <c r="AS111" i="1" a="1"/>
  <c r="AS111" i="1" s="1"/>
  <c r="AS61" i="1" s="1" a="1"/>
  <c r="AS61" i="1" s="1"/>
  <c r="AQ111" i="1" a="1"/>
  <c r="AQ111" i="1" s="1"/>
  <c r="Q111" i="1" a="1"/>
  <c r="Q111" i="1" s="1"/>
  <c r="AH111" i="1" s="1"/>
  <c r="O111" i="1" a="1"/>
  <c r="O111" i="1" s="1"/>
  <c r="AF111" i="1" s="1"/>
  <c r="M111" i="1" a="1"/>
  <c r="M111" i="1" s="1"/>
  <c r="M61" i="1" s="1" a="1"/>
  <c r="M61" i="1" s="1"/>
  <c r="K111" i="1" a="1"/>
  <c r="K111" i="1" s="1"/>
  <c r="I111" i="1" a="1"/>
  <c r="I111" i="1" s="1"/>
  <c r="I61" i="1" s="1" a="1"/>
  <c r="I61" i="1" s="1"/>
  <c r="CV110" i="1" a="1"/>
  <c r="CV110" i="1" s="1"/>
  <c r="CO110" i="1" a="1"/>
  <c r="CO110" i="1" s="1"/>
  <c r="CS109" i="1" a="1"/>
  <c r="CS109" i="1" s="1"/>
  <c r="AZ109" i="1" a="1"/>
  <c r="AZ109" i="1" s="1"/>
  <c r="BQ109" i="1" s="1"/>
  <c r="AX109" i="1" a="1"/>
  <c r="AX109" i="1" s="1"/>
  <c r="BO109" i="1" s="1"/>
  <c r="AV109" i="1" a="1"/>
  <c r="AV109" i="1" s="1"/>
  <c r="BM109" i="1" s="1"/>
  <c r="AT109" i="1" a="1"/>
  <c r="AT109" i="1" s="1"/>
  <c r="AR109" i="1" a="1"/>
  <c r="AR109" i="1" s="1"/>
  <c r="AR59" i="1" s="1" a="1"/>
  <c r="AR59" i="1" s="1"/>
  <c r="R109" i="1" a="1"/>
  <c r="R109" i="1" s="1"/>
  <c r="AI109" i="1" s="1"/>
  <c r="P109" i="1" a="1"/>
  <c r="P109" i="1" s="1"/>
  <c r="AG109" i="1" s="1"/>
  <c r="N109" i="1" a="1"/>
  <c r="N109" i="1" s="1"/>
  <c r="AE109" i="1" s="1"/>
  <c r="L109" i="1" a="1"/>
  <c r="L109" i="1" s="1"/>
  <c r="L59" i="1" s="1" a="1"/>
  <c r="L59" i="1" s="1"/>
  <c r="J109" i="1" a="1"/>
  <c r="J109" i="1" s="1"/>
  <c r="J59" i="1" s="1" a="1"/>
  <c r="J59" i="1" s="1"/>
  <c r="CU108" i="1" a="1"/>
  <c r="CU108" i="1" s="1"/>
  <c r="CP108" i="1" a="1"/>
  <c r="CP108" i="1" s="1"/>
  <c r="CP90" i="1" a="1"/>
  <c r="CP90" i="1" s="1"/>
  <c r="CP89" i="1" a="1"/>
  <c r="CP89" i="1" s="1"/>
  <c r="CP88" i="1" a="1"/>
  <c r="CP88" i="1" s="1"/>
  <c r="CV193" i="1" a="1"/>
  <c r="CV193" i="1" s="1"/>
  <c r="AY184" i="1" a="1"/>
  <c r="AY184" i="1" s="1"/>
  <c r="BP184" i="1" s="1"/>
  <c r="CS183" i="1" a="1"/>
  <c r="CS183" i="1" s="1"/>
  <c r="Q183" i="1" a="1"/>
  <c r="Q183" i="1" s="1"/>
  <c r="AH183" i="1" s="1"/>
  <c r="CU182" i="1" a="1"/>
  <c r="CU182" i="1" s="1"/>
  <c r="L181" i="1" a="1"/>
  <c r="L181" i="1" s="1"/>
  <c r="CV174" i="1" a="1"/>
  <c r="CV174" i="1" s="1"/>
  <c r="CU173" i="1" a="1"/>
  <c r="CU173" i="1" s="1"/>
  <c r="CW173" i="1" s="1"/>
  <c r="M149" i="1" a="1"/>
  <c r="M149" i="1" s="1"/>
  <c r="AQ148" i="1" a="1"/>
  <c r="AQ148" i="1" s="1"/>
  <c r="AR146" i="1" a="1"/>
  <c r="AR146" i="1" s="1"/>
  <c r="AT140" i="1" a="1"/>
  <c r="AT140" i="1" s="1"/>
  <c r="CP139" i="1" a="1"/>
  <c r="CP139" i="1" s="1"/>
  <c r="AQ139" i="1" a="1"/>
  <c r="AQ139" i="1" s="1"/>
  <c r="AS138" i="1" a="1"/>
  <c r="AS138" i="1" s="1"/>
  <c r="J138" i="1" a="1"/>
  <c r="J138" i="1" s="1"/>
  <c r="AU137" i="1" a="1"/>
  <c r="AU137" i="1" s="1"/>
  <c r="AS137" i="1" a="1"/>
  <c r="AS137" i="1" s="1"/>
  <c r="AQ137" i="1" a="1"/>
  <c r="AQ137" i="1" s="1"/>
  <c r="CV111" i="1" a="1"/>
  <c r="CV111" i="1" s="1"/>
  <c r="CO111" i="1" a="1"/>
  <c r="CO111" i="1" s="1"/>
  <c r="CS110" i="1" a="1"/>
  <c r="CS110" i="1" s="1"/>
  <c r="AZ110" i="1" a="1"/>
  <c r="AZ110" i="1" s="1"/>
  <c r="BQ110" i="1" s="1"/>
  <c r="AX110" i="1" a="1"/>
  <c r="AX110" i="1" s="1"/>
  <c r="BO110" i="1" s="1"/>
  <c r="AV110" i="1" a="1"/>
  <c r="AV110" i="1" s="1"/>
  <c r="BM110" i="1" s="1"/>
  <c r="AT110" i="1" a="1"/>
  <c r="AT110" i="1" s="1"/>
  <c r="AT60" i="1" s="1" a="1"/>
  <c r="AT60" i="1" s="1"/>
  <c r="AR110" i="1" a="1"/>
  <c r="AR110" i="1" s="1"/>
  <c r="AR60" i="1" s="1" a="1"/>
  <c r="AR60" i="1" s="1"/>
  <c r="R110" i="1" a="1"/>
  <c r="R110" i="1" s="1"/>
  <c r="AI110" i="1" s="1"/>
  <c r="P110" i="1" a="1"/>
  <c r="P110" i="1" s="1"/>
  <c r="AG110" i="1" s="1"/>
  <c r="N110" i="1" a="1"/>
  <c r="N110" i="1" s="1"/>
  <c r="AE110" i="1" s="1"/>
  <c r="L110" i="1" a="1"/>
  <c r="L110" i="1" s="1"/>
  <c r="L60" i="1" s="1" a="1"/>
  <c r="L60" i="1" s="1"/>
  <c r="J110" i="1" a="1"/>
  <c r="J110" i="1" s="1"/>
  <c r="CU109" i="1" a="1"/>
  <c r="CU109" i="1" s="1"/>
  <c r="CP109" i="1" a="1"/>
  <c r="CP109" i="1" s="1"/>
  <c r="CR108" i="1" a="1"/>
  <c r="CR108" i="1" s="1"/>
  <c r="AY108" i="1" a="1"/>
  <c r="AY108" i="1" s="1"/>
  <c r="AY58" i="1" s="1" a="1"/>
  <c r="AY58" i="1" s="1"/>
  <c r="AW108" i="1" a="1"/>
  <c r="AW108" i="1" s="1"/>
  <c r="AW58" i="1" s="1" a="1"/>
  <c r="AW58" i="1" s="1"/>
  <c r="AU108" i="1" a="1"/>
  <c r="AU108" i="1" s="1"/>
  <c r="AU58" i="1" s="1" a="1"/>
  <c r="AU58" i="1" s="1"/>
  <c r="AS108" i="1" a="1"/>
  <c r="AS108" i="1" s="1"/>
  <c r="AS58" i="1" s="1" a="1"/>
  <c r="AS58" i="1" s="1"/>
  <c r="AQ108" i="1" a="1"/>
  <c r="AQ108" i="1" s="1"/>
  <c r="AQ58" i="1" s="1" a="1"/>
  <c r="AQ58" i="1" s="1"/>
  <c r="Q108" i="1" a="1"/>
  <c r="Q108" i="1" s="1"/>
  <c r="Q58" i="1" s="1" a="1"/>
  <c r="Q58" i="1" s="1"/>
  <c r="O108" i="1" a="1"/>
  <c r="O108" i="1" s="1"/>
  <c r="O58" i="1" s="1" a="1"/>
  <c r="O58" i="1" s="1"/>
  <c r="M108" i="1" a="1"/>
  <c r="M108" i="1" s="1"/>
  <c r="M58" i="1" s="1" a="1"/>
  <c r="M58" i="1" s="1"/>
  <c r="K108" i="1" a="1"/>
  <c r="K108" i="1" s="1"/>
  <c r="K58" i="1" s="1" a="1"/>
  <c r="K58" i="1" s="1"/>
  <c r="I108" i="1" a="1"/>
  <c r="I108" i="1" s="1"/>
  <c r="I58" i="1" s="1" a="1"/>
  <c r="I58" i="1" s="1"/>
  <c r="M184" i="1" a="1"/>
  <c r="M184" i="1" s="1"/>
  <c r="AQ140" i="1" a="1"/>
  <c r="AQ140" i="1" s="1"/>
  <c r="AS139" i="1" a="1"/>
  <c r="AS139" i="1" s="1"/>
  <c r="AU138" i="1" a="1"/>
  <c r="AU138" i="1" s="1"/>
  <c r="K137" i="1" a="1"/>
  <c r="K137" i="1" s="1"/>
  <c r="BZ120" i="1" a="1"/>
  <c r="BZ120" i="1" s="1"/>
  <c r="BZ119" i="1" a="1"/>
  <c r="BZ119" i="1" s="1"/>
  <c r="BZ118" i="1" a="1"/>
  <c r="BZ118" i="1" s="1"/>
  <c r="BZ117" i="1" a="1"/>
  <c r="BZ117" i="1" s="1"/>
  <c r="AZ111" i="1" a="1"/>
  <c r="AZ111" i="1" s="1"/>
  <c r="BQ111" i="1" s="1"/>
  <c r="AR111" i="1" a="1"/>
  <c r="AR111" i="1" s="1"/>
  <c r="AR61" i="1" s="1" a="1"/>
  <c r="AR61" i="1" s="1"/>
  <c r="N111" i="1" a="1"/>
  <c r="N111" i="1" s="1"/>
  <c r="AE111" i="1" s="1"/>
  <c r="AU109" i="1" a="1"/>
  <c r="AU109" i="1" s="1"/>
  <c r="Q109" i="1" a="1"/>
  <c r="Q109" i="1" s="1"/>
  <c r="AH109" i="1" s="1"/>
  <c r="I109" i="1" a="1"/>
  <c r="I109" i="1" s="1"/>
  <c r="I59" i="1" s="1" a="1"/>
  <c r="I59" i="1" s="1"/>
  <c r="CO90" i="1" a="1"/>
  <c r="CO90" i="1" s="1"/>
  <c r="CP87" i="1" a="1"/>
  <c r="CP87" i="1" s="1"/>
  <c r="CO61" i="1" a="1"/>
  <c r="CO61" i="1" s="1"/>
  <c r="CP60" i="1" a="1"/>
  <c r="CP60" i="1" s="1"/>
  <c r="CU59" i="1" a="1"/>
  <c r="CU59" i="1" s="1"/>
  <c r="CV58" i="1" a="1"/>
  <c r="CV58" i="1" s="1"/>
  <c r="J276" i="1" a="1"/>
  <c r="J276" i="1" s="1"/>
  <c r="CU190" i="1" a="1"/>
  <c r="CU190" i="1" s="1"/>
  <c r="CP140" i="1" a="1"/>
  <c r="CP140" i="1" s="1"/>
  <c r="CS140" i="1" s="1"/>
  <c r="J139" i="1" a="1"/>
  <c r="J139" i="1" s="1"/>
  <c r="AR138" i="1" a="1"/>
  <c r="AR138" i="1" s="1"/>
  <c r="L138" i="1" a="1"/>
  <c r="L138" i="1" s="1"/>
  <c r="I137" i="1" a="1"/>
  <c r="I137" i="1" s="1"/>
  <c r="CS111" i="1" a="1"/>
  <c r="CS111" i="1" s="1"/>
  <c r="AX111" i="1" a="1"/>
  <c r="AX111" i="1" s="1"/>
  <c r="BO111" i="1" s="1"/>
  <c r="L111" i="1" a="1"/>
  <c r="L111" i="1" s="1"/>
  <c r="L61" i="1" s="1" a="1"/>
  <c r="L61" i="1" s="1"/>
  <c r="CU110" i="1" a="1"/>
  <c r="CU110" i="1" s="1"/>
  <c r="AS109" i="1" a="1"/>
  <c r="AS109" i="1" s="1"/>
  <c r="O109" i="1" a="1"/>
  <c r="O109" i="1" s="1"/>
  <c r="AF109" i="1" s="1"/>
  <c r="CO108" i="1" a="1"/>
  <c r="CO108" i="1" s="1"/>
  <c r="CO89" i="1" a="1"/>
  <c r="CO89" i="1" s="1"/>
  <c r="CO87" i="1" a="1"/>
  <c r="CO87" i="1" s="1"/>
  <c r="CU61" i="1" a="1"/>
  <c r="CU61" i="1" s="1"/>
  <c r="CV60" i="1" a="1"/>
  <c r="CV60" i="1" s="1"/>
  <c r="Q60" i="1" a="1"/>
  <c r="Q60" i="1" s="1"/>
  <c r="AH60" i="1" s="1"/>
  <c r="CU58" i="1" a="1"/>
  <c r="CU58" i="1" s="1"/>
  <c r="CR58" i="1" a="1"/>
  <c r="CR58" i="1" s="1"/>
  <c r="CO58" i="1" a="1"/>
  <c r="CO58" i="1" s="1"/>
  <c r="AV184" i="1" a="1"/>
  <c r="AV184" i="1" s="1"/>
  <c r="BM184" i="1" s="1"/>
  <c r="CR182" i="1" a="1"/>
  <c r="CR182" i="1" s="1"/>
  <c r="CT182" i="1" s="1"/>
  <c r="K149" i="1" a="1"/>
  <c r="K149" i="1" s="1"/>
  <c r="L147" i="1" a="1"/>
  <c r="L147" i="1" s="1"/>
  <c r="AV111" i="1" a="1"/>
  <c r="AV111" i="1" s="1"/>
  <c r="BM111" i="1" s="1"/>
  <c r="R111" i="1" a="1"/>
  <c r="R111" i="1" s="1"/>
  <c r="AI111" i="1" s="1"/>
  <c r="J111" i="1" a="1"/>
  <c r="J111" i="1" s="1"/>
  <c r="J61" i="1" s="1" a="1"/>
  <c r="J61" i="1" s="1"/>
  <c r="AY109" i="1" a="1"/>
  <c r="AY109" i="1" s="1"/>
  <c r="BP109" i="1" s="1"/>
  <c r="AQ109" i="1" a="1"/>
  <c r="AQ109" i="1" s="1"/>
  <c r="M109" i="1" a="1"/>
  <c r="M109" i="1" s="1"/>
  <c r="CV108" i="1" a="1"/>
  <c r="CV108" i="1" s="1"/>
  <c r="CO88" i="1" a="1"/>
  <c r="CO88" i="1" s="1"/>
  <c r="CU60" i="1" a="1"/>
  <c r="CU60" i="1" s="1"/>
  <c r="CR60" i="1" a="1"/>
  <c r="CR60" i="1" s="1"/>
  <c r="CO60" i="1" a="1"/>
  <c r="CO60" i="1" s="1"/>
  <c r="CV59" i="1" a="1"/>
  <c r="CV59" i="1" s="1"/>
  <c r="CS59" i="1" a="1"/>
  <c r="CS59" i="1" s="1"/>
  <c r="CP59" i="1" a="1"/>
  <c r="CP59" i="1" s="1"/>
  <c r="AX183" i="1" a="1"/>
  <c r="AX183" i="1" s="1"/>
  <c r="BO183" i="1" s="1"/>
  <c r="R181" i="1" a="1"/>
  <c r="R181" i="1" s="1"/>
  <c r="CU175" i="1" a="1"/>
  <c r="CU175" i="1" s="1"/>
  <c r="CW175" i="1" s="1"/>
  <c r="M137" i="1" a="1"/>
  <c r="M137" i="1" s="1"/>
  <c r="CB120" i="1" a="1"/>
  <c r="CB120" i="1" s="1"/>
  <c r="CB119" i="1" a="1"/>
  <c r="CB119" i="1" s="1"/>
  <c r="CB118" i="1" a="1"/>
  <c r="CB118" i="1" s="1"/>
  <c r="CB117" i="1" a="1"/>
  <c r="CB117" i="1" s="1"/>
  <c r="AT111" i="1" a="1"/>
  <c r="AT111" i="1" s="1"/>
  <c r="P111" i="1" a="1"/>
  <c r="P111" i="1" s="1"/>
  <c r="AG111" i="1" s="1"/>
  <c r="CP110" i="1" a="1"/>
  <c r="CP110" i="1" s="1"/>
  <c r="CR109" i="1" a="1"/>
  <c r="CR109" i="1" s="1"/>
  <c r="AW109" i="1" a="1"/>
  <c r="AW109" i="1" s="1"/>
  <c r="BN109" i="1" s="1"/>
  <c r="K109" i="1" a="1"/>
  <c r="K109" i="1" s="1"/>
  <c r="K59" i="1" s="1" a="1"/>
  <c r="K59" i="1" s="1"/>
  <c r="CV61" i="1" a="1"/>
  <c r="CV61" i="1" s="1"/>
  <c r="CS61" i="1" a="1"/>
  <c r="CS61" i="1" s="1"/>
  <c r="CP61" i="1" a="1"/>
  <c r="CP61" i="1" s="1"/>
  <c r="CO59" i="1" a="1"/>
  <c r="CO59" i="1" s="1"/>
  <c r="CP58" i="1" a="1"/>
  <c r="CP58" i="1" s="1"/>
  <c r="AU110" i="1" a="1"/>
  <c r="AU110" i="1" s="1"/>
  <c r="AS110" i="1" a="1"/>
  <c r="AS110" i="1" s="1"/>
  <c r="AS60" i="1" s="1" a="1"/>
  <c r="AS60" i="1" s="1"/>
  <c r="AR326" i="1" a="1"/>
  <c r="AR326" i="1" s="1"/>
  <c r="AS341" i="1" a="1"/>
  <c r="AS341" i="1" s="1"/>
  <c r="AT334" i="1" a="1"/>
  <c r="AT334" i="1" s="1"/>
  <c r="AT344" i="1" a="1"/>
  <c r="AT344" i="1" s="1"/>
  <c r="AQ332" i="1" a="1"/>
  <c r="AQ332" i="1" s="1"/>
  <c r="AS335" i="1" a="1"/>
  <c r="AS335" i="1" s="1"/>
  <c r="AQ344" i="1" a="1"/>
  <c r="AQ344" i="1" s="1"/>
  <c r="AQ324" i="1" a="1"/>
  <c r="AQ324" i="1" s="1"/>
  <c r="AS325" i="1" a="1"/>
  <c r="AS325" i="1" s="1"/>
  <c r="AU326" i="1" a="1"/>
  <c r="AU326" i="1" s="1"/>
  <c r="AT341" i="1" a="1"/>
  <c r="AT341" i="1" s="1"/>
  <c r="AS344" i="1" a="1"/>
  <c r="AS344" i="1" s="1"/>
  <c r="AU370" i="1" a="1"/>
  <c r="AU370" i="1" s="1"/>
  <c r="AR368" i="1" a="1"/>
  <c r="AR368" i="1" s="1"/>
  <c r="AS369" i="1" a="1"/>
  <c r="AS369" i="1" s="1"/>
  <c r="AQ371" i="1" a="1"/>
  <c r="AQ371" i="1" s="1"/>
  <c r="AU362" i="1" a="1"/>
  <c r="AU362" i="1" s="1"/>
  <c r="AS361" i="1" a="1"/>
  <c r="AS361" i="1" s="1"/>
  <c r="AQ360" i="1" a="1"/>
  <c r="AQ360" i="1" s="1"/>
  <c r="AU359" i="1" a="1"/>
  <c r="AU359" i="1" s="1"/>
  <c r="AQ343" i="1" a="1"/>
  <c r="AQ343" i="1" s="1"/>
  <c r="AT326" i="1" a="1"/>
  <c r="AT326" i="1" s="1"/>
  <c r="AQ342" i="1" a="1"/>
  <c r="AQ342" i="1" s="1"/>
  <c r="AR334" i="1" a="1"/>
  <c r="AR334" i="1" s="1"/>
  <c r="AS332" i="1" a="1"/>
  <c r="AS332" i="1" s="1"/>
  <c r="AQ341" i="1" a="1"/>
  <c r="AQ341" i="1" s="1"/>
  <c r="AQ323" i="1" a="1"/>
  <c r="AQ323" i="1" s="1"/>
  <c r="AU325" i="1" a="1"/>
  <c r="AU325" i="1" s="1"/>
  <c r="AR342" i="1" a="1"/>
  <c r="AR342" i="1" s="1"/>
  <c r="AS370" i="1" a="1"/>
  <c r="AS370" i="1" s="1"/>
  <c r="AQ369" i="1" a="1"/>
  <c r="AQ369" i="1" s="1"/>
  <c r="AS362" i="1" a="1"/>
  <c r="AS362" i="1" s="1"/>
  <c r="AT370" i="1" a="1"/>
  <c r="AT370" i="1" s="1"/>
  <c r="AT108" i="1" a="1"/>
  <c r="AT108" i="1" s="1"/>
  <c r="AT335" i="1" a="1"/>
  <c r="AT335" i="1" s="1"/>
  <c r="AT343" i="1" a="1"/>
  <c r="AT343" i="1" s="1"/>
  <c r="AS323" i="1" a="1"/>
  <c r="AS323" i="1" s="1"/>
  <c r="AQ326" i="1" a="1"/>
  <c r="AQ326" i="1" s="1"/>
  <c r="AT359" i="1" a="1"/>
  <c r="AT359" i="1" s="1"/>
  <c r="AR371" i="1" a="1"/>
  <c r="AR371" i="1" s="1"/>
  <c r="AR369" i="1" a="1"/>
  <c r="AR369" i="1" s="1"/>
  <c r="AU360" i="1" a="1"/>
  <c r="AU360" i="1" s="1"/>
  <c r="AQ110" i="1" a="1"/>
  <c r="AQ110" i="1" s="1"/>
  <c r="AU335" i="1" a="1"/>
  <c r="AU335" i="1" s="1"/>
  <c r="AR343" i="1" a="1"/>
  <c r="AR343" i="1" s="1"/>
  <c r="AS343" i="1" a="1"/>
  <c r="AS343" i="1" s="1"/>
  <c r="AS326" i="1" a="1"/>
  <c r="AS326" i="1" s="1"/>
  <c r="AU343" i="1" a="1"/>
  <c r="AU343" i="1" s="1"/>
  <c r="AU369" i="1" a="1"/>
  <c r="AU369" i="1" s="1"/>
  <c r="AU361" i="1" a="1"/>
  <c r="AU361" i="1" s="1"/>
  <c r="AR108" i="1" a="1"/>
  <c r="AR108" i="1" s="1"/>
  <c r="AR344" i="1" a="1"/>
  <c r="AR344" i="1" s="1"/>
  <c r="AS324" i="1" a="1"/>
  <c r="AS324" i="1" s="1"/>
  <c r="AU333" i="1" a="1"/>
  <c r="AU333" i="1" s="1"/>
  <c r="AT361" i="1" a="1"/>
  <c r="AT361" i="1" s="1"/>
  <c r="AT371" i="1" a="1"/>
  <c r="AT371" i="1" s="1"/>
  <c r="AT369" i="1" a="1"/>
  <c r="AT369" i="1" s="1"/>
  <c r="AQ361" i="1" a="1"/>
  <c r="AQ361" i="1" s="1"/>
  <c r="AT360" i="1" a="1"/>
  <c r="AT360" i="1" s="1"/>
  <c r="AR325" i="1" a="1"/>
  <c r="AR325" i="1" s="1"/>
  <c r="AQ333" i="1" a="1"/>
  <c r="AQ333" i="1" s="1"/>
  <c r="AT333" i="1" a="1"/>
  <c r="AT333" i="1" s="1"/>
  <c r="AU332" i="1" a="1"/>
  <c r="AU332" i="1" s="1"/>
  <c r="AT342" i="1" a="1"/>
  <c r="AT342" i="1" s="1"/>
  <c r="AU324" i="1" a="1"/>
  <c r="AU324" i="1" s="1"/>
  <c r="AS334" i="1" a="1"/>
  <c r="AS334" i="1" s="1"/>
  <c r="AU342" i="1" a="1"/>
  <c r="AU342" i="1" s="1"/>
  <c r="AQ370" i="1" a="1"/>
  <c r="AQ370" i="1" s="1"/>
  <c r="AU371" i="1" a="1"/>
  <c r="AU371" i="1" s="1"/>
  <c r="AQ362" i="1" a="1"/>
  <c r="AQ362" i="1" s="1"/>
  <c r="AU368" i="1" a="1"/>
  <c r="AU368" i="1" s="1"/>
  <c r="AR359" i="1" a="1"/>
  <c r="AR359" i="1" s="1"/>
  <c r="AT325" i="1" a="1"/>
  <c r="AT325" i="1" s="1"/>
  <c r="AR335" i="1" a="1"/>
  <c r="AR335" i="1" s="1"/>
  <c r="AR333" i="1" a="1"/>
  <c r="AR333" i="1" s="1"/>
  <c r="AU334" i="1" a="1"/>
  <c r="AU334" i="1" s="1"/>
  <c r="AU323" i="1" a="1"/>
  <c r="AU323" i="1" s="1"/>
  <c r="AQ325" i="1" a="1"/>
  <c r="AQ325" i="1" s="1"/>
  <c r="AQ335" i="1" a="1"/>
  <c r="AQ335" i="1" s="1"/>
  <c r="AR360" i="1" a="1"/>
  <c r="AR360" i="1" s="1"/>
  <c r="AT368" i="1" a="1"/>
  <c r="AT368" i="1" s="1"/>
  <c r="AS371" i="1" a="1"/>
  <c r="AS371" i="1" s="1"/>
  <c r="AQ368" i="1" a="1"/>
  <c r="AQ368" i="1" s="1"/>
  <c r="AS360" i="1" a="1"/>
  <c r="AS360" i="1" s="1"/>
  <c r="AQ359" i="1" a="1"/>
  <c r="AQ359" i="1" s="1"/>
  <c r="AR362" i="1" a="1"/>
  <c r="AR362" i="1" s="1"/>
  <c r="O182" i="1" l="1" a="1"/>
  <c r="O182" i="1" s="1"/>
  <c r="AF182" i="1" s="1"/>
  <c r="Q184" i="1" a="1"/>
  <c r="Q184" i="1" s="1"/>
  <c r="AH184" i="1" s="1"/>
  <c r="O184" i="1" a="1"/>
  <c r="O184" i="1" s="1"/>
  <c r="AF184" i="1" s="1"/>
  <c r="CW182" i="1"/>
  <c r="Q173" i="1" a="1"/>
  <c r="Q173" i="1" s="1"/>
  <c r="AH173" i="1" s="1"/>
  <c r="Q192" i="1" a="1"/>
  <c r="Q192" i="1" s="1"/>
  <c r="AH192" i="1" s="1"/>
  <c r="O183" i="1" a="1"/>
  <c r="O183" i="1" s="1"/>
  <c r="AF183" i="1" s="1"/>
  <c r="AV191" i="1" a="1"/>
  <c r="AV191" i="1" s="1"/>
  <c r="BM191" i="1" s="1"/>
  <c r="R193" i="1" a="1"/>
  <c r="R193" i="1" s="1"/>
  <c r="AI193" i="1" s="1"/>
  <c r="CW296" i="1"/>
  <c r="AY60" i="1" a="1"/>
  <c r="AY60" i="1" s="1"/>
  <c r="BP60" i="1" s="1"/>
  <c r="AZ173" i="1" a="1"/>
  <c r="AZ173" i="1" s="1"/>
  <c r="BQ173" i="1" s="1"/>
  <c r="CW184" i="1"/>
  <c r="AV192" i="1" a="1"/>
  <c r="AV192" i="1" s="1"/>
  <c r="BM192" i="1" s="1"/>
  <c r="CT60" i="1"/>
  <c r="AX174" i="1" a="1"/>
  <c r="AX174" i="1" s="1"/>
  <c r="BO174" i="1" s="1"/>
  <c r="P59" i="1" a="1"/>
  <c r="P59" i="1" s="1"/>
  <c r="AG59" i="1" s="1"/>
  <c r="AW193" i="1" a="1"/>
  <c r="AW193" i="1" s="1"/>
  <c r="BN193" i="1" s="1"/>
  <c r="AV59" i="1" a="1"/>
  <c r="AV59" i="1" s="1"/>
  <c r="BM59" i="1" s="1"/>
  <c r="AY173" i="1" a="1"/>
  <c r="AY173" i="1" s="1"/>
  <c r="BP173" i="1" s="1"/>
  <c r="CW192" i="1"/>
  <c r="AX59" i="1" a="1"/>
  <c r="AX59" i="1" s="1"/>
  <c r="BO59" i="1" s="1"/>
  <c r="CV112" i="1"/>
  <c r="CT174" i="1"/>
  <c r="N59" i="1" a="1"/>
  <c r="N59" i="1" s="1"/>
  <c r="AE59" i="1" s="1"/>
  <c r="CQ174" i="1"/>
  <c r="CT109" i="1"/>
  <c r="AW175" i="1" a="1"/>
  <c r="AW175" i="1" s="1"/>
  <c r="BN175" i="1" s="1"/>
  <c r="CQ183" i="1"/>
  <c r="CW110" i="1"/>
  <c r="BY307" i="1"/>
  <c r="CW109" i="1"/>
  <c r="CW279" i="1"/>
  <c r="CT297" i="1"/>
  <c r="CA307" i="1"/>
  <c r="CB307" i="1"/>
  <c r="CV176" i="1"/>
  <c r="R59" i="1" a="1"/>
  <c r="R59" i="1" s="1"/>
  <c r="AI59" i="1" s="1"/>
  <c r="CQ184" i="1"/>
  <c r="CQ182" i="1"/>
  <c r="CV280" i="1"/>
  <c r="N174" i="1" a="1"/>
  <c r="N174" i="1" s="1"/>
  <c r="AE174" i="1" s="1"/>
  <c r="AV182" i="1" a="1"/>
  <c r="AV182" i="1" s="1"/>
  <c r="BM182" i="1" s="1"/>
  <c r="CT277" i="1"/>
  <c r="R61" i="1" a="1"/>
  <c r="R61" i="1" s="1"/>
  <c r="AI61" i="1" s="1"/>
  <c r="P174" i="1" a="1"/>
  <c r="P174" i="1" s="1"/>
  <c r="AG174" i="1" s="1"/>
  <c r="AV61" i="1" a="1"/>
  <c r="AV61" i="1" s="1"/>
  <c r="BM61" i="1" s="1"/>
  <c r="CC121" i="1"/>
  <c r="AZ175" i="1" a="1"/>
  <c r="AZ175" i="1" s="1"/>
  <c r="BQ175" i="1" s="1"/>
  <c r="P175" i="1" a="1"/>
  <c r="P175" i="1" s="1"/>
  <c r="AG175" i="1" s="1"/>
  <c r="AW60" i="1" a="1"/>
  <c r="AW60" i="1" s="1"/>
  <c r="BN60" i="1" s="1"/>
  <c r="R174" i="1" a="1"/>
  <c r="R174" i="1" s="1"/>
  <c r="AI174" i="1" s="1"/>
  <c r="O175" i="1" a="1"/>
  <c r="O175" i="1" s="1"/>
  <c r="AF175" i="1" s="1"/>
  <c r="AX184" i="1" a="1"/>
  <c r="AX184" i="1" s="1"/>
  <c r="BO184" i="1" s="1"/>
  <c r="AZ192" i="1" a="1"/>
  <c r="AZ192" i="1" s="1"/>
  <c r="BQ192" i="1" s="1"/>
  <c r="CT279" i="1"/>
  <c r="CQ286" i="1"/>
  <c r="CS344" i="1"/>
  <c r="CW60" i="1"/>
  <c r="N61" i="1" a="1"/>
  <c r="N61" i="1" s="1"/>
  <c r="AE61" i="1" s="1"/>
  <c r="AZ59" i="1" a="1"/>
  <c r="AZ59" i="1" s="1"/>
  <c r="BQ59" i="1" s="1"/>
  <c r="Q174" i="1" a="1"/>
  <c r="Q174" i="1" s="1"/>
  <c r="AH174" i="1" s="1"/>
  <c r="R175" i="1" a="1"/>
  <c r="R175" i="1" s="1"/>
  <c r="AI175" i="1" s="1"/>
  <c r="R183" i="1" a="1"/>
  <c r="R183" i="1" s="1"/>
  <c r="AI183" i="1" s="1"/>
  <c r="AW184" i="1" a="1"/>
  <c r="AW184" i="1" s="1"/>
  <c r="BN184" i="1" s="1"/>
  <c r="AX191" i="1" a="1"/>
  <c r="AX191" i="1" s="1"/>
  <c r="BO191" i="1" s="1"/>
  <c r="AW192" i="1" a="1"/>
  <c r="AW192" i="1" s="1"/>
  <c r="BN192" i="1" s="1"/>
  <c r="AX61" i="1" a="1"/>
  <c r="AX61" i="1" s="1"/>
  <c r="BO61" i="1" s="1"/>
  <c r="P182" i="1" a="1"/>
  <c r="P182" i="1" s="1"/>
  <c r="AG182" i="1" s="1"/>
  <c r="O60" i="1" a="1"/>
  <c r="O60" i="1" s="1"/>
  <c r="AF60" i="1" s="1"/>
  <c r="CP194" i="1"/>
  <c r="N173" i="1" a="1"/>
  <c r="N173" i="1" s="1"/>
  <c r="AE173" i="1" s="1"/>
  <c r="AX173" i="1" a="1"/>
  <c r="AX173" i="1" s="1"/>
  <c r="BO173" i="1" s="1"/>
  <c r="AV175" i="1" a="1"/>
  <c r="AV175" i="1" s="1"/>
  <c r="BM175" i="1" s="1"/>
  <c r="AZ182" i="1" a="1"/>
  <c r="AZ182" i="1" s="1"/>
  <c r="BQ182" i="1" s="1"/>
  <c r="AV183" i="1" a="1"/>
  <c r="AV183" i="1" s="1"/>
  <c r="BM183" i="1" s="1"/>
  <c r="O173" i="1" a="1"/>
  <c r="O173" i="1" s="1"/>
  <c r="AF173" i="1" s="1"/>
  <c r="AV174" i="1" a="1"/>
  <c r="AV174" i="1" s="1"/>
  <c r="BM174" i="1" s="1"/>
  <c r="Q175" i="1" a="1"/>
  <c r="Q175" i="1" s="1"/>
  <c r="AH175" i="1" s="1"/>
  <c r="N183" i="1" a="1"/>
  <c r="N183" i="1" s="1"/>
  <c r="AE183" i="1" s="1"/>
  <c r="P191" i="1" a="1"/>
  <c r="P191" i="1" s="1"/>
  <c r="AG191" i="1" s="1"/>
  <c r="AY192" i="1" a="1"/>
  <c r="AY192" i="1" s="1"/>
  <c r="BP192" i="1" s="1"/>
  <c r="N193" i="1" a="1"/>
  <c r="N193" i="1" s="1"/>
  <c r="AE193" i="1" s="1"/>
  <c r="AX193" i="1" a="1"/>
  <c r="AX193" i="1" s="1"/>
  <c r="BO193" i="1" s="1"/>
  <c r="Q191" i="1" a="1"/>
  <c r="Q191" i="1" s="1"/>
  <c r="AH191" i="1" s="1"/>
  <c r="R192" i="1" a="1"/>
  <c r="R192" i="1" s="1"/>
  <c r="AI192" i="1" s="1"/>
  <c r="O193" i="1" a="1"/>
  <c r="O193" i="1" s="1"/>
  <c r="AF193" i="1" s="1"/>
  <c r="CT287" i="1"/>
  <c r="CP289" i="1"/>
  <c r="BK60" i="1"/>
  <c r="BD60" i="1"/>
  <c r="AY78" i="1" s="1"/>
  <c r="S61" i="1"/>
  <c r="N79" i="1" s="1"/>
  <c r="I70" i="1" s="1"/>
  <c r="Z61" i="1"/>
  <c r="BL58" i="1"/>
  <c r="BE58" i="1"/>
  <c r="BI61" i="1"/>
  <c r="AB59" i="1"/>
  <c r="U59" i="1"/>
  <c r="P77" i="1" s="1"/>
  <c r="Z59" i="1"/>
  <c r="BJ60" i="1"/>
  <c r="AC60" i="1"/>
  <c r="V60" i="1"/>
  <c r="Q78" i="1" s="1"/>
  <c r="BI60" i="1"/>
  <c r="AV368" i="1"/>
  <c r="AQ372" i="1"/>
  <c r="BH368" i="1"/>
  <c r="BH335" i="1"/>
  <c r="AQ231" i="1" a="1"/>
  <c r="AQ231" i="1" s="1"/>
  <c r="BI333" i="1"/>
  <c r="AR229" i="1" a="1"/>
  <c r="AR229" i="1" s="1"/>
  <c r="AZ368" i="1"/>
  <c r="AU372" i="1"/>
  <c r="BL368" i="1"/>
  <c r="BL342" i="1"/>
  <c r="AZ342" i="1"/>
  <c r="AU336" i="1"/>
  <c r="BL332" i="1"/>
  <c r="AU228" i="1" a="1"/>
  <c r="AU228" i="1" s="1"/>
  <c r="AY360" i="1"/>
  <c r="BK360" i="1"/>
  <c r="BP360" i="1" s="1"/>
  <c r="AT256" i="1" a="1"/>
  <c r="AT256" i="1" s="1"/>
  <c r="AY361" i="1"/>
  <c r="BK361" i="1"/>
  <c r="BP361" i="1" s="1"/>
  <c r="AT257" i="1" a="1"/>
  <c r="AT257" i="1" s="1"/>
  <c r="BI108" i="1"/>
  <c r="BB108" i="1"/>
  <c r="AW126" i="1" s="1"/>
  <c r="AR112" i="1"/>
  <c r="BJ326" i="1"/>
  <c r="BA110" i="1"/>
  <c r="AV128" i="1" s="1"/>
  <c r="BH110" i="1"/>
  <c r="AY359" i="1"/>
  <c r="AT363" i="1"/>
  <c r="BK359" i="1"/>
  <c r="AT255" i="1" a="1"/>
  <c r="AT255" i="1" s="1"/>
  <c r="BK335" i="1"/>
  <c r="AT231" i="1" a="1"/>
  <c r="AT231" i="1" s="1"/>
  <c r="AV369" i="1"/>
  <c r="BH369" i="1"/>
  <c r="BM369" i="1" s="1"/>
  <c r="AQ327" i="1"/>
  <c r="BH323" i="1"/>
  <c r="BH342" i="1"/>
  <c r="AV342" i="1"/>
  <c r="BH360" i="1"/>
  <c r="BM360" i="1" s="1"/>
  <c r="AV360" i="1"/>
  <c r="AQ256" i="1" a="1"/>
  <c r="AQ256" i="1" s="1"/>
  <c r="BJ369" i="1"/>
  <c r="BO369" i="1" s="1"/>
  <c r="AX369" i="1"/>
  <c r="AT345" i="1"/>
  <c r="BK341" i="1"/>
  <c r="AY341" i="1"/>
  <c r="BH344" i="1"/>
  <c r="AV344" i="1"/>
  <c r="BK334" i="1"/>
  <c r="AT230" i="1" a="1"/>
  <c r="AT230" i="1" s="1"/>
  <c r="BE110" i="1"/>
  <c r="AZ128" i="1" s="1"/>
  <c r="BL110" i="1"/>
  <c r="BK111" i="1"/>
  <c r="BD111" i="1"/>
  <c r="AY129" i="1" s="1"/>
  <c r="AD58" i="1"/>
  <c r="W58" i="1"/>
  <c r="AC59" i="1"/>
  <c r="BH109" i="1"/>
  <c r="BA109" i="1"/>
  <c r="AV127" i="1" s="1"/>
  <c r="CT58" i="1"/>
  <c r="CR62" i="1"/>
  <c r="CW61" i="1"/>
  <c r="CO112" i="1"/>
  <c r="CQ108" i="1"/>
  <c r="CO126" i="1" s="1"/>
  <c r="AC111" i="1"/>
  <c r="V111" i="1"/>
  <c r="Q129" i="1" s="1"/>
  <c r="AC138" i="1"/>
  <c r="Q138" i="1"/>
  <c r="AH58" i="1"/>
  <c r="BL109" i="1"/>
  <c r="BE109" i="1"/>
  <c r="AZ127" i="1" s="1"/>
  <c r="BZ121" i="1"/>
  <c r="AB137" i="1"/>
  <c r="K141" i="1"/>
  <c r="P137" i="1"/>
  <c r="I112" i="1"/>
  <c r="Z108" i="1"/>
  <c r="S108" i="1"/>
  <c r="N126" i="1" s="1"/>
  <c r="I117" i="1" s="1"/>
  <c r="Q112" i="1"/>
  <c r="AH108" i="1"/>
  <c r="AH112" i="1" s="1"/>
  <c r="AW112" i="1"/>
  <c r="BN108" i="1"/>
  <c r="BN112" i="1" s="1"/>
  <c r="CQ111" i="1"/>
  <c r="CO129" i="1" s="1"/>
  <c r="BL137" i="1"/>
  <c r="AZ137" i="1"/>
  <c r="AU141" i="1"/>
  <c r="CS139" i="1"/>
  <c r="AD149" i="1"/>
  <c r="AI149" i="1" s="1"/>
  <c r="R149" i="1"/>
  <c r="CS89" i="1"/>
  <c r="CP112" i="1"/>
  <c r="BD109" i="1"/>
  <c r="AY127" i="1" s="1"/>
  <c r="BK109" i="1"/>
  <c r="AB111" i="1"/>
  <c r="U111" i="1"/>
  <c r="P129" i="1" s="1"/>
  <c r="BH111" i="1"/>
  <c r="BA111" i="1"/>
  <c r="AV129" i="1" s="1"/>
  <c r="BH138" i="1"/>
  <c r="AV138" i="1"/>
  <c r="AW140" i="1"/>
  <c r="BI140" i="1"/>
  <c r="AB182" i="1"/>
  <c r="U182" i="1"/>
  <c r="AA58" i="1"/>
  <c r="T58" i="1"/>
  <c r="O76" i="1" s="1"/>
  <c r="AI58" i="1"/>
  <c r="BO58" i="1"/>
  <c r="O59" i="1" a="1"/>
  <c r="O59" i="1" s="1"/>
  <c r="AF59" i="1" s="1"/>
  <c r="AU59" i="1" a="1"/>
  <c r="AU59" i="1" s="1"/>
  <c r="AZ60" i="1" a="1"/>
  <c r="AZ60" i="1" s="1"/>
  <c r="BQ60" i="1" s="1"/>
  <c r="Q61" i="1" a="1"/>
  <c r="Q61" i="1" s="1"/>
  <c r="AH61" i="1" s="1"/>
  <c r="AW61" i="1" a="1"/>
  <c r="AW61" i="1" s="1"/>
  <c r="BN61" i="1" s="1"/>
  <c r="N112" i="1"/>
  <c r="AE108" i="1"/>
  <c r="AE112" i="1" s="1"/>
  <c r="AX112" i="1"/>
  <c r="BO108" i="1"/>
  <c r="BO112" i="1" s="1"/>
  <c r="CT110" i="1"/>
  <c r="AT141" i="1"/>
  <c r="BK137" i="1"/>
  <c r="AY137" i="1"/>
  <c r="AW139" i="1"/>
  <c r="BI139" i="1"/>
  <c r="AA147" i="1"/>
  <c r="AF147" i="1" s="1"/>
  <c r="O147" i="1"/>
  <c r="AA184" i="1"/>
  <c r="AK184" i="1" s="1"/>
  <c r="T184" i="1"/>
  <c r="CQ137" i="1"/>
  <c r="CO141" i="1"/>
  <c r="CR137" i="1"/>
  <c r="CQ138" i="1"/>
  <c r="CR138" i="1"/>
  <c r="CQ139" i="1"/>
  <c r="CR139" i="1"/>
  <c r="CQ140" i="1"/>
  <c r="CR140" i="1"/>
  <c r="BI147" i="1"/>
  <c r="BN147" i="1" s="1"/>
  <c r="AW147" i="1"/>
  <c r="AV149" i="1"/>
  <c r="BH149" i="1"/>
  <c r="BM149" i="1" s="1"/>
  <c r="U172" i="1"/>
  <c r="K176" i="1"/>
  <c r="AB172" i="1"/>
  <c r="BN172" i="1"/>
  <c r="AC173" i="1"/>
  <c r="AM173" i="1" s="1"/>
  <c r="V173" i="1"/>
  <c r="Z174" i="1"/>
  <c r="AA175" i="1"/>
  <c r="AK175" i="1" s="1"/>
  <c r="T175" i="1"/>
  <c r="BN277" i="1"/>
  <c r="AW173" i="1" a="1"/>
  <c r="AW173" i="1" s="1"/>
  <c r="BN173" i="1" s="1"/>
  <c r="AU150" i="1"/>
  <c r="BL146" i="1"/>
  <c r="AZ146" i="1"/>
  <c r="AW148" i="1"/>
  <c r="BI148" i="1"/>
  <c r="BN148" i="1" s="1"/>
  <c r="K185" i="1"/>
  <c r="AB181" i="1"/>
  <c r="U181" i="1"/>
  <c r="AW185" i="1"/>
  <c r="BN181" i="1"/>
  <c r="BN185" i="1" s="1"/>
  <c r="V182" i="1"/>
  <c r="AC182" i="1"/>
  <c r="AM182" i="1" s="1"/>
  <c r="Z184" i="1"/>
  <c r="AJ184" i="1" s="1"/>
  <c r="S184" i="1"/>
  <c r="Q255" i="1"/>
  <c r="L259" i="1"/>
  <c r="AC255" i="1"/>
  <c r="BH147" i="1"/>
  <c r="BM147" i="1" s="1"/>
  <c r="AV147" i="1"/>
  <c r="P148" i="1"/>
  <c r="AB148" i="1"/>
  <c r="AG148" i="1" s="1"/>
  <c r="AC172" i="1"/>
  <c r="V172" i="1"/>
  <c r="BM172" i="1"/>
  <c r="Z173" i="1"/>
  <c r="AJ173" i="1" s="1"/>
  <c r="V184" i="1"/>
  <c r="AC184" i="1"/>
  <c r="AM184" i="1" s="1"/>
  <c r="W190" i="1"/>
  <c r="M194" i="1"/>
  <c r="AD190" i="1"/>
  <c r="BP190" i="1"/>
  <c r="BI362" i="1"/>
  <c r="BN362" i="1" s="1"/>
  <c r="AW362" i="1"/>
  <c r="AR258" i="1" a="1"/>
  <c r="AR258" i="1" s="1"/>
  <c r="BJ371" i="1"/>
  <c r="BO371" i="1" s="1"/>
  <c r="AX371" i="1"/>
  <c r="BH325" i="1"/>
  <c r="BI335" i="1"/>
  <c r="AR231" i="1" a="1"/>
  <c r="AR231" i="1" s="1"/>
  <c r="BH362" i="1"/>
  <c r="BM362" i="1" s="1"/>
  <c r="AV362" i="1"/>
  <c r="AQ258" i="1" a="1"/>
  <c r="AQ258" i="1" s="1"/>
  <c r="BJ334" i="1"/>
  <c r="AS230" i="1" a="1"/>
  <c r="AS230" i="1" s="1"/>
  <c r="BK333" i="1"/>
  <c r="AT229" i="1" a="1"/>
  <c r="AT229" i="1" s="1"/>
  <c r="BH361" i="1"/>
  <c r="BM361" i="1" s="1"/>
  <c r="AV361" i="1"/>
  <c r="AQ257" i="1" a="1"/>
  <c r="AQ257" i="1" s="1"/>
  <c r="BL333" i="1"/>
  <c r="AU229" i="1" a="1"/>
  <c r="AU229" i="1" s="1"/>
  <c r="BL361" i="1"/>
  <c r="BQ361" i="1" s="1"/>
  <c r="AZ361" i="1"/>
  <c r="AU257" i="1" a="1"/>
  <c r="AU257" i="1" s="1"/>
  <c r="BJ343" i="1"/>
  <c r="AX343" i="1"/>
  <c r="BL360" i="1"/>
  <c r="BQ360" i="1" s="1"/>
  <c r="AZ360" i="1"/>
  <c r="AU256" i="1" a="1"/>
  <c r="AU256" i="1" s="1"/>
  <c r="BH326" i="1"/>
  <c r="AT112" i="1"/>
  <c r="BK108" i="1"/>
  <c r="BD108" i="1"/>
  <c r="AY126" i="1" s="1"/>
  <c r="AX370" i="1"/>
  <c r="BJ370" i="1"/>
  <c r="BO370" i="1" s="1"/>
  <c r="BH341" i="1"/>
  <c r="AQ345" i="1"/>
  <c r="AV341" i="1"/>
  <c r="BK326" i="1"/>
  <c r="BJ361" i="1"/>
  <c r="BO361" i="1" s="1"/>
  <c r="AX361" i="1"/>
  <c r="AS257" i="1" a="1"/>
  <c r="AS257" i="1" s="1"/>
  <c r="AR372" i="1"/>
  <c r="AW368" i="1"/>
  <c r="BI368" i="1"/>
  <c r="BL326" i="1"/>
  <c r="BJ335" i="1"/>
  <c r="AS231" i="1" a="1"/>
  <c r="AS231" i="1" s="1"/>
  <c r="AS345" i="1"/>
  <c r="BJ341" i="1"/>
  <c r="AX341" i="1"/>
  <c r="AF58" i="1"/>
  <c r="BI59" i="1"/>
  <c r="AD60" i="1"/>
  <c r="AC61" i="1"/>
  <c r="CB121" i="1"/>
  <c r="AD137" i="1"/>
  <c r="R137" i="1"/>
  <c r="M141" i="1"/>
  <c r="AI181" i="1"/>
  <c r="BH58" i="1"/>
  <c r="BA58" i="1"/>
  <c r="AB60" i="1"/>
  <c r="Q147" i="1"/>
  <c r="AC147" i="1"/>
  <c r="AH147" i="1" s="1"/>
  <c r="U58" i="1"/>
  <c r="P76" i="1" s="1"/>
  <c r="AB58" i="1"/>
  <c r="CU62" i="1"/>
  <c r="CW58" i="1"/>
  <c r="Z60" i="1"/>
  <c r="AW138" i="1"/>
  <c r="BI138" i="1"/>
  <c r="CU194" i="1"/>
  <c r="CW190" i="1"/>
  <c r="AT59" i="1" a="1"/>
  <c r="AT59" i="1" s="1"/>
  <c r="CR90" i="1"/>
  <c r="CQ90" i="1"/>
  <c r="BL138" i="1"/>
  <c r="AZ138" i="1"/>
  <c r="U108" i="1"/>
  <c r="P126" i="1" s="1"/>
  <c r="K112" i="1"/>
  <c r="AB108" i="1"/>
  <c r="BH108" i="1"/>
  <c r="BA108" i="1"/>
  <c r="AQ112" i="1"/>
  <c r="BP108" i="1"/>
  <c r="BP112" i="1" s="1"/>
  <c r="AY112" i="1"/>
  <c r="AA110" i="1"/>
  <c r="T110" i="1"/>
  <c r="O128" i="1" s="1"/>
  <c r="AA138" i="1"/>
  <c r="O138" i="1"/>
  <c r="BK140" i="1"/>
  <c r="AY140" i="1"/>
  <c r="CS88" i="1"/>
  <c r="CU112" i="1"/>
  <c r="CW108" i="1"/>
  <c r="CQ110" i="1"/>
  <c r="CO128" i="1" s="1"/>
  <c r="AD111" i="1"/>
  <c r="W111" i="1"/>
  <c r="R129" i="1" s="1"/>
  <c r="BJ111" i="1"/>
  <c r="BC111" i="1"/>
  <c r="AX129" i="1" s="1"/>
  <c r="CT111" i="1"/>
  <c r="CS138" i="1"/>
  <c r="BL140" i="1"/>
  <c r="AZ140" i="1"/>
  <c r="Z183" i="1"/>
  <c r="S183" i="1"/>
  <c r="L62" i="1"/>
  <c r="AC58" i="1"/>
  <c r="V58" i="1"/>
  <c r="Q76" i="1" s="1"/>
  <c r="AR58" i="1" a="1"/>
  <c r="AR58" i="1" s="1"/>
  <c r="BQ58" i="1"/>
  <c r="Q59" i="1" a="1"/>
  <c r="Q59" i="1" s="1"/>
  <c r="AH59" i="1" s="1"/>
  <c r="AW59" i="1" a="1"/>
  <c r="AW59" i="1" s="1"/>
  <c r="BN59" i="1" s="1"/>
  <c r="N60" i="1" a="1"/>
  <c r="N60" i="1" s="1"/>
  <c r="AE60" i="1" s="1"/>
  <c r="K61" i="1" a="1"/>
  <c r="K61" i="1" s="1"/>
  <c r="AQ61" i="1" a="1"/>
  <c r="AQ61" i="1" s="1"/>
  <c r="AY61" i="1" a="1"/>
  <c r="AY61" i="1" s="1"/>
  <c r="BP61" i="1" s="1"/>
  <c r="P112" i="1"/>
  <c r="AG108" i="1"/>
  <c r="AG112" i="1" s="1"/>
  <c r="BQ108" i="1"/>
  <c r="BQ112" i="1" s="1"/>
  <c r="AZ112" i="1"/>
  <c r="S110" i="1"/>
  <c r="N128" i="1" s="1"/>
  <c r="I119" i="1" s="1"/>
  <c r="Z110" i="1"/>
  <c r="CP141" i="1"/>
  <c r="CS137" i="1"/>
  <c r="BL139" i="1"/>
  <c r="AZ139" i="1"/>
  <c r="BL148" i="1"/>
  <c r="BQ148" i="1" s="1"/>
  <c r="AZ148" i="1"/>
  <c r="P185" i="1"/>
  <c r="AG181" i="1"/>
  <c r="AG185" i="1" s="1"/>
  <c r="Z138" i="1"/>
  <c r="N138" i="1"/>
  <c r="Z139" i="1"/>
  <c r="N139" i="1"/>
  <c r="Z140" i="1"/>
  <c r="N140" i="1"/>
  <c r="N146" i="1"/>
  <c r="I150" i="1"/>
  <c r="Z146" i="1"/>
  <c r="BK147" i="1"/>
  <c r="BP147" i="1" s="1"/>
  <c r="AY147" i="1"/>
  <c r="BJ149" i="1"/>
  <c r="BO149" i="1" s="1"/>
  <c r="AX149" i="1"/>
  <c r="CQ297" i="1"/>
  <c r="CO315" i="1" s="1"/>
  <c r="Z147" i="1"/>
  <c r="AE147" i="1" s="1"/>
  <c r="N147" i="1"/>
  <c r="BK148" i="1"/>
  <c r="BP148" i="1" s="1"/>
  <c r="AY148" i="1"/>
  <c r="CU176" i="1"/>
  <c r="CW172" i="1"/>
  <c r="CW174" i="1"/>
  <c r="M185" i="1"/>
  <c r="AD181" i="1"/>
  <c r="W181" i="1"/>
  <c r="AZ185" i="1"/>
  <c r="BQ181" i="1"/>
  <c r="BQ185" i="1" s="1"/>
  <c r="AD183" i="1"/>
  <c r="AN183" i="1" s="1"/>
  <c r="W183" i="1"/>
  <c r="AX147" i="1"/>
  <c r="BJ147" i="1"/>
  <c r="BO147" i="1" s="1"/>
  <c r="AD148" i="1"/>
  <c r="AI148" i="1" s="1"/>
  <c r="R148" i="1"/>
  <c r="AE172" i="1"/>
  <c r="W175" i="1"/>
  <c r="AD175" i="1"/>
  <c r="AN175" i="1" s="1"/>
  <c r="CV185" i="1"/>
  <c r="S190" i="1"/>
  <c r="I194" i="1"/>
  <c r="Z190" i="1"/>
  <c r="CW193" i="1"/>
  <c r="V278" i="1"/>
  <c r="AC278" i="1"/>
  <c r="AM278" i="1" s="1"/>
  <c r="L174" i="1" a="1"/>
  <c r="L174" i="1" s="1"/>
  <c r="AF190" i="1"/>
  <c r="AF194" i="1" s="1"/>
  <c r="O194" i="1"/>
  <c r="CT190" i="1"/>
  <c r="CR194" i="1"/>
  <c r="U192" i="1"/>
  <c r="P210" i="1" s="1"/>
  <c r="AB192" i="1"/>
  <c r="AQ363" i="1"/>
  <c r="BH359" i="1"/>
  <c r="AV359" i="1"/>
  <c r="AQ255" i="1" a="1"/>
  <c r="AQ255" i="1" s="1"/>
  <c r="BK368" i="1"/>
  <c r="AY368" i="1"/>
  <c r="AT372" i="1"/>
  <c r="AU327" i="1"/>
  <c r="BL323" i="1"/>
  <c r="BK325" i="1"/>
  <c r="BL371" i="1"/>
  <c r="BQ371" i="1" s="1"/>
  <c r="AZ371" i="1"/>
  <c r="BL324" i="1"/>
  <c r="BH333" i="1"/>
  <c r="AQ229" i="1" a="1"/>
  <c r="AQ229" i="1" s="1"/>
  <c r="AY369" i="1"/>
  <c r="BK369" i="1"/>
  <c r="BP369" i="1" s="1"/>
  <c r="BJ324" i="1"/>
  <c r="AZ369" i="1"/>
  <c r="BL369" i="1"/>
  <c r="BQ369" i="1" s="1"/>
  <c r="AW343" i="1"/>
  <c r="BI343" i="1"/>
  <c r="BI369" i="1"/>
  <c r="BN369" i="1" s="1"/>
  <c r="AW369" i="1"/>
  <c r="AS327" i="1"/>
  <c r="BJ323" i="1"/>
  <c r="AY370" i="1"/>
  <c r="BK370" i="1"/>
  <c r="BP370" i="1" s="1"/>
  <c r="AW342" i="1"/>
  <c r="BI342" i="1"/>
  <c r="AS336" i="1"/>
  <c r="BJ332" i="1"/>
  <c r="AS228" i="1" a="1"/>
  <c r="AS228" i="1" s="1"/>
  <c r="BH343" i="1"/>
  <c r="AV343" i="1"/>
  <c r="BL362" i="1"/>
  <c r="BQ362" i="1" s="1"/>
  <c r="AZ362" i="1"/>
  <c r="AU258" i="1" a="1"/>
  <c r="AU258" i="1" s="1"/>
  <c r="BL370" i="1"/>
  <c r="BQ370" i="1" s="1"/>
  <c r="AZ370" i="1"/>
  <c r="BJ325" i="1"/>
  <c r="AQ336" i="1"/>
  <c r="BH332" i="1"/>
  <c r="AQ228" i="1" a="1"/>
  <c r="AQ228" i="1" s="1"/>
  <c r="BI326" i="1"/>
  <c r="CP62" i="1"/>
  <c r="AQ60" i="1" a="1"/>
  <c r="AQ60" i="1" s="1"/>
  <c r="BP58" i="1"/>
  <c r="AA61" i="1"/>
  <c r="T111" i="1"/>
  <c r="O129" i="1" s="1"/>
  <c r="AA111" i="1"/>
  <c r="AB149" i="1"/>
  <c r="AG149" i="1" s="1"/>
  <c r="P149" i="1"/>
  <c r="BN58" i="1"/>
  <c r="AA59" i="1"/>
  <c r="P61" i="1" a="1"/>
  <c r="P61" i="1" s="1"/>
  <c r="AG61" i="1" s="1"/>
  <c r="CR89" i="1"/>
  <c r="CQ89" i="1"/>
  <c r="BJ109" i="1"/>
  <c r="BC109" i="1"/>
  <c r="AX127" i="1" s="1"/>
  <c r="AA139" i="1"/>
  <c r="O139" i="1"/>
  <c r="CV62" i="1"/>
  <c r="CW59" i="1"/>
  <c r="AZ61" i="1" a="1"/>
  <c r="AZ61" i="1" s="1"/>
  <c r="BQ61" i="1" s="1"/>
  <c r="CP91" i="1"/>
  <c r="CS87" i="1"/>
  <c r="Z109" i="1"/>
  <c r="S109" i="1"/>
  <c r="N127" i="1" s="1"/>
  <c r="I118" i="1" s="1"/>
  <c r="BB111" i="1"/>
  <c r="AW129" i="1" s="1"/>
  <c r="BI111" i="1"/>
  <c r="BJ139" i="1"/>
  <c r="AX139" i="1"/>
  <c r="T181" i="1"/>
  <c r="J185" i="1"/>
  <c r="AA181" i="1"/>
  <c r="M112" i="1"/>
  <c r="AD108" i="1"/>
  <c r="W108" i="1"/>
  <c r="BC108" i="1"/>
  <c r="AX126" i="1" s="1"/>
  <c r="AS112" i="1"/>
  <c r="BJ108" i="1"/>
  <c r="CT108" i="1"/>
  <c r="CR112" i="1"/>
  <c r="AC110" i="1"/>
  <c r="V110" i="1"/>
  <c r="Q128" i="1" s="1"/>
  <c r="BI110" i="1"/>
  <c r="BB110" i="1"/>
  <c r="AW128" i="1" s="1"/>
  <c r="BH137" i="1"/>
  <c r="AV137" i="1"/>
  <c r="AQ141" i="1"/>
  <c r="BJ138" i="1"/>
  <c r="AX138" i="1"/>
  <c r="AR150" i="1"/>
  <c r="BI146" i="1"/>
  <c r="AW146" i="1"/>
  <c r="AC181" i="1"/>
  <c r="L185" i="1"/>
  <c r="V181" i="1"/>
  <c r="AA109" i="1"/>
  <c r="T109" i="1"/>
  <c r="O127" i="1" s="1"/>
  <c r="BL111" i="1"/>
  <c r="BE111" i="1"/>
  <c r="AZ129" i="1" s="1"/>
  <c r="BY121" i="1"/>
  <c r="J141" i="1"/>
  <c r="O137" i="1"/>
  <c r="AA137" i="1"/>
  <c r="BK139" i="1"/>
  <c r="AY139" i="1"/>
  <c r="AY146" i="1"/>
  <c r="AT150" i="1"/>
  <c r="BK146" i="1"/>
  <c r="AE181" i="1"/>
  <c r="AE185" i="1" s="1"/>
  <c r="AE58" i="1"/>
  <c r="AT58" i="1" a="1"/>
  <c r="AT58" i="1" s="1"/>
  <c r="CS62" i="1"/>
  <c r="AQ59" i="1" a="1"/>
  <c r="AQ59" i="1" s="1"/>
  <c r="AY59" i="1" a="1"/>
  <c r="AY59" i="1" s="1"/>
  <c r="BP59" i="1" s="1"/>
  <c r="P60" i="1" a="1"/>
  <c r="P60" i="1" s="1"/>
  <c r="AG60" i="1" s="1"/>
  <c r="AV60" i="1" a="1"/>
  <c r="AV60" i="1" s="1"/>
  <c r="BM60" i="1" s="1"/>
  <c r="W61" i="1"/>
  <c r="R79" i="1" s="1"/>
  <c r="AD61" i="1"/>
  <c r="BJ61" i="1"/>
  <c r="CT61" i="1"/>
  <c r="J112" i="1"/>
  <c r="AA108" i="1"/>
  <c r="T108" i="1"/>
  <c r="R112" i="1"/>
  <c r="AI108" i="1"/>
  <c r="AI112" i="1" s="1"/>
  <c r="CS112" i="1"/>
  <c r="AB110" i="1"/>
  <c r="U110" i="1"/>
  <c r="P128" i="1" s="1"/>
  <c r="CW111" i="1"/>
  <c r="BK138" i="1"/>
  <c r="BP138" i="1" s="1"/>
  <c r="CG138" i="1" s="1"/>
  <c r="AY138" i="1"/>
  <c r="AA140" i="1"/>
  <c r="O140" i="1"/>
  <c r="Z149" i="1"/>
  <c r="AE149" i="1" s="1"/>
  <c r="N149" i="1"/>
  <c r="CQ191" i="1"/>
  <c r="CO209" i="1" s="1"/>
  <c r="P138" i="1"/>
  <c r="AB138" i="1"/>
  <c r="P139" i="1"/>
  <c r="AB139" i="1"/>
  <c r="P140" i="1"/>
  <c r="AB140" i="1"/>
  <c r="AB146" i="1"/>
  <c r="P146" i="1"/>
  <c r="K150" i="1"/>
  <c r="AA148" i="1"/>
  <c r="AF148" i="1" s="1"/>
  <c r="O148" i="1"/>
  <c r="AZ149" i="1"/>
  <c r="BL149" i="1"/>
  <c r="BQ149" i="1" s="1"/>
  <c r="AF172" i="1"/>
  <c r="AF176" i="1" s="1"/>
  <c r="O176" i="1"/>
  <c r="CT172" i="1"/>
  <c r="CR176" i="1"/>
  <c r="AD174" i="1"/>
  <c r="AN174" i="1" s="1"/>
  <c r="Z182" i="1"/>
  <c r="AJ182" i="1" s="1"/>
  <c r="S182" i="1"/>
  <c r="T183" i="1"/>
  <c r="AA183" i="1"/>
  <c r="AK183" i="1" s="1"/>
  <c r="AB184" i="1"/>
  <c r="AL184" i="1" s="1"/>
  <c r="U184" i="1"/>
  <c r="CQ192" i="1"/>
  <c r="CO210" i="1" s="1"/>
  <c r="CR239" i="1"/>
  <c r="CQ239" i="1"/>
  <c r="AQ150" i="1"/>
  <c r="BH146" i="1"/>
  <c r="AV146" i="1"/>
  <c r="AB147" i="1"/>
  <c r="AG147" i="1" s="1"/>
  <c r="P147" i="1"/>
  <c r="O149" i="1"/>
  <c r="AA149" i="1"/>
  <c r="AF149" i="1" s="1"/>
  <c r="CQ173" i="1"/>
  <c r="CQ175" i="1"/>
  <c r="O185" i="1"/>
  <c r="AF181" i="1"/>
  <c r="AF185" i="1" s="1"/>
  <c r="CO185" i="1"/>
  <c r="CQ181" i="1"/>
  <c r="CQ185" i="1" s="1"/>
  <c r="CT173" i="1"/>
  <c r="CT175" i="1"/>
  <c r="AA182" i="1"/>
  <c r="AK182" i="1" s="1"/>
  <c r="T182" i="1"/>
  <c r="BJ360" i="1"/>
  <c r="BO360" i="1" s="1"/>
  <c r="AX360" i="1"/>
  <c r="AS256" i="1" a="1"/>
  <c r="AS256" i="1" s="1"/>
  <c r="BI360" i="1"/>
  <c r="BN360" i="1" s="1"/>
  <c r="AW360" i="1"/>
  <c r="AR256" i="1" a="1"/>
  <c r="AR256" i="1" s="1"/>
  <c r="BL334" i="1"/>
  <c r="AU230" i="1" a="1"/>
  <c r="AU230" i="1" s="1"/>
  <c r="AR363" i="1"/>
  <c r="BI359" i="1"/>
  <c r="AW359" i="1"/>
  <c r="AR255" i="1" a="1"/>
  <c r="AR255" i="1" s="1"/>
  <c r="BH370" i="1"/>
  <c r="BM370" i="1" s="1"/>
  <c r="AV370" i="1"/>
  <c r="BK342" i="1"/>
  <c r="AY342" i="1"/>
  <c r="BI325" i="1"/>
  <c r="BK371" i="1"/>
  <c r="BP371" i="1" s="1"/>
  <c r="AY371" i="1"/>
  <c r="AW344" i="1"/>
  <c r="BI344" i="1"/>
  <c r="BL343" i="1"/>
  <c r="AZ343" i="1"/>
  <c r="BL335" i="1"/>
  <c r="AU231" i="1" a="1"/>
  <c r="AU231" i="1" s="1"/>
  <c r="AW371" i="1"/>
  <c r="BI371" i="1"/>
  <c r="BN371" i="1" s="1"/>
  <c r="BK343" i="1"/>
  <c r="AY343" i="1"/>
  <c r="BJ362" i="1"/>
  <c r="BO362" i="1" s="1"/>
  <c r="AX362" i="1"/>
  <c r="AS258" i="1" a="1"/>
  <c r="AS258" i="1" s="1"/>
  <c r="BL325" i="1"/>
  <c r="BI334" i="1"/>
  <c r="AR230" i="1" a="1"/>
  <c r="AR230" i="1" s="1"/>
  <c r="AU363" i="1"/>
  <c r="BL359" i="1"/>
  <c r="AZ359" i="1"/>
  <c r="AU255" i="1" a="1"/>
  <c r="AU255" i="1" s="1"/>
  <c r="BH371" i="1"/>
  <c r="BM371" i="1" s="1"/>
  <c r="AV371" i="1"/>
  <c r="BJ344" i="1"/>
  <c r="AX344" i="1"/>
  <c r="BH324" i="1"/>
  <c r="BK344" i="1"/>
  <c r="AY344" i="1"/>
  <c r="BJ110" i="1"/>
  <c r="BC110" i="1"/>
  <c r="AX128" i="1" s="1"/>
  <c r="BC58" i="1"/>
  <c r="AX76" i="1" s="1"/>
  <c r="BJ58" i="1"/>
  <c r="CQ59" i="1"/>
  <c r="CO77" i="1" s="1"/>
  <c r="AB109" i="1"/>
  <c r="U109" i="1"/>
  <c r="P127" i="1" s="1"/>
  <c r="CQ60" i="1"/>
  <c r="CO78" i="1" s="1"/>
  <c r="CR88" i="1"/>
  <c r="CQ88" i="1"/>
  <c r="AD109" i="1"/>
  <c r="W109" i="1"/>
  <c r="R127" i="1" s="1"/>
  <c r="CO62" i="1"/>
  <c r="CQ58" i="1"/>
  <c r="AU60" i="1" a="1"/>
  <c r="AU60" i="1" s="1"/>
  <c r="AT61" i="1" a="1"/>
  <c r="AT61" i="1" s="1"/>
  <c r="CO91" i="1"/>
  <c r="CR91" i="1" s="1"/>
  <c r="CR87" i="1"/>
  <c r="CQ87" i="1"/>
  <c r="Z137" i="1"/>
  <c r="I141" i="1"/>
  <c r="N141" i="1" s="1"/>
  <c r="N137" i="1"/>
  <c r="T276" i="1"/>
  <c r="AA276" i="1"/>
  <c r="J280" i="1"/>
  <c r="I62" i="1"/>
  <c r="Z58" i="1"/>
  <c r="S58" i="1"/>
  <c r="N76" i="1" s="1"/>
  <c r="I67" i="1" s="1"/>
  <c r="CQ61" i="1"/>
  <c r="CO79" i="1" s="1"/>
  <c r="BH140" i="1"/>
  <c r="AV140" i="1"/>
  <c r="W184" i="1"/>
  <c r="AD184" i="1"/>
  <c r="AN184" i="1" s="1"/>
  <c r="AF108" i="1"/>
  <c r="AF112" i="1" s="1"/>
  <c r="O112" i="1"/>
  <c r="BL108" i="1"/>
  <c r="BE108" i="1"/>
  <c r="AU112" i="1"/>
  <c r="BK110" i="1"/>
  <c r="BD110" i="1"/>
  <c r="AY128" i="1" s="1"/>
  <c r="AS141" i="1"/>
  <c r="AX137" i="1"/>
  <c r="BJ137" i="1"/>
  <c r="BH139" i="1"/>
  <c r="BM139" i="1" s="1"/>
  <c r="CD139" i="1" s="1"/>
  <c r="AV139" i="1"/>
  <c r="BH148" i="1"/>
  <c r="BM148" i="1" s="1"/>
  <c r="AV148" i="1"/>
  <c r="CS90" i="1"/>
  <c r="V109" i="1"/>
  <c r="Q127" i="1" s="1"/>
  <c r="AC109" i="1"/>
  <c r="BI109" i="1"/>
  <c r="BB109" i="1"/>
  <c r="AW127" i="1" s="1"/>
  <c r="Z111" i="1"/>
  <c r="S111" i="1"/>
  <c r="N129" i="1" s="1"/>
  <c r="I120" i="1" s="1"/>
  <c r="CA121" i="1"/>
  <c r="L141" i="1"/>
  <c r="AC137" i="1"/>
  <c r="Q137" i="1"/>
  <c r="AC140" i="1"/>
  <c r="Q140" i="1"/>
  <c r="BJ148" i="1"/>
  <c r="BO148" i="1" s="1"/>
  <c r="AX148" i="1"/>
  <c r="BM181" i="1"/>
  <c r="BM185" i="1" s="1"/>
  <c r="AG58" i="1"/>
  <c r="BM58" i="1"/>
  <c r="M59" i="1" a="1"/>
  <c r="M59" i="1" s="1"/>
  <c r="AS59" i="1" a="1"/>
  <c r="AS59" i="1" s="1"/>
  <c r="CT59" i="1"/>
  <c r="J60" i="1" a="1"/>
  <c r="J60" i="1" s="1"/>
  <c r="R60" i="1" a="1"/>
  <c r="R60" i="1" s="1"/>
  <c r="AI60" i="1" s="1"/>
  <c r="AX60" i="1" a="1"/>
  <c r="AX60" i="1" s="1"/>
  <c r="BO60" i="1" s="1"/>
  <c r="O61" i="1" a="1"/>
  <c r="O61" i="1" s="1"/>
  <c r="AF61" i="1" s="1"/>
  <c r="AU61" i="1" a="1"/>
  <c r="AU61" i="1" s="1"/>
  <c r="L112" i="1"/>
  <c r="AC108" i="1"/>
  <c r="V108" i="1"/>
  <c r="BM108" i="1"/>
  <c r="BM112" i="1" s="1"/>
  <c r="AV112" i="1"/>
  <c r="CQ109" i="1"/>
  <c r="CO127" i="1" s="1"/>
  <c r="W110" i="1"/>
  <c r="R128" i="1" s="1"/>
  <c r="AD110" i="1"/>
  <c r="AW137" i="1"/>
  <c r="BI137" i="1"/>
  <c r="AR141" i="1"/>
  <c r="AW141" i="1" s="1"/>
  <c r="AC139" i="1"/>
  <c r="Q139" i="1"/>
  <c r="BJ140" i="1"/>
  <c r="AX140" i="1"/>
  <c r="CO176" i="1"/>
  <c r="CQ172" i="1"/>
  <c r="AC183" i="1"/>
  <c r="AM183" i="1" s="1"/>
  <c r="V183" i="1"/>
  <c r="CR237" i="1"/>
  <c r="CO241" i="1"/>
  <c r="CQ237" i="1"/>
  <c r="AD138" i="1"/>
  <c r="R138" i="1"/>
  <c r="AD139" i="1"/>
  <c r="R139" i="1"/>
  <c r="AD140" i="1"/>
  <c r="AI140" i="1" s="1"/>
  <c r="R140" i="1"/>
  <c r="R146" i="1"/>
  <c r="M150" i="1"/>
  <c r="AD146" i="1"/>
  <c r="AC148" i="1"/>
  <c r="AH148" i="1" s="1"/>
  <c r="Q148" i="1"/>
  <c r="I176" i="1"/>
  <c r="Z172" i="1"/>
  <c r="S172" i="1"/>
  <c r="AH172" i="1"/>
  <c r="AA173" i="1"/>
  <c r="AK173" i="1" s="1"/>
  <c r="T173" i="1"/>
  <c r="CV194" i="1"/>
  <c r="AA258" i="1"/>
  <c r="AF258" i="1" s="1"/>
  <c r="O258" i="1"/>
  <c r="AC146" i="1"/>
  <c r="Q146" i="1"/>
  <c r="L150" i="1"/>
  <c r="Q150" i="1" s="1"/>
  <c r="Z148" i="1"/>
  <c r="AE148" i="1" s="1"/>
  <c r="N148" i="1"/>
  <c r="BK149" i="1"/>
  <c r="BP149" i="1" s="1"/>
  <c r="AY149" i="1"/>
  <c r="J172" i="1" a="1"/>
  <c r="J172" i="1" s="1"/>
  <c r="R176" i="1"/>
  <c r="AI172" i="1"/>
  <c r="AI176" i="1" s="1"/>
  <c r="CS176" i="1"/>
  <c r="AA174" i="1"/>
  <c r="AK174" i="1" s="1"/>
  <c r="T174" i="1"/>
  <c r="CR220" i="1"/>
  <c r="CQ220" i="1"/>
  <c r="AA191" i="1"/>
  <c r="T191" i="1"/>
  <c r="O209" i="1" s="1"/>
  <c r="S192" i="1"/>
  <c r="N210" i="1" s="1"/>
  <c r="I201" i="1" s="1"/>
  <c r="Z192" i="1"/>
  <c r="AC193" i="1"/>
  <c r="V193" i="1"/>
  <c r="Q211" i="1" s="1"/>
  <c r="CS222" i="1"/>
  <c r="Z279" i="1"/>
  <c r="AJ279" i="1" s="1"/>
  <c r="S279" i="1"/>
  <c r="CR238" i="1"/>
  <c r="CQ238" i="1"/>
  <c r="AB277" i="1"/>
  <c r="AL277" i="1" s="1"/>
  <c r="U277" i="1"/>
  <c r="N194" i="1"/>
  <c r="AE190" i="1"/>
  <c r="AE194" i="1" s="1"/>
  <c r="BO190" i="1"/>
  <c r="BO194" i="1" s="1"/>
  <c r="CT191" i="1"/>
  <c r="AA192" i="1"/>
  <c r="T192" i="1"/>
  <c r="O210" i="1" s="1"/>
  <c r="U193" i="1"/>
  <c r="P211" i="1" s="1"/>
  <c r="AB193" i="1"/>
  <c r="Q256" i="1"/>
  <c r="AC256" i="1"/>
  <c r="AH256" i="1" s="1"/>
  <c r="AA228" i="1"/>
  <c r="J232" i="1"/>
  <c r="O228" i="1"/>
  <c r="AC229" i="1"/>
  <c r="AH229" i="1" s="1"/>
  <c r="Q229" i="1"/>
  <c r="CS230" i="1"/>
  <c r="BI257" i="1"/>
  <c r="BN257" i="1" s="1"/>
  <c r="CE257" i="1" s="1"/>
  <c r="AW257" i="1"/>
  <c r="K280" i="1"/>
  <c r="AB276" i="1"/>
  <c r="U276" i="1"/>
  <c r="V277" i="1"/>
  <c r="AC277" i="1"/>
  <c r="AM277" i="1" s="1"/>
  <c r="Z278" i="1"/>
  <c r="AJ278" i="1" s="1"/>
  <c r="S278" i="1"/>
  <c r="AA279" i="1"/>
  <c r="AK279" i="1" s="1"/>
  <c r="T279" i="1"/>
  <c r="AB255" i="1"/>
  <c r="P255" i="1"/>
  <c r="K259" i="1"/>
  <c r="AD256" i="1"/>
  <c r="Z258" i="1"/>
  <c r="AE258" i="1" s="1"/>
  <c r="N258" i="1"/>
  <c r="CS280" i="1"/>
  <c r="Z288" i="1"/>
  <c r="AJ288" i="1" s="1"/>
  <c r="S288" i="1"/>
  <c r="R228" i="1"/>
  <c r="M232" i="1"/>
  <c r="R232" i="1" s="1"/>
  <c r="AD228" i="1"/>
  <c r="R229" i="1"/>
  <c r="AD229" i="1"/>
  <c r="R230" i="1"/>
  <c r="AD230" i="1"/>
  <c r="R231" i="1"/>
  <c r="AD231" i="1"/>
  <c r="AD276" i="1"/>
  <c r="W276" i="1"/>
  <c r="M280" i="1"/>
  <c r="AB278" i="1"/>
  <c r="AL278" i="1" s="1"/>
  <c r="U278" i="1"/>
  <c r="V279" i="1"/>
  <c r="AC279" i="1"/>
  <c r="AM279" i="1" s="1"/>
  <c r="BE295" i="1"/>
  <c r="AZ313" i="1" s="1"/>
  <c r="AU191" i="1" a="1"/>
  <c r="AU191" i="1" s="1"/>
  <c r="BL295" i="1"/>
  <c r="CP280" i="1"/>
  <c r="V285" i="1"/>
  <c r="L289" i="1"/>
  <c r="AC285" i="1"/>
  <c r="CS289" i="1"/>
  <c r="Z287" i="1"/>
  <c r="AJ287" i="1" s="1"/>
  <c r="S287" i="1"/>
  <c r="T288" i="1"/>
  <c r="AA288" i="1"/>
  <c r="AK288" i="1" s="1"/>
  <c r="K298" i="1"/>
  <c r="AB294" i="1"/>
  <c r="U294" i="1"/>
  <c r="AA296" i="1"/>
  <c r="T296" i="1"/>
  <c r="O314" i="1" s="1"/>
  <c r="AV289" i="1"/>
  <c r="BM285" i="1"/>
  <c r="BM289" i="1" s="1"/>
  <c r="V287" i="1"/>
  <c r="AC287" i="1"/>
  <c r="AM287" i="1" s="1"/>
  <c r="L298" i="1"/>
  <c r="V294" i="1"/>
  <c r="Q312" i="1" s="1"/>
  <c r="AC294" i="1"/>
  <c r="CO280" i="1"/>
  <c r="CQ276" i="1"/>
  <c r="CQ278" i="1"/>
  <c r="AG285" i="1"/>
  <c r="AG289" i="1" s="1"/>
  <c r="P289" i="1"/>
  <c r="Z286" i="1"/>
  <c r="AJ286" i="1" s="1"/>
  <c r="S286" i="1"/>
  <c r="CT288" i="1"/>
  <c r="Z295" i="1"/>
  <c r="S295" i="1"/>
  <c r="N313" i="1" s="1"/>
  <c r="I304" i="1" s="1"/>
  <c r="CU298" i="1"/>
  <c r="CW294" i="1"/>
  <c r="BK296" i="1"/>
  <c r="BD296" i="1"/>
  <c r="AY314" i="1" s="1"/>
  <c r="AT192" i="1" a="1"/>
  <c r="AT192" i="1" s="1"/>
  <c r="CV298" i="1"/>
  <c r="BH295" i="1"/>
  <c r="BA295" i="1"/>
  <c r="AV313" i="1" s="1"/>
  <c r="AQ191" i="1" a="1"/>
  <c r="AQ191" i="1" s="1"/>
  <c r="BI296" i="1"/>
  <c r="BB296" i="1"/>
  <c r="AW314" i="1" s="1"/>
  <c r="AR192" i="1" a="1"/>
  <c r="AR192" i="1" s="1"/>
  <c r="AT327" i="1"/>
  <c r="BK323" i="1"/>
  <c r="AB295" i="1"/>
  <c r="U295" i="1"/>
  <c r="P313" i="1" s="1"/>
  <c r="CT295" i="1"/>
  <c r="AA325" i="1"/>
  <c r="O325" i="1"/>
  <c r="BI323" i="1"/>
  <c r="AR327" i="1"/>
  <c r="AA326" i="1"/>
  <c r="O326" i="1"/>
  <c r="CR323" i="1"/>
  <c r="CO327" i="1"/>
  <c r="CQ323" i="1"/>
  <c r="AT336" i="1"/>
  <c r="BK332" i="1"/>
  <c r="AT228" i="1" a="1"/>
  <c r="AT228" i="1" s="1"/>
  <c r="Z335" i="1"/>
  <c r="N335" i="1"/>
  <c r="AY362" i="1"/>
  <c r="BK362" i="1"/>
  <c r="BP362" i="1" s="1"/>
  <c r="AX298" i="1"/>
  <c r="BO294" i="1"/>
  <c r="BO298" i="1" s="1"/>
  <c r="BE296" i="1"/>
  <c r="AZ314" i="1" s="1"/>
  <c r="BL296" i="1"/>
  <c r="AU192" i="1" a="1"/>
  <c r="AU192" i="1" s="1"/>
  <c r="AB324" i="1"/>
  <c r="P324" i="1"/>
  <c r="BK324" i="1"/>
  <c r="CO336" i="1"/>
  <c r="CR332" i="1"/>
  <c r="CQ332" i="1"/>
  <c r="CS333" i="1"/>
  <c r="AA341" i="1"/>
  <c r="J345" i="1"/>
  <c r="O341" i="1"/>
  <c r="AB325" i="1"/>
  <c r="P325" i="1"/>
  <c r="AB326" i="1"/>
  <c r="P326" i="1"/>
  <c r="CR334" i="1"/>
  <c r="CQ334" i="1"/>
  <c r="AS354" i="1"/>
  <c r="BJ350" i="1"/>
  <c r="AX350" i="1"/>
  <c r="CS332" i="1"/>
  <c r="CP336" i="1"/>
  <c r="CS336" i="1" s="1"/>
  <c r="O334" i="1"/>
  <c r="AA334" i="1"/>
  <c r="AC342" i="1"/>
  <c r="Q342" i="1"/>
  <c r="Q353" i="1"/>
  <c r="AC353" i="1"/>
  <c r="AH353" i="1" s="1"/>
  <c r="AA344" i="1"/>
  <c r="O344" i="1"/>
  <c r="AA351" i="1"/>
  <c r="AF351" i="1" s="1"/>
  <c r="O351" i="1"/>
  <c r="BI370" i="1"/>
  <c r="BN370" i="1" s="1"/>
  <c r="AW370" i="1"/>
  <c r="CO345" i="1"/>
  <c r="CQ341" i="1"/>
  <c r="CR341" i="1"/>
  <c r="CQ342" i="1"/>
  <c r="CR342" i="1"/>
  <c r="CQ343" i="1"/>
  <c r="CR343" i="1"/>
  <c r="CQ344" i="1"/>
  <c r="CT344" i="1" s="1"/>
  <c r="CR344" i="1"/>
  <c r="AA353" i="1"/>
  <c r="AF353" i="1" s="1"/>
  <c r="O353" i="1"/>
  <c r="BK352" i="1"/>
  <c r="BP352" i="1" s="1"/>
  <c r="AY352" i="1"/>
  <c r="P350" i="1"/>
  <c r="K354" i="1"/>
  <c r="AB350" i="1"/>
  <c r="AD351" i="1"/>
  <c r="AI351" i="1" s="1"/>
  <c r="R351" i="1"/>
  <c r="Z353" i="1"/>
  <c r="AE353" i="1" s="1"/>
  <c r="N353" i="1"/>
  <c r="AX351" i="1"/>
  <c r="BJ351" i="1"/>
  <c r="BO351" i="1" s="1"/>
  <c r="BL352" i="1"/>
  <c r="BQ352" i="1" s="1"/>
  <c r="AZ352" i="1"/>
  <c r="N359" i="1"/>
  <c r="I363" i="1"/>
  <c r="Z359" i="1"/>
  <c r="AB360" i="1"/>
  <c r="AG360" i="1" s="1"/>
  <c r="P360" i="1"/>
  <c r="R361" i="1"/>
  <c r="AD361" i="1"/>
  <c r="AI361" i="1" s="1"/>
  <c r="N369" i="1"/>
  <c r="Z369" i="1"/>
  <c r="AE369" i="1" s="1"/>
  <c r="AC359" i="1"/>
  <c r="L363" i="1"/>
  <c r="Q359" i="1"/>
  <c r="AC361" i="1"/>
  <c r="AH361" i="1" s="1"/>
  <c r="Q361" i="1"/>
  <c r="Z368" i="1"/>
  <c r="N368" i="1"/>
  <c r="I372" i="1"/>
  <c r="Q370" i="1"/>
  <c r="AC370" i="1"/>
  <c r="AH370" i="1" s="1"/>
  <c r="N370" i="1"/>
  <c r="Z370" i="1"/>
  <c r="AE370" i="1" s="1"/>
  <c r="AC369" i="1"/>
  <c r="AH369" i="1" s="1"/>
  <c r="Q369" i="1"/>
  <c r="CS220" i="1"/>
  <c r="CS239" i="1"/>
  <c r="P194" i="1"/>
  <c r="AG190" i="1"/>
  <c r="AG194" i="1" s="1"/>
  <c r="BQ190" i="1"/>
  <c r="BQ194" i="1" s="1"/>
  <c r="AZ194" i="1"/>
  <c r="S191" i="1"/>
  <c r="N209" i="1" s="1"/>
  <c r="I200" i="1" s="1"/>
  <c r="Z191" i="1"/>
  <c r="AC192" i="1"/>
  <c r="V192" i="1"/>
  <c r="Q210" i="1" s="1"/>
  <c r="W193" i="1"/>
  <c r="R211" i="1" s="1"/>
  <c r="AD193" i="1"/>
  <c r="L232" i="1"/>
  <c r="AC228" i="1"/>
  <c r="Q228" i="1"/>
  <c r="CS229" i="1"/>
  <c r="AA231" i="1"/>
  <c r="AF231" i="1" s="1"/>
  <c r="O231" i="1"/>
  <c r="AF276" i="1"/>
  <c r="AF280" i="1" s="1"/>
  <c r="O280" i="1"/>
  <c r="AD278" i="1"/>
  <c r="AN278" i="1" s="1"/>
  <c r="W278" i="1"/>
  <c r="T286" i="1"/>
  <c r="AA286" i="1"/>
  <c r="AK286" i="1" s="1"/>
  <c r="J298" i="1"/>
  <c r="T294" i="1"/>
  <c r="O312" i="1" s="1"/>
  <c r="AA294" i="1"/>
  <c r="M259" i="1"/>
  <c r="AD255" i="1"/>
  <c r="R255" i="1"/>
  <c r="Z257" i="1"/>
  <c r="AE257" i="1" s="1"/>
  <c r="N257" i="1"/>
  <c r="AB258" i="1"/>
  <c r="AG258" i="1" s="1"/>
  <c r="P258" i="1"/>
  <c r="L280" i="1"/>
  <c r="V276" i="1"/>
  <c r="AC276" i="1"/>
  <c r="Z277" i="1"/>
  <c r="AJ277" i="1" s="1"/>
  <c r="S277" i="1"/>
  <c r="T278" i="1"/>
  <c r="AA278" i="1"/>
  <c r="AK278" i="1" s="1"/>
  <c r="N289" i="1"/>
  <c r="AE285" i="1"/>
  <c r="AE289" i="1" s="1"/>
  <c r="CQ228" i="1"/>
  <c r="CR228" i="1"/>
  <c r="CO232" i="1"/>
  <c r="CQ229" i="1"/>
  <c r="CT229" i="1" s="1"/>
  <c r="CR229" i="1"/>
  <c r="CQ230" i="1"/>
  <c r="CT230" i="1" s="1"/>
  <c r="CR230" i="1"/>
  <c r="CQ231" i="1"/>
  <c r="CT231" i="1" s="1"/>
  <c r="CR231" i="1"/>
  <c r="Q280" i="1"/>
  <c r="AH276" i="1"/>
  <c r="AH280" i="1" s="1"/>
  <c r="CU280" i="1"/>
  <c r="CW276" i="1"/>
  <c r="O289" i="1"/>
  <c r="AF285" i="1"/>
  <c r="AF289" i="1" s="1"/>
  <c r="AD286" i="1"/>
  <c r="AN286" i="1" s="1"/>
  <c r="W286" i="1"/>
  <c r="AF294" i="1"/>
  <c r="AF298" i="1" s="1"/>
  <c r="O298" i="1"/>
  <c r="AA285" i="1"/>
  <c r="J289" i="1"/>
  <c r="T285" i="1"/>
  <c r="AY289" i="1"/>
  <c r="BP285" i="1"/>
  <c r="BP289" i="1" s="1"/>
  <c r="AD288" i="1"/>
  <c r="AN288" i="1" s="1"/>
  <c r="W288" i="1"/>
  <c r="P298" i="1"/>
  <c r="AG294" i="1"/>
  <c r="AG298" i="1" s="1"/>
  <c r="BB297" i="1"/>
  <c r="AW315" i="1" s="1"/>
  <c r="BI297" i="1"/>
  <c r="AR193" i="1" a="1"/>
  <c r="AR193" i="1" s="1"/>
  <c r="BN285" i="1"/>
  <c r="BN289" i="1" s="1"/>
  <c r="AW289" i="1"/>
  <c r="AC286" i="1"/>
  <c r="AM286" i="1" s="1"/>
  <c r="V286" i="1"/>
  <c r="Z294" i="1"/>
  <c r="I298" i="1"/>
  <c r="S294" i="1"/>
  <c r="BI295" i="1"/>
  <c r="BB295" i="1"/>
  <c r="AW313" i="1" s="1"/>
  <c r="AR191" i="1" a="1"/>
  <c r="AR191" i="1" s="1"/>
  <c r="AW298" i="1"/>
  <c r="BN294" i="1"/>
  <c r="BN298" i="1" s="1"/>
  <c r="V295" i="1"/>
  <c r="Q313" i="1" s="1"/>
  <c r="AC295" i="1"/>
  <c r="BL297" i="1"/>
  <c r="BE297" i="1"/>
  <c r="AZ315" i="1" s="1"/>
  <c r="AU193" i="1" a="1"/>
  <c r="AU193" i="1" s="1"/>
  <c r="BZ307" i="1"/>
  <c r="AB323" i="1"/>
  <c r="K327" i="1"/>
  <c r="P323" i="1"/>
  <c r="T295" i="1"/>
  <c r="O313" i="1" s="1"/>
  <c r="AA295" i="1"/>
  <c r="Q324" i="1"/>
  <c r="AC324" i="1"/>
  <c r="CW286" i="1"/>
  <c r="CW288" i="1"/>
  <c r="CW295" i="1"/>
  <c r="BH297" i="1"/>
  <c r="BA297" i="1"/>
  <c r="AV315" i="1" s="1"/>
  <c r="AQ193" i="1" a="1"/>
  <c r="AQ193" i="1" s="1"/>
  <c r="CS326" i="1"/>
  <c r="O324" i="1"/>
  <c r="AA324" i="1"/>
  <c r="BI332" i="1"/>
  <c r="AR336" i="1"/>
  <c r="AR228" i="1" a="1"/>
  <c r="AR228" i="1" s="1"/>
  <c r="AD324" i="1"/>
  <c r="R324" i="1"/>
  <c r="BJ333" i="1"/>
  <c r="AS229" i="1" a="1"/>
  <c r="AS229" i="1" s="1"/>
  <c r="L345" i="1"/>
  <c r="AC341" i="1"/>
  <c r="Q341" i="1"/>
  <c r="BI294" i="1"/>
  <c r="AR298" i="1"/>
  <c r="BB294" i="1"/>
  <c r="AR190" i="1" a="1"/>
  <c r="AR190" i="1" s="1"/>
  <c r="BQ294" i="1"/>
  <c r="BQ298" i="1" s="1"/>
  <c r="AZ298" i="1"/>
  <c r="S296" i="1"/>
  <c r="N314" i="1" s="1"/>
  <c r="I305" i="1" s="1"/>
  <c r="Z296" i="1"/>
  <c r="CW297" i="1"/>
  <c r="CS325" i="1"/>
  <c r="N332" i="1"/>
  <c r="Z332" i="1"/>
  <c r="I336" i="1"/>
  <c r="N333" i="1"/>
  <c r="Z333" i="1"/>
  <c r="Z334" i="1"/>
  <c r="N334" i="1"/>
  <c r="AA350" i="1"/>
  <c r="J354" i="1"/>
  <c r="O350" i="1"/>
  <c r="AD325" i="1"/>
  <c r="R325" i="1"/>
  <c r="AD326" i="1"/>
  <c r="R326" i="1"/>
  <c r="O335" i="1"/>
  <c r="AA335" i="1"/>
  <c r="AS372" i="1"/>
  <c r="BJ368" i="1"/>
  <c r="AX368" i="1"/>
  <c r="AA333" i="1"/>
  <c r="O333" i="1"/>
  <c r="AD334" i="1"/>
  <c r="R334" i="1"/>
  <c r="CS342" i="1"/>
  <c r="BI361" i="1"/>
  <c r="BN361" i="1" s="1"/>
  <c r="AW361" i="1"/>
  <c r="AC344" i="1"/>
  <c r="Q344" i="1"/>
  <c r="Q352" i="1"/>
  <c r="AC352" i="1"/>
  <c r="AH352" i="1" s="1"/>
  <c r="Z341" i="1"/>
  <c r="N341" i="1"/>
  <c r="I345" i="1"/>
  <c r="Z342" i="1"/>
  <c r="N342" i="1"/>
  <c r="Z343" i="1"/>
  <c r="N343" i="1"/>
  <c r="Z344" i="1"/>
  <c r="N344" i="1"/>
  <c r="L354" i="1"/>
  <c r="Q350" i="1"/>
  <c r="AC350" i="1"/>
  <c r="BI351" i="1"/>
  <c r="BN351" i="1" s="1"/>
  <c r="AW351" i="1"/>
  <c r="BI353" i="1"/>
  <c r="BN353" i="1" s="1"/>
  <c r="AW353" i="1"/>
  <c r="M354" i="1"/>
  <c r="AD350" i="1"/>
  <c r="R350" i="1"/>
  <c r="Z352" i="1"/>
  <c r="AE352" i="1" s="1"/>
  <c r="N352" i="1"/>
  <c r="AB353" i="1"/>
  <c r="AG353" i="1" s="1"/>
  <c r="P353" i="1"/>
  <c r="BL351" i="1"/>
  <c r="BQ351" i="1" s="1"/>
  <c r="AZ351" i="1"/>
  <c r="BH353" i="1"/>
  <c r="BM353" i="1" s="1"/>
  <c r="AV353" i="1"/>
  <c r="P359" i="1"/>
  <c r="AB359" i="1"/>
  <c r="K363" i="1"/>
  <c r="R360" i="1"/>
  <c r="AD360" i="1"/>
  <c r="AI360" i="1" s="1"/>
  <c r="N362" i="1"/>
  <c r="Z362" i="1"/>
  <c r="AE362" i="1" s="1"/>
  <c r="AB369" i="1"/>
  <c r="AG369" i="1" s="1"/>
  <c r="P369" i="1"/>
  <c r="AA360" i="1"/>
  <c r="AF360" i="1" s="1"/>
  <c r="O360" i="1"/>
  <c r="AA362" i="1"/>
  <c r="AF362" i="1" s="1"/>
  <c r="O362" i="1"/>
  <c r="K372" i="1"/>
  <c r="P368" i="1"/>
  <c r="AB368" i="1"/>
  <c r="AC371" i="1"/>
  <c r="AH371" i="1" s="1"/>
  <c r="Q371" i="1"/>
  <c r="AB370" i="1"/>
  <c r="AG370" i="1" s="1"/>
  <c r="P370" i="1"/>
  <c r="Z371" i="1"/>
  <c r="AE371" i="1" s="1"/>
  <c r="N371" i="1"/>
  <c r="AX176" i="1"/>
  <c r="BO172" i="1"/>
  <c r="BO176" i="1" s="1"/>
  <c r="AB173" i="1"/>
  <c r="AL173" i="1" s="1"/>
  <c r="U173" i="1"/>
  <c r="S175" i="1"/>
  <c r="Z175" i="1"/>
  <c r="AJ175" i="1" s="1"/>
  <c r="BO181" i="1"/>
  <c r="BO185" i="1" s="1"/>
  <c r="AD182" i="1"/>
  <c r="AB183" i="1"/>
  <c r="AL183" i="1" s="1"/>
  <c r="U183" i="1"/>
  <c r="CO194" i="1"/>
  <c r="CQ190" i="1"/>
  <c r="I289" i="1"/>
  <c r="Z285" i="1"/>
  <c r="S285" i="1"/>
  <c r="Q194" i="1"/>
  <c r="AH190" i="1"/>
  <c r="AH194" i="1" s="1"/>
  <c r="AC191" i="1"/>
  <c r="V191" i="1"/>
  <c r="Q209" i="1" s="1"/>
  <c r="AD192" i="1"/>
  <c r="CP241" i="1"/>
  <c r="CS241" i="1" s="1"/>
  <c r="CS237" i="1"/>
  <c r="AA257" i="1"/>
  <c r="AF257" i="1" s="1"/>
  <c r="O257" i="1"/>
  <c r="N280" i="1"/>
  <c r="AE276" i="1"/>
  <c r="AE280" i="1" s="1"/>
  <c r="CP223" i="1"/>
  <c r="CS219" i="1"/>
  <c r="CR221" i="1"/>
  <c r="CQ221" i="1"/>
  <c r="AA256" i="1"/>
  <c r="AF256" i="1" s="1"/>
  <c r="O256" i="1"/>
  <c r="R280" i="1"/>
  <c r="AI276" i="1"/>
  <c r="AI280" i="1" s="1"/>
  <c r="CP185" i="1"/>
  <c r="J194" i="1"/>
  <c r="AA190" i="1"/>
  <c r="T190" i="1"/>
  <c r="O208" i="1" s="1"/>
  <c r="R194" i="1"/>
  <c r="AI190" i="1"/>
  <c r="CS194" i="1"/>
  <c r="U191" i="1"/>
  <c r="P209" i="1" s="1"/>
  <c r="AB191" i="1"/>
  <c r="CT193" i="1"/>
  <c r="CS221" i="1"/>
  <c r="CS238" i="1"/>
  <c r="CP232" i="1"/>
  <c r="CS228" i="1"/>
  <c r="AA230" i="1"/>
  <c r="O230" i="1"/>
  <c r="AC231" i="1"/>
  <c r="Q231" i="1"/>
  <c r="BN276" i="1"/>
  <c r="BN280" i="1" s="1"/>
  <c r="AW280" i="1"/>
  <c r="CR240" i="1"/>
  <c r="CQ240" i="1"/>
  <c r="Z256" i="1"/>
  <c r="AE256" i="1" s="1"/>
  <c r="N256" i="1"/>
  <c r="AB257" i="1"/>
  <c r="AG257" i="1" s="1"/>
  <c r="P257" i="1"/>
  <c r="AD258" i="1"/>
  <c r="AI258" i="1" s="1"/>
  <c r="R258" i="1"/>
  <c r="P280" i="1"/>
  <c r="AG276" i="1"/>
  <c r="AG280" i="1" s="1"/>
  <c r="AD277" i="1"/>
  <c r="AN277" i="1" s="1"/>
  <c r="W277" i="1"/>
  <c r="U279" i="1"/>
  <c r="AB279" i="1"/>
  <c r="AL279" i="1" s="1"/>
  <c r="N298" i="1"/>
  <c r="AE294" i="1"/>
  <c r="AE298" i="1" s="1"/>
  <c r="Z228" i="1"/>
  <c r="I232" i="1"/>
  <c r="N229" i="1"/>
  <c r="Z229" i="1"/>
  <c r="N230" i="1"/>
  <c r="Z230" i="1"/>
  <c r="AE230" i="1" s="1"/>
  <c r="N231" i="1"/>
  <c r="Z231" i="1"/>
  <c r="BP276" i="1"/>
  <c r="BP280" i="1" s="1"/>
  <c r="AY280" i="1"/>
  <c r="Q289" i="1"/>
  <c r="AH285" i="1"/>
  <c r="AH289" i="1" s="1"/>
  <c r="AC288" i="1"/>
  <c r="AM288" i="1" s="1"/>
  <c r="V288" i="1"/>
  <c r="AX289" i="1"/>
  <c r="BO285" i="1"/>
  <c r="BO289" i="1" s="1"/>
  <c r="BH294" i="1"/>
  <c r="BA294" i="1"/>
  <c r="AQ298" i="1"/>
  <c r="AQ190" i="1" a="1"/>
  <c r="AQ190" i="1" s="1"/>
  <c r="M289" i="1"/>
  <c r="AD285" i="1"/>
  <c r="W285" i="1"/>
  <c r="AB286" i="1"/>
  <c r="AL286" i="1" s="1"/>
  <c r="U286" i="1"/>
  <c r="CR289" i="1"/>
  <c r="CT285" i="1"/>
  <c r="AA287" i="1"/>
  <c r="AK287" i="1" s="1"/>
  <c r="T287" i="1"/>
  <c r="M298" i="1"/>
  <c r="AD294" i="1"/>
  <c r="W294" i="1"/>
  <c r="AB297" i="1"/>
  <c r="U297" i="1"/>
  <c r="P315" i="1" s="1"/>
  <c r="CO298" i="1"/>
  <c r="CQ294" i="1"/>
  <c r="Z297" i="1"/>
  <c r="S297" i="1"/>
  <c r="N315" i="1" s="1"/>
  <c r="I306" i="1" s="1"/>
  <c r="Z324" i="1"/>
  <c r="N324" i="1"/>
  <c r="AD295" i="1"/>
  <c r="W295" i="1"/>
  <c r="R313" i="1" s="1"/>
  <c r="CQ296" i="1"/>
  <c r="CO314" i="1" s="1"/>
  <c r="BJ297" i="1"/>
  <c r="BC297" i="1"/>
  <c r="AX315" i="1" s="1"/>
  <c r="AS193" i="1" a="1"/>
  <c r="AS193" i="1" s="1"/>
  <c r="BI324" i="1"/>
  <c r="CQ285" i="1"/>
  <c r="CO289" i="1"/>
  <c r="CQ287" i="1"/>
  <c r="BC294" i="1"/>
  <c r="AS298" i="1"/>
  <c r="BJ294" i="1"/>
  <c r="AS190" i="1" a="1"/>
  <c r="AS190" i="1" s="1"/>
  <c r="BD295" i="1"/>
  <c r="AY313" i="1" s="1"/>
  <c r="BK295" i="1"/>
  <c r="AT191" i="1" a="1"/>
  <c r="AT191" i="1" s="1"/>
  <c r="AC296" i="1"/>
  <c r="V296" i="1"/>
  <c r="Q314" i="1" s="1"/>
  <c r="BK297" i="1"/>
  <c r="BD297" i="1"/>
  <c r="AY315" i="1" s="1"/>
  <c r="AT193" i="1" a="1"/>
  <c r="AT193" i="1" s="1"/>
  <c r="I327" i="1"/>
  <c r="Z323" i="1"/>
  <c r="N323" i="1"/>
  <c r="CR324" i="1"/>
  <c r="CQ324" i="1"/>
  <c r="CT324" i="1" s="1"/>
  <c r="CS334" i="1"/>
  <c r="CS324" i="1"/>
  <c r="AB334" i="1"/>
  <c r="P334" i="1"/>
  <c r="AW341" i="1"/>
  <c r="AR345" i="1"/>
  <c r="BI341" i="1"/>
  <c r="AT298" i="1"/>
  <c r="BK294" i="1"/>
  <c r="BD294" i="1"/>
  <c r="AT190" i="1" a="1"/>
  <c r="AT190" i="1" s="1"/>
  <c r="CS298" i="1"/>
  <c r="AB296" i="1"/>
  <c r="U296" i="1"/>
  <c r="P314" i="1" s="1"/>
  <c r="BA296" i="1"/>
  <c r="AV314" i="1" s="1"/>
  <c r="BH296" i="1"/>
  <c r="AQ192" i="1" a="1"/>
  <c r="AQ192" i="1" s="1"/>
  <c r="M327" i="1"/>
  <c r="AD323" i="1"/>
  <c r="R323" i="1"/>
  <c r="BL341" i="1"/>
  <c r="AZ341" i="1"/>
  <c r="AU345" i="1"/>
  <c r="K336" i="1"/>
  <c r="AB332" i="1"/>
  <c r="P332" i="1"/>
  <c r="AB333" i="1"/>
  <c r="P333" i="1"/>
  <c r="AC335" i="1"/>
  <c r="Q335" i="1"/>
  <c r="BJ359" i="1"/>
  <c r="AS363" i="1"/>
  <c r="AX363" i="1" s="1"/>
  <c r="AX359" i="1"/>
  <c r="CR325" i="1"/>
  <c r="CQ325" i="1"/>
  <c r="CR326" i="1"/>
  <c r="CQ326" i="1"/>
  <c r="AD335" i="1"/>
  <c r="R335" i="1"/>
  <c r="J336" i="1"/>
  <c r="AA332" i="1"/>
  <c r="O332" i="1"/>
  <c r="AC333" i="1"/>
  <c r="Q333" i="1"/>
  <c r="AB335" i="1"/>
  <c r="P335" i="1"/>
  <c r="AA343" i="1"/>
  <c r="AF343" i="1" s="1"/>
  <c r="O343" i="1"/>
  <c r="AC343" i="1"/>
  <c r="Q343" i="1"/>
  <c r="AT354" i="1"/>
  <c r="BK350" i="1"/>
  <c r="AY350" i="1"/>
  <c r="P341" i="1"/>
  <c r="K345" i="1"/>
  <c r="AB341" i="1"/>
  <c r="P342" i="1"/>
  <c r="AB342" i="1"/>
  <c r="P343" i="1"/>
  <c r="AB343" i="1"/>
  <c r="P344" i="1"/>
  <c r="AB344" i="1"/>
  <c r="AW350" i="1"/>
  <c r="BI350" i="1"/>
  <c r="AR354" i="1"/>
  <c r="BK351" i="1"/>
  <c r="BP351" i="1" s="1"/>
  <c r="AY351" i="1"/>
  <c r="BK353" i="1"/>
  <c r="BP353" i="1" s="1"/>
  <c r="AY353" i="1"/>
  <c r="Z351" i="1"/>
  <c r="AE351" i="1" s="1"/>
  <c r="N351" i="1"/>
  <c r="AB352" i="1"/>
  <c r="AG352" i="1" s="1"/>
  <c r="P352" i="1"/>
  <c r="AD353" i="1"/>
  <c r="AI353" i="1" s="1"/>
  <c r="R353" i="1"/>
  <c r="BH352" i="1"/>
  <c r="BM352" i="1" s="1"/>
  <c r="AV352" i="1"/>
  <c r="AX353" i="1"/>
  <c r="BJ353" i="1"/>
  <c r="BO353" i="1" s="1"/>
  <c r="R359" i="1"/>
  <c r="M363" i="1"/>
  <c r="AD359" i="1"/>
  <c r="N361" i="1"/>
  <c r="Z361" i="1"/>
  <c r="AE361" i="1" s="1"/>
  <c r="AB362" i="1"/>
  <c r="AG362" i="1" s="1"/>
  <c r="P362" i="1"/>
  <c r="AA371" i="1"/>
  <c r="AF371" i="1" s="1"/>
  <c r="O371" i="1"/>
  <c r="AC360" i="1"/>
  <c r="AH360" i="1" s="1"/>
  <c r="Q360" i="1"/>
  <c r="AC362" i="1"/>
  <c r="AH362" i="1" s="1"/>
  <c r="Q362" i="1"/>
  <c r="AD368" i="1"/>
  <c r="R368" i="1"/>
  <c r="M372" i="1"/>
  <c r="O368" i="1"/>
  <c r="J372" i="1"/>
  <c r="AA368" i="1"/>
  <c r="R370" i="1"/>
  <c r="AD370" i="1"/>
  <c r="AI370" i="1" s="1"/>
  <c r="P371" i="1"/>
  <c r="AB371" i="1"/>
  <c r="AG371" i="1" s="1"/>
  <c r="M176" i="1"/>
  <c r="AD172" i="1"/>
  <c r="W172" i="1"/>
  <c r="BP172" i="1"/>
  <c r="BP176" i="1" s="1"/>
  <c r="AY176" i="1"/>
  <c r="AB174" i="1"/>
  <c r="AC175" i="1"/>
  <c r="AM175" i="1" s="1"/>
  <c r="V175" i="1"/>
  <c r="BP181" i="1"/>
  <c r="BP185" i="1" s="1"/>
  <c r="AY185" i="1"/>
  <c r="CT184" i="1"/>
  <c r="CW191" i="1"/>
  <c r="BJ146" i="1"/>
  <c r="AX146" i="1"/>
  <c r="AS150" i="1"/>
  <c r="AX150" i="1" s="1"/>
  <c r="AD147" i="1"/>
  <c r="AI147" i="1" s="1"/>
  <c r="R147" i="1"/>
  <c r="AC149" i="1"/>
  <c r="AH149" i="1" s="1"/>
  <c r="Q149" i="1"/>
  <c r="CP176" i="1"/>
  <c r="I181" i="1" a="1"/>
  <c r="I181" i="1" s="1"/>
  <c r="N228" i="1" s="1"/>
  <c r="Q185" i="1"/>
  <c r="AH181" i="1"/>
  <c r="AH185" i="1" s="1"/>
  <c r="CT181" i="1"/>
  <c r="CR185" i="1"/>
  <c r="CQ193" i="1"/>
  <c r="CO211" i="1" s="1"/>
  <c r="CR222" i="1"/>
  <c r="CQ222" i="1"/>
  <c r="J150" i="1"/>
  <c r="AA146" i="1"/>
  <c r="O146" i="1"/>
  <c r="BL147" i="1"/>
  <c r="BQ147" i="1" s="1"/>
  <c r="AZ147" i="1"/>
  <c r="BI149" i="1"/>
  <c r="BN149" i="1" s="1"/>
  <c r="AW149" i="1"/>
  <c r="AG172" i="1"/>
  <c r="BQ172" i="1"/>
  <c r="BQ176" i="1" s="1"/>
  <c r="AZ176" i="1"/>
  <c r="W173" i="1"/>
  <c r="AD173" i="1"/>
  <c r="AN173" i="1" s="1"/>
  <c r="AB175" i="1"/>
  <c r="CS185" i="1"/>
  <c r="R182" i="1" a="1"/>
  <c r="R182" i="1" s="1"/>
  <c r="AI182" i="1" s="1"/>
  <c r="CT183" i="1"/>
  <c r="U190" i="1"/>
  <c r="K194" i="1"/>
  <c r="AB190" i="1"/>
  <c r="BN190" i="1"/>
  <c r="CT192" i="1"/>
  <c r="AA193" i="1"/>
  <c r="T193" i="1"/>
  <c r="O211" i="1" s="1"/>
  <c r="CO223" i="1"/>
  <c r="CR219" i="1"/>
  <c r="CQ219" i="1"/>
  <c r="CS240" i="1"/>
  <c r="Q258" i="1"/>
  <c r="AC258" i="1"/>
  <c r="AH258" i="1" s="1"/>
  <c r="Q257" i="1"/>
  <c r="AC257" i="1"/>
  <c r="AH257" i="1" s="1"/>
  <c r="AV280" i="1"/>
  <c r="BM276" i="1"/>
  <c r="BM280" i="1" s="1"/>
  <c r="AD279" i="1"/>
  <c r="AN279" i="1" s="1"/>
  <c r="W279" i="1"/>
  <c r="CW181" i="1"/>
  <c r="CU185" i="1"/>
  <c r="CW183" i="1"/>
  <c r="L194" i="1"/>
  <c r="AC190" i="1"/>
  <c r="V190" i="1"/>
  <c r="BM190" i="1"/>
  <c r="W191" i="1"/>
  <c r="R209" i="1" s="1"/>
  <c r="AD191" i="1"/>
  <c r="S193" i="1"/>
  <c r="N211" i="1" s="1"/>
  <c r="I202" i="1" s="1"/>
  <c r="Z193" i="1"/>
  <c r="AA255" i="1"/>
  <c r="O255" i="1"/>
  <c r="J259" i="1"/>
  <c r="AZ280" i="1"/>
  <c r="BQ276" i="1"/>
  <c r="BQ280" i="1" s="1"/>
  <c r="AA229" i="1"/>
  <c r="AF229" i="1" s="1"/>
  <c r="O229" i="1"/>
  <c r="AC230" i="1"/>
  <c r="Q230" i="1"/>
  <c r="CS231" i="1"/>
  <c r="BK258" i="1"/>
  <c r="BP258" i="1" s="1"/>
  <c r="CG258" i="1" s="1"/>
  <c r="AY258" i="1"/>
  <c r="CR280" i="1"/>
  <c r="CT276" i="1"/>
  <c r="CQ279" i="1"/>
  <c r="I259" i="1"/>
  <c r="Z255" i="1"/>
  <c r="N255" i="1"/>
  <c r="AB256" i="1"/>
  <c r="AG256" i="1" s="1"/>
  <c r="P256" i="1"/>
  <c r="AD257" i="1"/>
  <c r="AI257" i="1" s="1"/>
  <c r="R257" i="1"/>
  <c r="AX280" i="1"/>
  <c r="BO276" i="1"/>
  <c r="BO280" i="1" s="1"/>
  <c r="AB287" i="1"/>
  <c r="AL287" i="1" s="1"/>
  <c r="U287" i="1"/>
  <c r="BP294" i="1"/>
  <c r="BP298" i="1" s="1"/>
  <c r="AY298" i="1"/>
  <c r="P228" i="1"/>
  <c r="AB228" i="1"/>
  <c r="K232" i="1"/>
  <c r="P232" i="1" s="1"/>
  <c r="P229" i="1"/>
  <c r="AB229" i="1"/>
  <c r="AG229" i="1" s="1"/>
  <c r="P230" i="1"/>
  <c r="AB230" i="1"/>
  <c r="P231" i="1"/>
  <c r="AB231" i="1"/>
  <c r="AX255" i="1"/>
  <c r="BJ255" i="1"/>
  <c r="I280" i="1"/>
  <c r="Z276" i="1"/>
  <c r="S276" i="1"/>
  <c r="T277" i="1"/>
  <c r="AA277" i="1"/>
  <c r="AK277" i="1" s="1"/>
  <c r="CT278" i="1"/>
  <c r="AZ289" i="1"/>
  <c r="BQ285" i="1"/>
  <c r="BQ289" i="1" s="1"/>
  <c r="R298" i="1"/>
  <c r="AI294" i="1"/>
  <c r="AI298" i="1" s="1"/>
  <c r="CC307" i="1"/>
  <c r="R289" i="1"/>
  <c r="AI285" i="1"/>
  <c r="AI289" i="1" s="1"/>
  <c r="CT286" i="1"/>
  <c r="CW277" i="1"/>
  <c r="K289" i="1"/>
  <c r="AB285" i="1"/>
  <c r="U285" i="1"/>
  <c r="CW285" i="1"/>
  <c r="CU289" i="1"/>
  <c r="AD287" i="1"/>
  <c r="AN287" i="1" s="1"/>
  <c r="W287" i="1"/>
  <c r="AB288" i="1"/>
  <c r="AL288" i="1" s="1"/>
  <c r="U288" i="1"/>
  <c r="CQ288" i="1"/>
  <c r="AH294" i="1"/>
  <c r="AH298" i="1" s="1"/>
  <c r="Q298" i="1"/>
  <c r="CR298" i="1"/>
  <c r="CT294" i="1"/>
  <c r="BJ295" i="1"/>
  <c r="BC295" i="1"/>
  <c r="AX313" i="1" s="1"/>
  <c r="AS191" i="1" a="1"/>
  <c r="AS191" i="1" s="1"/>
  <c r="AC297" i="1"/>
  <c r="V297" i="1"/>
  <c r="Q315" i="1" s="1"/>
  <c r="BL294" i="1"/>
  <c r="BE294" i="1"/>
  <c r="AU298" i="1"/>
  <c r="AU190" i="1" a="1"/>
  <c r="AU190" i="1" s="1"/>
  <c r="T297" i="1"/>
  <c r="O315" i="1" s="1"/>
  <c r="AA297" i="1"/>
  <c r="BL344" i="1"/>
  <c r="AZ344" i="1"/>
  <c r="CV289" i="1"/>
  <c r="CP298" i="1"/>
  <c r="AD297" i="1"/>
  <c r="W297" i="1"/>
  <c r="R315" i="1" s="1"/>
  <c r="Q323" i="1"/>
  <c r="L327" i="1"/>
  <c r="AC323" i="1"/>
  <c r="Q325" i="1"/>
  <c r="AC325" i="1"/>
  <c r="J327" i="1"/>
  <c r="AA323" i="1"/>
  <c r="O323" i="1"/>
  <c r="Q326" i="1"/>
  <c r="AC326" i="1"/>
  <c r="BH334" i="1"/>
  <c r="AQ230" i="1" a="1"/>
  <c r="AQ230" i="1" s="1"/>
  <c r="AA342" i="1"/>
  <c r="O342" i="1"/>
  <c r="BM294" i="1"/>
  <c r="BM298" i="1" s="1"/>
  <c r="AV298" i="1"/>
  <c r="CQ295" i="1"/>
  <c r="CO313" i="1" s="1"/>
  <c r="W296" i="1"/>
  <c r="R314" i="1" s="1"/>
  <c r="AD296" i="1"/>
  <c r="BJ296" i="1"/>
  <c r="BC296" i="1"/>
  <c r="AX314" i="1" s="1"/>
  <c r="AS192" i="1" a="1"/>
  <c r="AS192" i="1" s="1"/>
  <c r="CT296" i="1"/>
  <c r="CP327" i="1"/>
  <c r="CS323" i="1"/>
  <c r="BJ342" i="1"/>
  <c r="AX342" i="1"/>
  <c r="M336" i="1"/>
  <c r="R332" i="1"/>
  <c r="AD332" i="1"/>
  <c r="R333" i="1"/>
  <c r="AD333" i="1"/>
  <c r="CR335" i="1"/>
  <c r="CQ335" i="1"/>
  <c r="Z325" i="1"/>
  <c r="N325" i="1"/>
  <c r="Z326" i="1"/>
  <c r="N326" i="1"/>
  <c r="AC334" i="1"/>
  <c r="Q334" i="1"/>
  <c r="CP345" i="1"/>
  <c r="CS341" i="1"/>
  <c r="AC332" i="1"/>
  <c r="L336" i="1"/>
  <c r="Q332" i="1"/>
  <c r="CR333" i="1"/>
  <c r="CQ333" i="1"/>
  <c r="CT333" i="1" s="1"/>
  <c r="CS335" i="1"/>
  <c r="AA352" i="1"/>
  <c r="AF352" i="1" s="1"/>
  <c r="O352" i="1"/>
  <c r="CS343" i="1"/>
  <c r="AQ354" i="1"/>
  <c r="BH350" i="1"/>
  <c r="AV350" i="1"/>
  <c r="Q351" i="1"/>
  <c r="AC351" i="1"/>
  <c r="AH351" i="1" s="1"/>
  <c r="M345" i="1"/>
  <c r="AD341" i="1"/>
  <c r="R341" i="1"/>
  <c r="AD342" i="1"/>
  <c r="R342" i="1"/>
  <c r="AD343" i="1"/>
  <c r="R343" i="1"/>
  <c r="AD344" i="1"/>
  <c r="R344" i="1"/>
  <c r="AU354" i="1"/>
  <c r="BL350" i="1"/>
  <c r="AZ350" i="1"/>
  <c r="BI352" i="1"/>
  <c r="BN352" i="1" s="1"/>
  <c r="AW352" i="1"/>
  <c r="I354" i="1"/>
  <c r="Z350" i="1"/>
  <c r="N350" i="1"/>
  <c r="AB351" i="1"/>
  <c r="AG351" i="1" s="1"/>
  <c r="P351" i="1"/>
  <c r="AD352" i="1"/>
  <c r="AI352" i="1" s="1"/>
  <c r="R352" i="1"/>
  <c r="BH351" i="1"/>
  <c r="BM351" i="1" s="1"/>
  <c r="AV351" i="1"/>
  <c r="AX352" i="1"/>
  <c r="BJ352" i="1"/>
  <c r="BO352" i="1" s="1"/>
  <c r="BL353" i="1"/>
  <c r="BQ353" i="1" s="1"/>
  <c r="AZ353" i="1"/>
  <c r="N360" i="1"/>
  <c r="Z360" i="1"/>
  <c r="AE360" i="1" s="1"/>
  <c r="AB361" i="1"/>
  <c r="AG361" i="1" s="1"/>
  <c r="P361" i="1"/>
  <c r="R362" i="1"/>
  <c r="AD362" i="1"/>
  <c r="AI362" i="1" s="1"/>
  <c r="J363" i="1"/>
  <c r="AA359" i="1"/>
  <c r="O359" i="1"/>
  <c r="AA361" i="1"/>
  <c r="AF361" i="1" s="1"/>
  <c r="O361" i="1"/>
  <c r="R369" i="1"/>
  <c r="AD369" i="1"/>
  <c r="AI369" i="1" s="1"/>
  <c r="AA370" i="1"/>
  <c r="AF370" i="1" s="1"/>
  <c r="O370" i="1"/>
  <c r="AC368" i="1"/>
  <c r="L372" i="1"/>
  <c r="Q368" i="1"/>
  <c r="O369" i="1"/>
  <c r="AA369" i="1"/>
  <c r="AF369" i="1" s="1"/>
  <c r="AD371" i="1"/>
  <c r="AI371" i="1" s="1"/>
  <c r="R371" i="1"/>
  <c r="S59" i="1" l="1"/>
  <c r="N77" i="1" s="1"/>
  <c r="I68" i="1" s="1"/>
  <c r="AV185" i="1"/>
  <c r="W174" i="1"/>
  <c r="W176" i="1" s="1"/>
  <c r="BC61" i="1"/>
  <c r="AX79" i="1" s="1"/>
  <c r="N185" i="1"/>
  <c r="N259" i="1" s="1"/>
  <c r="R345" i="1"/>
  <c r="AW150" i="1"/>
  <c r="BB60" i="1"/>
  <c r="AW78" i="1" s="1"/>
  <c r="Q336" i="1"/>
  <c r="O372" i="1"/>
  <c r="BE112" i="1"/>
  <c r="AS259" i="1"/>
  <c r="AG231" i="1"/>
  <c r="BN194" i="1"/>
  <c r="AE229" i="1"/>
  <c r="CT221" i="1"/>
  <c r="AX185" i="1"/>
  <c r="CR232" i="1"/>
  <c r="AX194" i="1"/>
  <c r="BM176" i="1"/>
  <c r="S174" i="1"/>
  <c r="AI333" i="1"/>
  <c r="AL174" i="1"/>
  <c r="AV194" i="1"/>
  <c r="AW194" i="1"/>
  <c r="U174" i="1"/>
  <c r="Q232" i="1"/>
  <c r="Q176" i="1"/>
  <c r="AE176" i="1"/>
  <c r="AJ174" i="1"/>
  <c r="O327" i="1"/>
  <c r="BM194" i="1"/>
  <c r="P176" i="1"/>
  <c r="BM140" i="1"/>
  <c r="CD140" i="1" s="1"/>
  <c r="AQ62" i="1"/>
  <c r="AE342" i="1"/>
  <c r="AE334" i="1"/>
  <c r="AV62" i="1"/>
  <c r="AJ183" i="1"/>
  <c r="S173" i="1"/>
  <c r="S176" i="1" s="1"/>
  <c r="CT112" i="1"/>
  <c r="N176" i="1"/>
  <c r="O150" i="1"/>
  <c r="P62" i="1"/>
  <c r="BN62" i="1"/>
  <c r="R336" i="1"/>
  <c r="BQ139" i="1"/>
  <c r="CH139" i="1" s="1"/>
  <c r="AH230" i="1"/>
  <c r="AE326" i="1"/>
  <c r="AF342" i="1"/>
  <c r="S280" i="1"/>
  <c r="O259" i="1"/>
  <c r="CT222" i="1"/>
  <c r="P345" i="1"/>
  <c r="AW62" i="1"/>
  <c r="N150" i="1"/>
  <c r="BP140" i="1"/>
  <c r="CG140" i="1" s="1"/>
  <c r="BA112" i="1"/>
  <c r="AL182" i="1"/>
  <c r="Q327" i="1"/>
  <c r="CS327" i="1"/>
  <c r="BM62" i="1"/>
  <c r="AF230" i="1"/>
  <c r="AX141" i="1"/>
  <c r="O336" i="1"/>
  <c r="AE324" i="1"/>
  <c r="AE333" i="1"/>
  <c r="AV141" i="1"/>
  <c r="BQ138" i="1"/>
  <c r="CH138" i="1" s="1"/>
  <c r="BP194" i="1"/>
  <c r="V61" i="1"/>
  <c r="Q79" i="1" s="1"/>
  <c r="AY194" i="1"/>
  <c r="AV176" i="1"/>
  <c r="CR141" i="1"/>
  <c r="CS345" i="1"/>
  <c r="Q372" i="1"/>
  <c r="AI344" i="1"/>
  <c r="AV354" i="1"/>
  <c r="Q345" i="1"/>
  <c r="O232" i="1"/>
  <c r="AH334" i="1"/>
  <c r="O363" i="1"/>
  <c r="V194" i="1"/>
  <c r="Q354" i="1"/>
  <c r="AE335" i="1"/>
  <c r="BE298" i="1"/>
  <c r="AZ316" i="1" s="1"/>
  <c r="CR223" i="1"/>
  <c r="U194" i="1"/>
  <c r="P212" i="1" s="1"/>
  <c r="AW354" i="1"/>
  <c r="AH324" i="1"/>
  <c r="AH333" i="1"/>
  <c r="CT325" i="1"/>
  <c r="AY150" i="1"/>
  <c r="BO138" i="1"/>
  <c r="CF138" i="1" s="1"/>
  <c r="CS91" i="1"/>
  <c r="AZ354" i="1"/>
  <c r="CT298" i="1"/>
  <c r="AG333" i="1"/>
  <c r="CQ194" i="1"/>
  <c r="AF335" i="1"/>
  <c r="S289" i="1"/>
  <c r="Q141" i="1"/>
  <c r="BQ343" i="1"/>
  <c r="CH343" i="1" s="1"/>
  <c r="N62" i="1"/>
  <c r="BD298" i="1"/>
  <c r="AY316" i="1" s="1"/>
  <c r="CT238" i="1"/>
  <c r="V112" i="1"/>
  <c r="Q130" i="1" s="1"/>
  <c r="T112" i="1"/>
  <c r="O130" i="1" s="1"/>
  <c r="BA298" i="1"/>
  <c r="BP62" i="1"/>
  <c r="O345" i="1"/>
  <c r="AI194" i="1"/>
  <c r="AI230" i="1"/>
  <c r="AH176" i="1"/>
  <c r="BO140" i="1"/>
  <c r="CF140" i="1" s="1"/>
  <c r="AH140" i="1"/>
  <c r="CQ62" i="1"/>
  <c r="AG140" i="1"/>
  <c r="BQ344" i="1"/>
  <c r="CH344" i="1" s="1"/>
  <c r="U175" i="1"/>
  <c r="N354" i="1"/>
  <c r="AE325" i="1"/>
  <c r="AH326" i="1"/>
  <c r="AL175" i="1"/>
  <c r="AG344" i="1"/>
  <c r="AG342" i="1"/>
  <c r="AI335" i="1"/>
  <c r="R327" i="1"/>
  <c r="AE231" i="1"/>
  <c r="AH231" i="1"/>
  <c r="CS232" i="1"/>
  <c r="CR327" i="1"/>
  <c r="P259" i="1"/>
  <c r="CT88" i="1"/>
  <c r="CT176" i="1"/>
  <c r="P150" i="1"/>
  <c r="O141" i="1"/>
  <c r="T59" i="1"/>
  <c r="O77" i="1" s="1"/>
  <c r="J68" i="1" s="1"/>
  <c r="CS141" i="1"/>
  <c r="CT140" i="1"/>
  <c r="AI342" i="1"/>
  <c r="P208" i="1"/>
  <c r="AY354" i="1"/>
  <c r="AI325" i="1"/>
  <c r="BO342" i="1"/>
  <c r="CF342" i="1" s="1"/>
  <c r="AH325" i="1"/>
  <c r="CW289" i="1"/>
  <c r="AG176" i="1"/>
  <c r="R363" i="1"/>
  <c r="AH343" i="1"/>
  <c r="AG335" i="1"/>
  <c r="CT326" i="1"/>
  <c r="AH335" i="1"/>
  <c r="AY312" i="1"/>
  <c r="CS223" i="1"/>
  <c r="W192" i="1"/>
  <c r="R210" i="1" s="1"/>
  <c r="N345" i="1"/>
  <c r="AX372" i="1"/>
  <c r="P327" i="1"/>
  <c r="N372" i="1"/>
  <c r="CR345" i="1"/>
  <c r="AI231" i="1"/>
  <c r="AH139" i="1"/>
  <c r="CT239" i="1"/>
  <c r="AG139" i="1"/>
  <c r="AF140" i="1"/>
  <c r="AE62" i="1"/>
  <c r="AF139" i="1"/>
  <c r="BM138" i="1"/>
  <c r="CD138" i="1" s="1"/>
  <c r="N201" i="1"/>
  <c r="J201" i="1"/>
  <c r="Z201" i="1"/>
  <c r="N200" i="1"/>
  <c r="J200" i="1"/>
  <c r="Z200" i="1"/>
  <c r="N68" i="1"/>
  <c r="Z68" i="1"/>
  <c r="N70" i="1"/>
  <c r="Z70" i="1"/>
  <c r="N305" i="1"/>
  <c r="J305" i="1"/>
  <c r="Z305" i="1"/>
  <c r="AQ305" i="1"/>
  <c r="N306" i="1"/>
  <c r="J306" i="1"/>
  <c r="Z306" i="1"/>
  <c r="AQ306" i="1"/>
  <c r="BH354" i="1"/>
  <c r="BM354" i="1" s="1"/>
  <c r="BM350" i="1"/>
  <c r="BC192" i="1"/>
  <c r="AX210" i="1" s="1"/>
  <c r="BJ192" i="1"/>
  <c r="BL298" i="1"/>
  <c r="BV294" i="1"/>
  <c r="BQ312" i="1" s="1"/>
  <c r="AM297" i="1"/>
  <c r="AH315" i="1" s="1"/>
  <c r="AB289" i="1"/>
  <c r="AL285" i="1"/>
  <c r="AL289" i="1" s="1"/>
  <c r="AE255" i="1"/>
  <c r="Z259" i="1"/>
  <c r="AE259" i="1" s="1"/>
  <c r="AF255" i="1"/>
  <c r="AA259" i="1"/>
  <c r="AF259" i="1" s="1"/>
  <c r="N202" i="1"/>
  <c r="J202" i="1"/>
  <c r="Z202" i="1"/>
  <c r="CQ223" i="1"/>
  <c r="CT219" i="1"/>
  <c r="AD372" i="1"/>
  <c r="AI372" i="1" s="1"/>
  <c r="AI368" i="1"/>
  <c r="AF332" i="1"/>
  <c r="AA336" i="1"/>
  <c r="AG332" i="1"/>
  <c r="AB336" i="1"/>
  <c r="AL296" i="1"/>
  <c r="AG314" i="1" s="1"/>
  <c r="Z327" i="1"/>
  <c r="AE323" i="1"/>
  <c r="BU297" i="1"/>
  <c r="BP315" i="1" s="1"/>
  <c r="BU295" i="1"/>
  <c r="BP313" i="1" s="1"/>
  <c r="BC190" i="1"/>
  <c r="AX208" i="1" s="1"/>
  <c r="AS194" i="1"/>
  <c r="BJ190" i="1"/>
  <c r="BC298" i="1"/>
  <c r="CQ289" i="1"/>
  <c r="BC193" i="1"/>
  <c r="AX211" i="1" s="1"/>
  <c r="BJ193" i="1"/>
  <c r="BT297" i="1"/>
  <c r="BO315" i="1" s="1"/>
  <c r="AN295" i="1"/>
  <c r="AI313" i="1" s="1"/>
  <c r="AJ297" i="1"/>
  <c r="AE315" i="1" s="1"/>
  <c r="W298" i="1"/>
  <c r="R316" i="1" s="1"/>
  <c r="R312" i="1"/>
  <c r="AN285" i="1"/>
  <c r="AN289" i="1" s="1"/>
  <c r="AD289" i="1"/>
  <c r="AL191" i="1"/>
  <c r="AG209" i="1" s="1"/>
  <c r="AN192" i="1"/>
  <c r="AI210" i="1" s="1"/>
  <c r="AC354" i="1"/>
  <c r="AH354" i="1" s="1"/>
  <c r="AH350" i="1"/>
  <c r="AE344" i="1"/>
  <c r="AI334" i="1"/>
  <c r="BO368" i="1"/>
  <c r="BJ372" i="1"/>
  <c r="BO372" i="1" s="1"/>
  <c r="Z336" i="1"/>
  <c r="AE332" i="1"/>
  <c r="AJ296" i="1"/>
  <c r="AE314" i="1" s="1"/>
  <c r="AR232" i="1"/>
  <c r="BI228" i="1"/>
  <c r="AF324" i="1"/>
  <c r="BV297" i="1"/>
  <c r="BQ315" i="1" s="1"/>
  <c r="BI191" i="1"/>
  <c r="BB191" i="1"/>
  <c r="AW209" i="1" s="1"/>
  <c r="Z298" i="1"/>
  <c r="AJ294" i="1"/>
  <c r="AE312" i="1" s="1"/>
  <c r="AN193" i="1"/>
  <c r="AI211" i="1" s="1"/>
  <c r="AJ191" i="1"/>
  <c r="AE209" i="1" s="1"/>
  <c r="BJ354" i="1"/>
  <c r="BO354" i="1" s="1"/>
  <c r="BO350" i="1"/>
  <c r="CQ336" i="1"/>
  <c r="CT332" i="1"/>
  <c r="BE192" i="1"/>
  <c r="AZ210" i="1" s="1"/>
  <c r="BL192" i="1"/>
  <c r="BK336" i="1"/>
  <c r="AL295" i="1"/>
  <c r="AG313" i="1" s="1"/>
  <c r="BA191" i="1"/>
  <c r="AV209" i="1" s="1"/>
  <c r="AQ200" i="1" s="1"/>
  <c r="BH191" i="1"/>
  <c r="BU296" i="1"/>
  <c r="BP314" i="1" s="1"/>
  <c r="N304" i="1"/>
  <c r="J304" i="1"/>
  <c r="Z304" i="1"/>
  <c r="AQ304" i="1"/>
  <c r="AC289" i="1"/>
  <c r="AM285" i="1"/>
  <c r="AM289" i="1" s="1"/>
  <c r="BV295" i="1"/>
  <c r="BQ313" i="1" s="1"/>
  <c r="AI229" i="1"/>
  <c r="AK191" i="1"/>
  <c r="AF209" i="1" s="1"/>
  <c r="AC150" i="1"/>
  <c r="AH150" i="1" s="1"/>
  <c r="AH146" i="1"/>
  <c r="AN110" i="1"/>
  <c r="AI128" i="1" s="1"/>
  <c r="W59" i="1"/>
  <c r="R77" i="1" s="1"/>
  <c r="AD59" i="1"/>
  <c r="AH137" i="1"/>
  <c r="AC141" i="1"/>
  <c r="BJ141" i="1"/>
  <c r="BO137" i="1"/>
  <c r="CF137" i="1" s="1"/>
  <c r="N67" i="1"/>
  <c r="J67" i="1"/>
  <c r="Z67" i="1"/>
  <c r="AN109" i="1"/>
  <c r="AI127" i="1" s="1"/>
  <c r="BP344" i="1"/>
  <c r="CG344" i="1" s="1"/>
  <c r="AZ363" i="1"/>
  <c r="BP343" i="1"/>
  <c r="CG343" i="1" s="1"/>
  <c r="BI363" i="1"/>
  <c r="BN363" i="1" s="1"/>
  <c r="BN359" i="1"/>
  <c r="AX256" i="1"/>
  <c r="BJ256" i="1"/>
  <c r="BO256" i="1" s="1"/>
  <c r="CF256" i="1" s="1"/>
  <c r="AA112" i="1"/>
  <c r="AK108" i="1"/>
  <c r="AF126" i="1" s="1"/>
  <c r="AT62" i="1"/>
  <c r="BK58" i="1"/>
  <c r="BD58" i="1"/>
  <c r="AY76" i="1" s="1"/>
  <c r="AK109" i="1"/>
  <c r="AF127" i="1" s="1"/>
  <c r="AC185" i="1"/>
  <c r="AM181" i="1"/>
  <c r="AM185" i="1" s="1"/>
  <c r="BM137" i="1"/>
  <c r="CD137" i="1" s="1"/>
  <c r="BH141" i="1"/>
  <c r="BT108" i="1"/>
  <c r="BJ112" i="1"/>
  <c r="T61" i="1"/>
  <c r="O79" i="1" s="1"/>
  <c r="J70" i="1" s="1"/>
  <c r="BL258" i="1"/>
  <c r="BQ258" i="1" s="1"/>
  <c r="CH258" i="1" s="1"/>
  <c r="AZ258" i="1"/>
  <c r="BJ336" i="1"/>
  <c r="BL327" i="1"/>
  <c r="BK372" i="1"/>
  <c r="BP372" i="1" s="1"/>
  <c r="BP368" i="1"/>
  <c r="AV363" i="1"/>
  <c r="S194" i="1"/>
  <c r="N212" i="1" s="1"/>
  <c r="AD185" i="1"/>
  <c r="AN181" i="1"/>
  <c r="AJ110" i="1"/>
  <c r="AE128" i="1" s="1"/>
  <c r="BI58" i="1"/>
  <c r="AR62" i="1"/>
  <c r="BB58" i="1"/>
  <c r="AF138" i="1"/>
  <c r="AB112" i="1"/>
  <c r="AL108" i="1"/>
  <c r="AG126" i="1" s="1"/>
  <c r="BN138" i="1"/>
  <c r="CE138" i="1" s="1"/>
  <c r="AL60" i="1"/>
  <c r="AG78" i="1" s="1"/>
  <c r="BR58" i="1"/>
  <c r="R185" i="1"/>
  <c r="AD141" i="1"/>
  <c r="AI137" i="1"/>
  <c r="BS59" i="1"/>
  <c r="BN77" i="1" s="1"/>
  <c r="BJ231" i="1"/>
  <c r="AW372" i="1"/>
  <c r="BK229" i="1"/>
  <c r="AH255" i="1"/>
  <c r="AC259" i="1"/>
  <c r="AH259" i="1" s="1"/>
  <c r="AZ150" i="1"/>
  <c r="BE59" i="1"/>
  <c r="AZ77" i="1" s="1"/>
  <c r="BL59" i="1"/>
  <c r="AI62" i="1"/>
  <c r="BR111" i="1"/>
  <c r="BM129" i="1" s="1"/>
  <c r="BQ137" i="1"/>
  <c r="CH137" i="1" s="1"/>
  <c r="BL141" i="1"/>
  <c r="S112" i="1"/>
  <c r="AH62" i="1"/>
  <c r="CQ112" i="1"/>
  <c r="CO130" i="1" s="1"/>
  <c r="CT62" i="1"/>
  <c r="BR109" i="1"/>
  <c r="BM127" i="1" s="1"/>
  <c r="M62" i="1"/>
  <c r="BM344" i="1"/>
  <c r="CD344" i="1" s="1"/>
  <c r="AY345" i="1"/>
  <c r="BM342" i="1"/>
  <c r="CD342" i="1" s="1"/>
  <c r="AY363" i="1"/>
  <c r="BS108" i="1"/>
  <c r="BI112" i="1"/>
  <c r="BL228" i="1"/>
  <c r="AU232" i="1"/>
  <c r="AZ372" i="1"/>
  <c r="BH372" i="1"/>
  <c r="BM372" i="1" s="1"/>
  <c r="BM368" i="1"/>
  <c r="AM60" i="1"/>
  <c r="AH78" i="1" s="1"/>
  <c r="AJ59" i="1"/>
  <c r="AE77" i="1" s="1"/>
  <c r="AL59" i="1"/>
  <c r="AG77" i="1" s="1"/>
  <c r="BS61" i="1"/>
  <c r="BN79" i="1" s="1"/>
  <c r="AE350" i="1"/>
  <c r="Z354" i="1"/>
  <c r="AE354" i="1" s="1"/>
  <c r="AN296" i="1"/>
  <c r="AI314" i="1" s="1"/>
  <c r="AF323" i="1"/>
  <c r="AA327" i="1"/>
  <c r="AC327" i="1"/>
  <c r="AH323" i="1"/>
  <c r="AN297" i="1"/>
  <c r="AI315" i="1" s="1"/>
  <c r="AK297" i="1"/>
  <c r="AF315" i="1" s="1"/>
  <c r="BE190" i="1"/>
  <c r="AZ208" i="1" s="1"/>
  <c r="AU194" i="1"/>
  <c r="BL190" i="1"/>
  <c r="BO255" i="1"/>
  <c r="CF255" i="1" s="1"/>
  <c r="AJ193" i="1"/>
  <c r="AE211" i="1" s="1"/>
  <c r="AN191" i="1"/>
  <c r="AI209" i="1" s="1"/>
  <c r="AM190" i="1"/>
  <c r="AC194" i="1"/>
  <c r="AK193" i="1"/>
  <c r="AF211" i="1" s="1"/>
  <c r="CT185" i="1"/>
  <c r="I185" i="1"/>
  <c r="Z181" i="1"/>
  <c r="AE228" i="1" s="1"/>
  <c r="S181" i="1"/>
  <c r="S185" i="1" s="1"/>
  <c r="BJ150" i="1"/>
  <c r="BO150" i="1" s="1"/>
  <c r="BO146" i="1"/>
  <c r="AD176" i="1"/>
  <c r="AN172" i="1"/>
  <c r="AN176" i="1" s="1"/>
  <c r="BI354" i="1"/>
  <c r="BN354" i="1" s="1"/>
  <c r="BN350" i="1"/>
  <c r="AG343" i="1"/>
  <c r="AB345" i="1"/>
  <c r="AG341" i="1"/>
  <c r="BP350" i="1"/>
  <c r="BK354" i="1"/>
  <c r="BP354" i="1" s="1"/>
  <c r="P336" i="1"/>
  <c r="BL345" i="1"/>
  <c r="BQ345" i="1" s="1"/>
  <c r="BQ341" i="1"/>
  <c r="CH341" i="1" s="1"/>
  <c r="BA192" i="1"/>
  <c r="AV210" i="1" s="1"/>
  <c r="AQ201" i="1" s="1"/>
  <c r="BH192" i="1"/>
  <c r="N327" i="1"/>
  <c r="BJ298" i="1"/>
  <c r="BT294" i="1"/>
  <c r="BO312" i="1" s="1"/>
  <c r="AX312" i="1"/>
  <c r="CQ298" i="1"/>
  <c r="CO316" i="1" s="1"/>
  <c r="AL297" i="1"/>
  <c r="AG315" i="1" s="1"/>
  <c r="AN294" i="1"/>
  <c r="AD298" i="1"/>
  <c r="BH298" i="1"/>
  <c r="BR294" i="1"/>
  <c r="CO212" i="1"/>
  <c r="W182" i="1"/>
  <c r="AG368" i="1"/>
  <c r="AB372" i="1"/>
  <c r="AG372" i="1" s="1"/>
  <c r="AI326" i="1"/>
  <c r="O354" i="1"/>
  <c r="BS294" i="1"/>
  <c r="BN312" i="1" s="1"/>
  <c r="BI298" i="1"/>
  <c r="AC345" i="1"/>
  <c r="AH341" i="1"/>
  <c r="BR297" i="1"/>
  <c r="BM315" i="1" s="1"/>
  <c r="AK295" i="1"/>
  <c r="AF313" i="1" s="1"/>
  <c r="BE193" i="1"/>
  <c r="AZ211" i="1" s="1"/>
  <c r="BL193" i="1"/>
  <c r="S298" i="1"/>
  <c r="N316" i="1" s="1"/>
  <c r="N312" i="1"/>
  <c r="I303" i="1" s="1"/>
  <c r="T289" i="1"/>
  <c r="AC280" i="1"/>
  <c r="AM276" i="1"/>
  <c r="AM280" i="1" s="1"/>
  <c r="AI255" i="1"/>
  <c r="AD259" i="1"/>
  <c r="T298" i="1"/>
  <c r="O316" i="1" s="1"/>
  <c r="AB354" i="1"/>
  <c r="AG354" i="1" s="1"/>
  <c r="AG350" i="1"/>
  <c r="CT342" i="1"/>
  <c r="AX354" i="1"/>
  <c r="AG326" i="1"/>
  <c r="AF325" i="1"/>
  <c r="BK327" i="1"/>
  <c r="BS296" i="1"/>
  <c r="BN314" i="1" s="1"/>
  <c r="AM294" i="1"/>
  <c r="AC298" i="1"/>
  <c r="BE191" i="1"/>
  <c r="AZ209" i="1" s="1"/>
  <c r="BL191" i="1"/>
  <c r="U280" i="1"/>
  <c r="AK192" i="1"/>
  <c r="AF210" i="1" s="1"/>
  <c r="AM193" i="1"/>
  <c r="AH211" i="1" s="1"/>
  <c r="J176" i="1"/>
  <c r="AA172" i="1"/>
  <c r="T172" i="1"/>
  <c r="T176" i="1" s="1"/>
  <c r="Z176" i="1"/>
  <c r="AJ172" i="1"/>
  <c r="AJ176" i="1" s="1"/>
  <c r="AI146" i="1"/>
  <c r="AD150" i="1"/>
  <c r="AI150" i="1" s="1"/>
  <c r="AI138" i="1"/>
  <c r="Q126" i="1"/>
  <c r="BE61" i="1"/>
  <c r="AZ79" i="1" s="1"/>
  <c r="BL61" i="1"/>
  <c r="AA60" i="1"/>
  <c r="AA62" i="1" s="1"/>
  <c r="T60" i="1"/>
  <c r="AJ111" i="1"/>
  <c r="AE129" i="1" s="1"/>
  <c r="BS109" i="1"/>
  <c r="BN127" i="1" s="1"/>
  <c r="BL112" i="1"/>
  <c r="BV108" i="1"/>
  <c r="CO80" i="1"/>
  <c r="BT58" i="1"/>
  <c r="BO76" i="1" s="1"/>
  <c r="BT110" i="1"/>
  <c r="BO128" i="1" s="1"/>
  <c r="AU259" i="1"/>
  <c r="AZ259" i="1" s="1"/>
  <c r="BL255" i="1"/>
  <c r="AZ255" i="1"/>
  <c r="BI230" i="1"/>
  <c r="AW363" i="1"/>
  <c r="BI256" i="1"/>
  <c r="BN256" i="1" s="1"/>
  <c r="CE256" i="1" s="1"/>
  <c r="AW256" i="1"/>
  <c r="BT61" i="1"/>
  <c r="BO79" i="1" s="1"/>
  <c r="BK150" i="1"/>
  <c r="BP150" i="1" s="1"/>
  <c r="BP146" i="1"/>
  <c r="BP139" i="1"/>
  <c r="CG139" i="1" s="1"/>
  <c r="BV111" i="1"/>
  <c r="BQ129" i="1" s="1"/>
  <c r="W112" i="1"/>
  <c r="R130" i="1" s="1"/>
  <c r="AA185" i="1"/>
  <c r="AK181" i="1"/>
  <c r="AK185" i="1" s="1"/>
  <c r="BO139" i="1"/>
  <c r="CF139" i="1" s="1"/>
  <c r="N118" i="1"/>
  <c r="J118" i="1"/>
  <c r="Z118" i="1"/>
  <c r="AQ118" i="1"/>
  <c r="CT89" i="1"/>
  <c r="AK59" i="1"/>
  <c r="AF77" i="1" s="1"/>
  <c r="AK111" i="1"/>
  <c r="AF129" i="1" s="1"/>
  <c r="AK61" i="1"/>
  <c r="AF79" i="1" s="1"/>
  <c r="AY62" i="1"/>
  <c r="BH336" i="1"/>
  <c r="BM343" i="1"/>
  <c r="CD343" i="1" s="1"/>
  <c r="AQ259" i="1"/>
  <c r="AV259" i="1" s="1"/>
  <c r="BH255" i="1"/>
  <c r="AV255" i="1"/>
  <c r="AL192" i="1"/>
  <c r="AG210" i="1" s="1"/>
  <c r="CT194" i="1"/>
  <c r="AC174" i="1"/>
  <c r="AM174" i="1" s="1"/>
  <c r="V174" i="1"/>
  <c r="V176" i="1" s="1"/>
  <c r="Z194" i="1"/>
  <c r="AJ190" i="1"/>
  <c r="AE208" i="1" s="1"/>
  <c r="N208" i="1"/>
  <c r="I199" i="1" s="1"/>
  <c r="AE139" i="1"/>
  <c r="BA61" i="1"/>
  <c r="AV79" i="1" s="1"/>
  <c r="AQ70" i="1" s="1"/>
  <c r="BH61" i="1"/>
  <c r="BQ140" i="1"/>
  <c r="CH140" i="1" s="1"/>
  <c r="BT111" i="1"/>
  <c r="BO129" i="1" s="1"/>
  <c r="BH112" i="1"/>
  <c r="BR108" i="1"/>
  <c r="BM126" i="1" s="1"/>
  <c r="BK59" i="1"/>
  <c r="BD59" i="1"/>
  <c r="AY77" i="1" s="1"/>
  <c r="AL58" i="1"/>
  <c r="AG76" i="1" s="1"/>
  <c r="U60" i="1"/>
  <c r="P78" i="1" s="1"/>
  <c r="AI185" i="1"/>
  <c r="AM61" i="1"/>
  <c r="AH79" i="1" s="1"/>
  <c r="AX257" i="1"/>
  <c r="BJ257" i="1"/>
  <c r="BO257" i="1" s="1"/>
  <c r="CF257" i="1" s="1"/>
  <c r="AV345" i="1"/>
  <c r="BD112" i="1"/>
  <c r="AY130" i="1" s="1"/>
  <c r="BL256" i="1"/>
  <c r="BQ256" i="1" s="1"/>
  <c r="CH256" i="1" s="1"/>
  <c r="AZ256" i="1"/>
  <c r="BH257" i="1"/>
  <c r="BM257" i="1" s="1"/>
  <c r="CD257" i="1" s="1"/>
  <c r="AV257" i="1"/>
  <c r="BI231" i="1"/>
  <c r="BI258" i="1"/>
  <c r="BN258" i="1" s="1"/>
  <c r="CE258" i="1" s="1"/>
  <c r="AW258" i="1"/>
  <c r="W194" i="1"/>
  <c r="R212" i="1" s="1"/>
  <c r="Q259" i="1"/>
  <c r="U185" i="1"/>
  <c r="BN176" i="1"/>
  <c r="U176" i="1"/>
  <c r="CT139" i="1"/>
  <c r="R62" i="1"/>
  <c r="AK58" i="1"/>
  <c r="BN140" i="1"/>
  <c r="CE140" i="1" s="1"/>
  <c r="BU109" i="1"/>
  <c r="BP127" i="1" s="1"/>
  <c r="N117" i="1"/>
  <c r="Z117" i="1"/>
  <c r="P141" i="1"/>
  <c r="Q62" i="1"/>
  <c r="AM59" i="1"/>
  <c r="AH77" i="1" s="1"/>
  <c r="BU111" i="1"/>
  <c r="BP129" i="1" s="1"/>
  <c r="BK256" i="1"/>
  <c r="BP256" i="1" s="1"/>
  <c r="CG256" i="1" s="1"/>
  <c r="AY256" i="1"/>
  <c r="BH231" i="1"/>
  <c r="AV372" i="1"/>
  <c r="BS60" i="1"/>
  <c r="BN78" i="1" s="1"/>
  <c r="BV58" i="1"/>
  <c r="BQ76" i="1" s="1"/>
  <c r="AJ61" i="1"/>
  <c r="AE79" i="1" s="1"/>
  <c r="BU60" i="1"/>
  <c r="BP78" i="1" s="1"/>
  <c r="AH368" i="1"/>
  <c r="AC372" i="1"/>
  <c r="AH372" i="1" s="1"/>
  <c r="AA363" i="1"/>
  <c r="AF363" i="1" s="1"/>
  <c r="AF359" i="1"/>
  <c r="BQ350" i="1"/>
  <c r="BL354" i="1"/>
  <c r="BQ354" i="1" s="1"/>
  <c r="AC336" i="1"/>
  <c r="AH336" i="1" s="1"/>
  <c r="AH332" i="1"/>
  <c r="BT296" i="1"/>
  <c r="BO314" i="1" s="1"/>
  <c r="AZ312" i="1"/>
  <c r="AX259" i="1"/>
  <c r="AG230" i="1"/>
  <c r="Q212" i="1"/>
  <c r="CW185" i="1"/>
  <c r="AB194" i="1"/>
  <c r="AL190" i="1"/>
  <c r="AG208" i="1" s="1"/>
  <c r="R372" i="1"/>
  <c r="BO359" i="1"/>
  <c r="BJ363" i="1"/>
  <c r="BO363" i="1" s="1"/>
  <c r="BR296" i="1"/>
  <c r="BM314" i="1" s="1"/>
  <c r="BU294" i="1"/>
  <c r="BK298" i="1"/>
  <c r="BI345" i="1"/>
  <c r="BN341" i="1"/>
  <c r="CE341" i="1" s="1"/>
  <c r="AG334" i="1"/>
  <c r="BK193" i="1"/>
  <c r="BD193" i="1"/>
  <c r="AY211" i="1" s="1"/>
  <c r="AM296" i="1"/>
  <c r="AH314" i="1" s="1"/>
  <c r="AX316" i="1"/>
  <c r="BA190" i="1"/>
  <c r="AV208" i="1" s="1"/>
  <c r="BH190" i="1"/>
  <c r="AQ194" i="1"/>
  <c r="N232" i="1"/>
  <c r="AK190" i="1"/>
  <c r="AA194" i="1"/>
  <c r="AM191" i="1"/>
  <c r="AH209" i="1" s="1"/>
  <c r="AJ285" i="1"/>
  <c r="AJ289" i="1" s="1"/>
  <c r="Z289" i="1"/>
  <c r="CO208" i="1"/>
  <c r="AN182" i="1"/>
  <c r="P363" i="1"/>
  <c r="AI350" i="1"/>
  <c r="AD354" i="1"/>
  <c r="AI354" i="1" s="1"/>
  <c r="AE343" i="1"/>
  <c r="AF333" i="1"/>
  <c r="AA354" i="1"/>
  <c r="AF354" i="1" s="1"/>
  <c r="AF350" i="1"/>
  <c r="BI190" i="1"/>
  <c r="AR194" i="1"/>
  <c r="BB190" i="1"/>
  <c r="AW208" i="1" s="1"/>
  <c r="AM295" i="1"/>
  <c r="AH313" i="1" s="1"/>
  <c r="BI193" i="1"/>
  <c r="BB193" i="1"/>
  <c r="AW211" i="1" s="1"/>
  <c r="CW280" i="1"/>
  <c r="CQ232" i="1"/>
  <c r="CT232" i="1" s="1"/>
  <c r="CT228" i="1"/>
  <c r="V280" i="1"/>
  <c r="R259" i="1"/>
  <c r="AC232" i="1"/>
  <c r="AH228" i="1"/>
  <c r="AM192" i="1"/>
  <c r="AH210" i="1" s="1"/>
  <c r="Z372" i="1"/>
  <c r="AE372" i="1" s="1"/>
  <c r="AE368" i="1"/>
  <c r="Q363" i="1"/>
  <c r="AE359" i="1"/>
  <c r="Z363" i="1"/>
  <c r="AE363" i="1" s="1"/>
  <c r="P354" i="1"/>
  <c r="AF344" i="1"/>
  <c r="AH342" i="1"/>
  <c r="CT334" i="1"/>
  <c r="AA345" i="1"/>
  <c r="AF341" i="1"/>
  <c r="CR336" i="1"/>
  <c r="BR295" i="1"/>
  <c r="BM313" i="1" s="1"/>
  <c r="BK192" i="1"/>
  <c r="BD192" i="1"/>
  <c r="AY210" i="1" s="1"/>
  <c r="AJ295" i="1"/>
  <c r="AE313" i="1" s="1"/>
  <c r="V298" i="1"/>
  <c r="Q316" i="1" s="1"/>
  <c r="U298" i="1"/>
  <c r="P316" i="1" s="1"/>
  <c r="P312" i="1"/>
  <c r="V289" i="1"/>
  <c r="W280" i="1"/>
  <c r="AI228" i="1"/>
  <c r="AD232" i="1"/>
  <c r="AI232" i="1" s="1"/>
  <c r="R256" i="1"/>
  <c r="AB259" i="1"/>
  <c r="AG259" i="1" s="1"/>
  <c r="AG255" i="1"/>
  <c r="AL276" i="1"/>
  <c r="AL280" i="1" s="1"/>
  <c r="AB280" i="1"/>
  <c r="AJ192" i="1"/>
  <c r="AE210" i="1" s="1"/>
  <c r="CT220" i="1"/>
  <c r="R150" i="1"/>
  <c r="CQ241" i="1"/>
  <c r="CT237" i="1"/>
  <c r="BI141" i="1"/>
  <c r="BN137" i="1"/>
  <c r="CE137" i="1" s="1"/>
  <c r="AM108" i="1"/>
  <c r="AH126" i="1" s="1"/>
  <c r="AC112" i="1"/>
  <c r="N120" i="1"/>
  <c r="J120" i="1"/>
  <c r="Z120" i="1"/>
  <c r="AQ120" i="1"/>
  <c r="BU110" i="1"/>
  <c r="BP128" i="1" s="1"/>
  <c r="Z62" i="1"/>
  <c r="AJ58" i="1"/>
  <c r="AE76" i="1" s="1"/>
  <c r="AA280" i="1"/>
  <c r="AK276" i="1"/>
  <c r="AK280" i="1" s="1"/>
  <c r="Z141" i="1"/>
  <c r="AE137" i="1"/>
  <c r="BK61" i="1"/>
  <c r="BD61" i="1"/>
  <c r="AY79" i="1" s="1"/>
  <c r="CO76" i="1"/>
  <c r="AL109" i="1"/>
  <c r="AG127" i="1" s="1"/>
  <c r="BO344" i="1"/>
  <c r="CF344" i="1" s="1"/>
  <c r="BN344" i="1"/>
  <c r="CE344" i="1" s="1"/>
  <c r="BI255" i="1"/>
  <c r="AW255" i="1"/>
  <c r="AR259" i="1"/>
  <c r="AW259" i="1" s="1"/>
  <c r="BL230" i="1"/>
  <c r="BM146" i="1"/>
  <c r="BH150" i="1"/>
  <c r="BM150" i="1" s="1"/>
  <c r="AG146" i="1"/>
  <c r="AB150" i="1"/>
  <c r="AG150" i="1" s="1"/>
  <c r="BA59" i="1"/>
  <c r="AV77" i="1" s="1"/>
  <c r="AQ68" i="1" s="1"/>
  <c r="BH59" i="1"/>
  <c r="AA141" i="1"/>
  <c r="AF137" i="1"/>
  <c r="V185" i="1"/>
  <c r="BN146" i="1"/>
  <c r="BI150" i="1"/>
  <c r="BN150" i="1" s="1"/>
  <c r="R126" i="1"/>
  <c r="BS111" i="1"/>
  <c r="BN129" i="1" s="1"/>
  <c r="BH60" i="1"/>
  <c r="BA60" i="1"/>
  <c r="AV78" i="1" s="1"/>
  <c r="BJ228" i="1"/>
  <c r="AS232" i="1"/>
  <c r="BN343" i="1"/>
  <c r="CE343" i="1" s="1"/>
  <c r="AY372" i="1"/>
  <c r="N119" i="1"/>
  <c r="J119" i="1"/>
  <c r="Z119" i="1"/>
  <c r="AQ119" i="1"/>
  <c r="AB61" i="1"/>
  <c r="U61" i="1"/>
  <c r="P79" i="1" s="1"/>
  <c r="AZ62" i="1"/>
  <c r="AM58" i="1"/>
  <c r="AH76" i="1" s="1"/>
  <c r="AC62" i="1"/>
  <c r="AN111" i="1"/>
  <c r="AI129" i="1" s="1"/>
  <c r="CW112" i="1"/>
  <c r="AK110" i="1"/>
  <c r="AF128" i="1" s="1"/>
  <c r="CW194" i="1"/>
  <c r="S60" i="1"/>
  <c r="N78" i="1" s="1"/>
  <c r="I69" i="1" s="1"/>
  <c r="CW62" i="1"/>
  <c r="K62" i="1"/>
  <c r="R141" i="1"/>
  <c r="W60" i="1"/>
  <c r="R78" i="1" s="1"/>
  <c r="AF62" i="1"/>
  <c r="BJ345" i="1"/>
  <c r="BO345" i="1" s="1"/>
  <c r="BO341" i="1"/>
  <c r="CF341" i="1" s="1"/>
  <c r="BN368" i="1"/>
  <c r="BI372" i="1"/>
  <c r="BN372" i="1" s="1"/>
  <c r="BH345" i="1"/>
  <c r="BM341" i="1"/>
  <c r="CD341" i="1" s="1"/>
  <c r="BU108" i="1"/>
  <c r="BK112" i="1"/>
  <c r="BO343" i="1"/>
  <c r="CF343" i="1" s="1"/>
  <c r="BL229" i="1"/>
  <c r="BH258" i="1"/>
  <c r="BM258" i="1" s="1"/>
  <c r="CD258" i="1" s="1"/>
  <c r="AV258" i="1"/>
  <c r="AD194" i="1"/>
  <c r="AN190" i="1"/>
  <c r="R208" i="1"/>
  <c r="AM172" i="1"/>
  <c r="AL181" i="1"/>
  <c r="AL185" i="1" s="1"/>
  <c r="AB185" i="1"/>
  <c r="AW176" i="1"/>
  <c r="CT137" i="1"/>
  <c r="CQ141" i="1"/>
  <c r="BP137" i="1"/>
  <c r="CG137" i="1" s="1"/>
  <c r="BK141" i="1"/>
  <c r="BO62" i="1"/>
  <c r="J62" i="1"/>
  <c r="AZ141" i="1"/>
  <c r="Z112" i="1"/>
  <c r="AJ108" i="1"/>
  <c r="AE126" i="1" s="1"/>
  <c r="AB141" i="1"/>
  <c r="AG137" i="1"/>
  <c r="BV109" i="1"/>
  <c r="BQ127" i="1" s="1"/>
  <c r="AM111" i="1"/>
  <c r="AH129" i="1" s="1"/>
  <c r="V59" i="1"/>
  <c r="Q77" i="1" s="1"/>
  <c r="R76" i="1"/>
  <c r="AT259" i="1"/>
  <c r="AY259" i="1" s="1"/>
  <c r="BK255" i="1"/>
  <c r="AY255" i="1"/>
  <c r="BR110" i="1"/>
  <c r="BM128" i="1" s="1"/>
  <c r="BK257" i="1"/>
  <c r="BP257" i="1" s="1"/>
  <c r="CG257" i="1" s="1"/>
  <c r="AY257" i="1"/>
  <c r="BL336" i="1"/>
  <c r="BQ342" i="1"/>
  <c r="CH342" i="1" s="1"/>
  <c r="BI229" i="1"/>
  <c r="BC60" i="1"/>
  <c r="AX78" i="1" s="1"/>
  <c r="AU62" i="1"/>
  <c r="AI343" i="1"/>
  <c r="AI341" i="1"/>
  <c r="AD345" i="1"/>
  <c r="AI345" i="1" s="1"/>
  <c r="CT335" i="1"/>
  <c r="AD336" i="1"/>
  <c r="AI336" i="1" s="1"/>
  <c r="AI332" i="1"/>
  <c r="BH230" i="1"/>
  <c r="BC191" i="1"/>
  <c r="AX209" i="1" s="1"/>
  <c r="BJ191" i="1"/>
  <c r="BT295" i="1"/>
  <c r="BO313" i="1" s="1"/>
  <c r="U289" i="1"/>
  <c r="Z280" i="1"/>
  <c r="AJ276" i="1"/>
  <c r="AJ280" i="1" s="1"/>
  <c r="AG228" i="1"/>
  <c r="AB232" i="1"/>
  <c r="CT280" i="1"/>
  <c r="Q208" i="1"/>
  <c r="AF146" i="1"/>
  <c r="AA150" i="1"/>
  <c r="AF150" i="1" s="1"/>
  <c r="AA372" i="1"/>
  <c r="AF372" i="1" s="1"/>
  <c r="AF368" i="1"/>
  <c r="AI359" i="1"/>
  <c r="AD363" i="1"/>
  <c r="AI363" i="1" s="1"/>
  <c r="AZ345" i="1"/>
  <c r="AD327" i="1"/>
  <c r="AI323" i="1"/>
  <c r="AT194" i="1"/>
  <c r="BK190" i="1"/>
  <c r="BD190" i="1"/>
  <c r="AY208" i="1" s="1"/>
  <c r="AW345" i="1"/>
  <c r="BK191" i="1"/>
  <c r="BD191" i="1"/>
  <c r="AY209" i="1" s="1"/>
  <c r="CO312" i="1"/>
  <c r="CT289" i="1"/>
  <c r="W289" i="1"/>
  <c r="AV316" i="1"/>
  <c r="AV312" i="1"/>
  <c r="Z232" i="1"/>
  <c r="CT240" i="1"/>
  <c r="T194" i="1"/>
  <c r="O212" i="1" s="1"/>
  <c r="P372" i="1"/>
  <c r="AG359" i="1"/>
  <c r="AB363" i="1"/>
  <c r="AG363" i="1" s="1"/>
  <c r="R354" i="1"/>
  <c r="AE341" i="1"/>
  <c r="Z345" i="1"/>
  <c r="AH344" i="1"/>
  <c r="N336" i="1"/>
  <c r="BB298" i="1"/>
  <c r="AW316" i="1" s="1"/>
  <c r="AW312" i="1"/>
  <c r="BJ229" i="1"/>
  <c r="AI324" i="1"/>
  <c r="BI336" i="1"/>
  <c r="BA193" i="1"/>
  <c r="AV211" i="1" s="1"/>
  <c r="AQ202" i="1" s="1"/>
  <c r="BH193" i="1"/>
  <c r="AB327" i="1"/>
  <c r="AG323" i="1"/>
  <c r="BS295" i="1"/>
  <c r="BN313" i="1" s="1"/>
  <c r="BS297" i="1"/>
  <c r="BN315" i="1" s="1"/>
  <c r="AA289" i="1"/>
  <c r="AK285" i="1"/>
  <c r="AK289" i="1" s="1"/>
  <c r="AK294" i="1"/>
  <c r="AA298" i="1"/>
  <c r="AC363" i="1"/>
  <c r="AH363" i="1" s="1"/>
  <c r="AH359" i="1"/>
  <c r="N363" i="1"/>
  <c r="CT343" i="1"/>
  <c r="CQ345" i="1"/>
  <c r="CT341" i="1"/>
  <c r="AF334" i="1"/>
  <c r="AG325" i="1"/>
  <c r="AG324" i="1"/>
  <c r="BV296" i="1"/>
  <c r="BQ314" i="1" s="1"/>
  <c r="AT232" i="1"/>
  <c r="BK228" i="1"/>
  <c r="CQ327" i="1"/>
  <c r="CT323" i="1"/>
  <c r="AF326" i="1"/>
  <c r="BI327" i="1"/>
  <c r="BI192" i="1"/>
  <c r="BB192" i="1"/>
  <c r="AW210" i="1" s="1"/>
  <c r="CW298" i="1"/>
  <c r="CQ280" i="1"/>
  <c r="AK296" i="1"/>
  <c r="AF314" i="1" s="1"/>
  <c r="AB298" i="1"/>
  <c r="AL294" i="1"/>
  <c r="AD280" i="1"/>
  <c r="AN276" i="1"/>
  <c r="AN280" i="1" s="1"/>
  <c r="AI256" i="1"/>
  <c r="AA232" i="1"/>
  <c r="AF228" i="1"/>
  <c r="AL193" i="1"/>
  <c r="AG211" i="1" s="1"/>
  <c r="AI139" i="1"/>
  <c r="CR241" i="1"/>
  <c r="CQ176" i="1"/>
  <c r="BJ59" i="1"/>
  <c r="BC59" i="1"/>
  <c r="AX77" i="1" s="1"/>
  <c r="AG62" i="1"/>
  <c r="AM109" i="1"/>
  <c r="AH127" i="1" s="1"/>
  <c r="AZ130" i="1"/>
  <c r="AZ126" i="1"/>
  <c r="T280" i="1"/>
  <c r="CT87" i="1"/>
  <c r="CQ91" i="1"/>
  <c r="BL60" i="1"/>
  <c r="BL62" i="1" s="1"/>
  <c r="BE60" i="1"/>
  <c r="AZ78" i="1" s="1"/>
  <c r="AS62" i="1"/>
  <c r="BL363" i="1"/>
  <c r="BQ363" i="1" s="1"/>
  <c r="BQ359" i="1"/>
  <c r="AX258" i="1"/>
  <c r="BJ258" i="1"/>
  <c r="BO258" i="1" s="1"/>
  <c r="CF258" i="1" s="1"/>
  <c r="BL231" i="1"/>
  <c r="BP342" i="1"/>
  <c r="CG342" i="1" s="1"/>
  <c r="AV150" i="1"/>
  <c r="AG138" i="1"/>
  <c r="AL110" i="1"/>
  <c r="AG128" i="1" s="1"/>
  <c r="O126" i="1"/>
  <c r="J117" i="1" s="1"/>
  <c r="AN61" i="1"/>
  <c r="AI79" i="1" s="1"/>
  <c r="BS110" i="1"/>
  <c r="BN128" i="1" s="1"/>
  <c r="AM110" i="1"/>
  <c r="AH128" i="1" s="1"/>
  <c r="BC112" i="1"/>
  <c r="AX130" i="1" s="1"/>
  <c r="AD112" i="1"/>
  <c r="AN108" i="1"/>
  <c r="T185" i="1"/>
  <c r="AJ109" i="1"/>
  <c r="AE127" i="1" s="1"/>
  <c r="BT109" i="1"/>
  <c r="BO127" i="1" s="1"/>
  <c r="BH228" i="1"/>
  <c r="AQ232" i="1"/>
  <c r="BN342" i="1"/>
  <c r="CE342" i="1" s="1"/>
  <c r="BJ327" i="1"/>
  <c r="BH229" i="1"/>
  <c r="BH363" i="1"/>
  <c r="BM363" i="1" s="1"/>
  <c r="BM359" i="1"/>
  <c r="W185" i="1"/>
  <c r="CW176" i="1"/>
  <c r="AE146" i="1"/>
  <c r="Z150" i="1"/>
  <c r="AE150" i="1" s="1"/>
  <c r="AE140" i="1"/>
  <c r="AE138" i="1"/>
  <c r="BQ62" i="1"/>
  <c r="AV130" i="1"/>
  <c r="AV126" i="1"/>
  <c r="AQ117" i="1" s="1"/>
  <c r="U112" i="1"/>
  <c r="P130" i="1" s="1"/>
  <c r="CT90" i="1"/>
  <c r="AJ60" i="1"/>
  <c r="AE78" i="1" s="1"/>
  <c r="AV76" i="1"/>
  <c r="AQ67" i="1" s="1"/>
  <c r="AN60" i="1"/>
  <c r="AI78" i="1" s="1"/>
  <c r="BB59" i="1"/>
  <c r="AW77" i="1" s="1"/>
  <c r="O62" i="1"/>
  <c r="AX345" i="1"/>
  <c r="BL257" i="1"/>
  <c r="BQ257" i="1" s="1"/>
  <c r="CH257" i="1" s="1"/>
  <c r="AZ257" i="1"/>
  <c r="BJ230" i="1"/>
  <c r="L176" i="1"/>
  <c r="BQ146" i="1"/>
  <c r="BL150" i="1"/>
  <c r="BQ150" i="1" s="1"/>
  <c r="AB176" i="1"/>
  <c r="AL172" i="1"/>
  <c r="AL176" i="1" s="1"/>
  <c r="CT138" i="1"/>
  <c r="BN139" i="1"/>
  <c r="CE139" i="1" s="1"/>
  <c r="AY141" i="1"/>
  <c r="AX62" i="1"/>
  <c r="AL111" i="1"/>
  <c r="AG129" i="1" s="1"/>
  <c r="N130" i="1"/>
  <c r="AH138" i="1"/>
  <c r="AD62" i="1"/>
  <c r="AN58" i="1"/>
  <c r="BV110" i="1"/>
  <c r="BQ128" i="1" s="1"/>
  <c r="BK230" i="1"/>
  <c r="BP341" i="1"/>
  <c r="CG341" i="1" s="1"/>
  <c r="BK345" i="1"/>
  <c r="BH256" i="1"/>
  <c r="BM256" i="1" s="1"/>
  <c r="CD256" i="1" s="1"/>
  <c r="AV256" i="1"/>
  <c r="BH327" i="1"/>
  <c r="BK231" i="1"/>
  <c r="BK363" i="1"/>
  <c r="BP363" i="1" s="1"/>
  <c r="BP359" i="1"/>
  <c r="BB112" i="1"/>
  <c r="AW130" i="1" s="1"/>
  <c r="BL372" i="1"/>
  <c r="BQ372" i="1" s="1"/>
  <c r="BQ368" i="1"/>
  <c r="BT60" i="1"/>
  <c r="BO78" i="1" s="1"/>
  <c r="BB61" i="1"/>
  <c r="AW79" i="1" s="1"/>
  <c r="AZ76" i="1"/>
  <c r="AL298" i="1" l="1"/>
  <c r="CT241" i="1"/>
  <c r="BU298" i="1"/>
  <c r="AH232" i="1"/>
  <c r="AM176" i="1"/>
  <c r="U62" i="1"/>
  <c r="AG327" i="1"/>
  <c r="CT91" i="1"/>
  <c r="AG141" i="1"/>
  <c r="BM345" i="1"/>
  <c r="BN141" i="1"/>
  <c r="BA62" i="1"/>
  <c r="AV80" i="1" s="1"/>
  <c r="AF141" i="1"/>
  <c r="CT345" i="1"/>
  <c r="BU112" i="1"/>
  <c r="BP130" i="1" s="1"/>
  <c r="AK194" i="1"/>
  <c r="AF212" i="1" s="1"/>
  <c r="BP141" i="1"/>
  <c r="CT336" i="1"/>
  <c r="T62" i="1"/>
  <c r="O80" i="1" s="1"/>
  <c r="W62" i="1"/>
  <c r="AN298" i="1"/>
  <c r="AI316" i="1" s="1"/>
  <c r="AI327" i="1"/>
  <c r="AC176" i="1"/>
  <c r="CT141" i="1"/>
  <c r="AN194" i="1"/>
  <c r="AI212" i="1" s="1"/>
  <c r="AI259" i="1"/>
  <c r="AI312" i="1"/>
  <c r="AE306" i="1"/>
  <c r="AJ306" i="1" s="1"/>
  <c r="AE305" i="1"/>
  <c r="AJ305" i="1" s="1"/>
  <c r="AN112" i="1"/>
  <c r="AF232" i="1"/>
  <c r="AE345" i="1"/>
  <c r="AG232" i="1"/>
  <c r="AE119" i="1"/>
  <c r="AJ119" i="1" s="1"/>
  <c r="AE120" i="1"/>
  <c r="AJ120" i="1" s="1"/>
  <c r="O78" i="1"/>
  <c r="BP345" i="1"/>
  <c r="AM62" i="1"/>
  <c r="BN345" i="1"/>
  <c r="BH117" i="1"/>
  <c r="BM117" i="1" s="1"/>
  <c r="AV117" i="1"/>
  <c r="BH202" i="1"/>
  <c r="AV202" i="1"/>
  <c r="BH67" i="1"/>
  <c r="BM67" i="1" s="1"/>
  <c r="AV67" i="1"/>
  <c r="BH70" i="1"/>
  <c r="AV70" i="1"/>
  <c r="AR70" i="1"/>
  <c r="K70" i="1"/>
  <c r="AA70" i="1"/>
  <c r="AF70" i="1" s="1"/>
  <c r="O70" i="1"/>
  <c r="BH68" i="1"/>
  <c r="AV68" i="1"/>
  <c r="AA117" i="1"/>
  <c r="AF117" i="1" s="1"/>
  <c r="AR117" i="1"/>
  <c r="O117" i="1"/>
  <c r="K117" i="1"/>
  <c r="BH200" i="1"/>
  <c r="AV200" i="1"/>
  <c r="BH201" i="1"/>
  <c r="AV201" i="1"/>
  <c r="AG312" i="1"/>
  <c r="BS192" i="1"/>
  <c r="BN210" i="1" s="1"/>
  <c r="BU190" i="1"/>
  <c r="BP208" i="1" s="1"/>
  <c r="BK194" i="1"/>
  <c r="AL61" i="1"/>
  <c r="AG79" i="1" s="1"/>
  <c r="AE141" i="1"/>
  <c r="AA120" i="1"/>
  <c r="AF120" i="1" s="1"/>
  <c r="AR120" i="1"/>
  <c r="O120" i="1"/>
  <c r="K120" i="1"/>
  <c r="AM112" i="1"/>
  <c r="BU192" i="1"/>
  <c r="BP210" i="1" s="1"/>
  <c r="BB194" i="1"/>
  <c r="AE117" i="1"/>
  <c r="AB62" i="1"/>
  <c r="BH118" i="1"/>
  <c r="BM118" i="1" s="1"/>
  <c r="AV118" i="1"/>
  <c r="BQ255" i="1"/>
  <c r="CH255" i="1" s="1"/>
  <c r="BL259" i="1"/>
  <c r="BQ259" i="1" s="1"/>
  <c r="AM298" i="1"/>
  <c r="AH316" i="1" s="1"/>
  <c r="BR192" i="1"/>
  <c r="BM210" i="1" s="1"/>
  <c r="BL194" i="1"/>
  <c r="BV190" i="1"/>
  <c r="BQ208" i="1" s="1"/>
  <c r="AH327" i="1"/>
  <c r="BE62" i="1"/>
  <c r="AL112" i="1"/>
  <c r="BB62" i="1"/>
  <c r="AW80" i="1" s="1"/>
  <c r="BU58" i="1"/>
  <c r="BK62" i="1"/>
  <c r="AK112" i="1"/>
  <c r="AE67" i="1"/>
  <c r="BO141" i="1"/>
  <c r="BH304" i="1"/>
  <c r="BM304" i="1" s="1"/>
  <c r="AV304" i="1"/>
  <c r="BV192" i="1"/>
  <c r="BQ210" i="1" s="1"/>
  <c r="AE202" i="1"/>
  <c r="BV298" i="1"/>
  <c r="BH306" i="1"/>
  <c r="BM306" i="1" s="1"/>
  <c r="AV306" i="1"/>
  <c r="BH305" i="1"/>
  <c r="BM305" i="1" s="1"/>
  <c r="AV305" i="1"/>
  <c r="BH232" i="1"/>
  <c r="BT59" i="1"/>
  <c r="BO77" i="1" s="1"/>
  <c r="BT191" i="1"/>
  <c r="BO209" i="1" s="1"/>
  <c r="P80" i="1"/>
  <c r="AA119" i="1"/>
  <c r="AF119" i="1" s="1"/>
  <c r="AR119" i="1"/>
  <c r="O119" i="1"/>
  <c r="K119" i="1"/>
  <c r="BR60" i="1"/>
  <c r="BM78" i="1" s="1"/>
  <c r="BR59" i="1"/>
  <c r="BM77" i="1" s="1"/>
  <c r="BU61" i="1"/>
  <c r="BP79" i="1" s="1"/>
  <c r="S120" i="1"/>
  <c r="I129" i="1"/>
  <c r="S129" i="1" s="1"/>
  <c r="AF345" i="1"/>
  <c r="BS193" i="1"/>
  <c r="BN211" i="1" s="1"/>
  <c r="AE118" i="1"/>
  <c r="BC62" i="1"/>
  <c r="AX80" i="1" s="1"/>
  <c r="BV112" i="1"/>
  <c r="BQ130" i="1" s="1"/>
  <c r="BV61" i="1"/>
  <c r="BQ79" i="1" s="1"/>
  <c r="BV191" i="1"/>
  <c r="BQ209" i="1" s="1"/>
  <c r="BV193" i="1"/>
  <c r="BQ211" i="1" s="1"/>
  <c r="AH345" i="1"/>
  <c r="Z185" i="1"/>
  <c r="AE232" i="1" s="1"/>
  <c r="AJ181" i="1"/>
  <c r="AJ185" i="1" s="1"/>
  <c r="AF327" i="1"/>
  <c r="BS112" i="1"/>
  <c r="BN130" i="1" s="1"/>
  <c r="R80" i="1"/>
  <c r="BQ141" i="1"/>
  <c r="BV59" i="1"/>
  <c r="AI141" i="1"/>
  <c r="AN185" i="1"/>
  <c r="BT112" i="1"/>
  <c r="BO130" i="1" s="1"/>
  <c r="K67" i="1"/>
  <c r="AA67" i="1"/>
  <c r="AF67" i="1" s="1"/>
  <c r="O67" i="1"/>
  <c r="AH141" i="1"/>
  <c r="AN59" i="1"/>
  <c r="AN62" i="1" s="1"/>
  <c r="AI80" i="1" s="1"/>
  <c r="AE304" i="1"/>
  <c r="BT193" i="1"/>
  <c r="BO211" i="1" s="1"/>
  <c r="AF336" i="1"/>
  <c r="AA202" i="1"/>
  <c r="AF202" i="1" s="1"/>
  <c r="AR202" i="1"/>
  <c r="O202" i="1"/>
  <c r="K202" i="1"/>
  <c r="AE70" i="1"/>
  <c r="AE68" i="1"/>
  <c r="AE200" i="1"/>
  <c r="AE201" i="1"/>
  <c r="AI126" i="1"/>
  <c r="BV60" i="1"/>
  <c r="BQ78" i="1" s="1"/>
  <c r="AG316" i="1"/>
  <c r="CT327" i="1"/>
  <c r="AK298" i="1"/>
  <c r="AF316" i="1" s="1"/>
  <c r="BR193" i="1"/>
  <c r="BM211" i="1" s="1"/>
  <c r="AJ112" i="1"/>
  <c r="S119" i="1"/>
  <c r="I128" i="1"/>
  <c r="S128" i="1" s="1"/>
  <c r="BI259" i="1"/>
  <c r="BN259" i="1" s="1"/>
  <c r="BN255" i="1"/>
  <c r="CE255" i="1" s="1"/>
  <c r="BH120" i="1"/>
  <c r="BM120" i="1" s="1"/>
  <c r="AV120" i="1"/>
  <c r="AH130" i="1"/>
  <c r="AW212" i="1"/>
  <c r="BH194" i="1"/>
  <c r="BR190" i="1"/>
  <c r="BU193" i="1"/>
  <c r="BP211" i="1" s="1"/>
  <c r="BP312" i="1"/>
  <c r="AL194" i="1"/>
  <c r="AG212" i="1" s="1"/>
  <c r="N121" i="1"/>
  <c r="S117" i="1"/>
  <c r="I126" i="1"/>
  <c r="AF76" i="1"/>
  <c r="AL62" i="1"/>
  <c r="BR112" i="1"/>
  <c r="BM130" i="1" s="1"/>
  <c r="V62" i="1"/>
  <c r="Q80" i="1" s="1"/>
  <c r="N199" i="1"/>
  <c r="J199" i="1"/>
  <c r="Z199" i="1"/>
  <c r="AE199" i="1" s="1"/>
  <c r="AQ199" i="1"/>
  <c r="BM255" i="1"/>
  <c r="CD255" i="1" s="1"/>
  <c r="BH259" i="1"/>
  <c r="BM259" i="1" s="1"/>
  <c r="AA118" i="1"/>
  <c r="AF118" i="1" s="1"/>
  <c r="AR118" i="1"/>
  <c r="O118" i="1"/>
  <c r="K118" i="1"/>
  <c r="BT62" i="1"/>
  <c r="N303" i="1"/>
  <c r="J303" i="1"/>
  <c r="Z303" i="1"/>
  <c r="AE303" i="1" s="1"/>
  <c r="AQ303" i="1"/>
  <c r="BR298" i="1"/>
  <c r="BM316" i="1" s="1"/>
  <c r="AG345" i="1"/>
  <c r="AM194" i="1"/>
  <c r="AH212" i="1" s="1"/>
  <c r="BE194" i="1"/>
  <c r="AZ212" i="1" s="1"/>
  <c r="BH62" i="1"/>
  <c r="AG130" i="1"/>
  <c r="AW76" i="1"/>
  <c r="AR67" i="1" s="1"/>
  <c r="AF130" i="1"/>
  <c r="S67" i="1"/>
  <c r="I76" i="1"/>
  <c r="AR304" i="1"/>
  <c r="K304" i="1"/>
  <c r="AA304" i="1"/>
  <c r="AF304" i="1" s="1"/>
  <c r="O304" i="1"/>
  <c r="AJ298" i="1"/>
  <c r="AE316" i="1" s="1"/>
  <c r="BI232" i="1"/>
  <c r="AE336" i="1"/>
  <c r="CT223" i="1"/>
  <c r="S202" i="1"/>
  <c r="I211" i="1"/>
  <c r="S211" i="1" s="1"/>
  <c r="BQ316" i="1"/>
  <c r="BT192" i="1"/>
  <c r="BO210" i="1" s="1"/>
  <c r="AR306" i="1"/>
  <c r="K306" i="1"/>
  <c r="AA306" i="1"/>
  <c r="AF306" i="1" s="1"/>
  <c r="O306" i="1"/>
  <c r="AR305" i="1"/>
  <c r="K305" i="1"/>
  <c r="AA305" i="1"/>
  <c r="AF305" i="1" s="1"/>
  <c r="O305" i="1"/>
  <c r="AR68" i="1"/>
  <c r="K68" i="1"/>
  <c r="AA68" i="1"/>
  <c r="AF68" i="1" s="1"/>
  <c r="O68" i="1"/>
  <c r="AA200" i="1"/>
  <c r="AF200" i="1" s="1"/>
  <c r="AR200" i="1"/>
  <c r="K200" i="1"/>
  <c r="O200" i="1"/>
  <c r="AA201" i="1"/>
  <c r="AF201" i="1" s="1"/>
  <c r="AR201" i="1"/>
  <c r="O201" i="1"/>
  <c r="K201" i="1"/>
  <c r="AI76" i="1"/>
  <c r="AI130" i="1"/>
  <c r="BK232" i="1"/>
  <c r="AF312" i="1"/>
  <c r="BU191" i="1"/>
  <c r="BP209" i="1" s="1"/>
  <c r="BD194" i="1"/>
  <c r="AY212" i="1" s="1"/>
  <c r="AZ80" i="1"/>
  <c r="BP255" i="1"/>
  <c r="CG255" i="1" s="1"/>
  <c r="BK259" i="1"/>
  <c r="BP259" i="1" s="1"/>
  <c r="AE130" i="1"/>
  <c r="AI208" i="1"/>
  <c r="BP126" i="1"/>
  <c r="N69" i="1"/>
  <c r="J69" i="1"/>
  <c r="Z69" i="1"/>
  <c r="AE69" i="1" s="1"/>
  <c r="AQ69" i="1"/>
  <c r="AH80" i="1"/>
  <c r="BH119" i="1"/>
  <c r="BM119" i="1" s="1"/>
  <c r="AV119" i="1"/>
  <c r="BJ232" i="1"/>
  <c r="AJ62" i="1"/>
  <c r="AE80" i="1" s="1"/>
  <c r="BS190" i="1"/>
  <c r="BI194" i="1"/>
  <c r="AF208" i="1"/>
  <c r="BA194" i="1"/>
  <c r="AV212" i="1" s="1"/>
  <c r="BP316" i="1"/>
  <c r="BU59" i="1"/>
  <c r="BP77" i="1" s="1"/>
  <c r="BR61" i="1"/>
  <c r="AJ194" i="1"/>
  <c r="AE212" i="1" s="1"/>
  <c r="S118" i="1"/>
  <c r="I127" i="1"/>
  <c r="S127" i="1" s="1"/>
  <c r="BJ62" i="1"/>
  <c r="S62" i="1"/>
  <c r="N80" i="1" s="1"/>
  <c r="BQ126" i="1"/>
  <c r="AK60" i="1"/>
  <c r="AF78" i="1" s="1"/>
  <c r="AA176" i="1"/>
  <c r="AK172" i="1"/>
  <c r="AK176" i="1" s="1"/>
  <c r="AH312" i="1"/>
  <c r="BS298" i="1"/>
  <c r="BN316" i="1" s="1"/>
  <c r="BM312" i="1"/>
  <c r="BT298" i="1"/>
  <c r="BO316" i="1" s="1"/>
  <c r="AH208" i="1"/>
  <c r="BJ259" i="1"/>
  <c r="BO259" i="1" s="1"/>
  <c r="BL232" i="1"/>
  <c r="BN126" i="1"/>
  <c r="BM76" i="1"/>
  <c r="BI62" i="1"/>
  <c r="BS58" i="1"/>
  <c r="BS62" i="1" s="1"/>
  <c r="Z128" i="1"/>
  <c r="AJ128" i="1" s="1"/>
  <c r="BO126" i="1"/>
  <c r="BM141" i="1"/>
  <c r="BD62" i="1"/>
  <c r="AY80" i="1" s="1"/>
  <c r="S304" i="1"/>
  <c r="I313" i="1"/>
  <c r="S313" i="1" s="1"/>
  <c r="BR191" i="1"/>
  <c r="BM209" i="1" s="1"/>
  <c r="BS191" i="1"/>
  <c r="BN209" i="1" s="1"/>
  <c r="Z314" i="1"/>
  <c r="AJ314" i="1" s="1"/>
  <c r="BJ194" i="1"/>
  <c r="BT190" i="1"/>
  <c r="BO208" i="1" s="1"/>
  <c r="BC194" i="1"/>
  <c r="AX212" i="1" s="1"/>
  <c r="AE327" i="1"/>
  <c r="AG336" i="1"/>
  <c r="S306" i="1"/>
  <c r="I315" i="1"/>
  <c r="S315" i="1" s="1"/>
  <c r="S305" i="1"/>
  <c r="I314" i="1"/>
  <c r="S314" i="1" s="1"/>
  <c r="S70" i="1"/>
  <c r="I79" i="1"/>
  <c r="S79" i="1" s="1"/>
  <c r="S68" i="1"/>
  <c r="I77" i="1"/>
  <c r="S77" i="1" s="1"/>
  <c r="S200" i="1"/>
  <c r="I209" i="1"/>
  <c r="S209" i="1" s="1"/>
  <c r="S201" i="1"/>
  <c r="I210" i="1"/>
  <c r="S210" i="1" s="1"/>
  <c r="Z315" i="1" l="1"/>
  <c r="AJ315" i="1" s="1"/>
  <c r="BV62" i="1"/>
  <c r="BQ80" i="1" s="1"/>
  <c r="Z129" i="1"/>
  <c r="AJ129" i="1" s="1"/>
  <c r="BQ77" i="1"/>
  <c r="BR62" i="1"/>
  <c r="BN80" i="1"/>
  <c r="BM79" i="1"/>
  <c r="BS194" i="1"/>
  <c r="BN212" i="1" s="1"/>
  <c r="BO80" i="1"/>
  <c r="BM201" i="1"/>
  <c r="BH69" i="1"/>
  <c r="BM69" i="1" s="1"/>
  <c r="AV69" i="1"/>
  <c r="AV71" i="1" s="1"/>
  <c r="AK201" i="1"/>
  <c r="AA210" i="1"/>
  <c r="AK210" i="1" s="1"/>
  <c r="AK200" i="1"/>
  <c r="AA209" i="1"/>
  <c r="AK209" i="1" s="1"/>
  <c r="AW68" i="1"/>
  <c r="BI68" i="1"/>
  <c r="BN68" i="1" s="1"/>
  <c r="BI305" i="1"/>
  <c r="BN305" i="1" s="1"/>
  <c r="AW305" i="1"/>
  <c r="BI306" i="1"/>
  <c r="BN306" i="1" s="1"/>
  <c r="AW306" i="1"/>
  <c r="AB304" i="1"/>
  <c r="AG304" i="1" s="1"/>
  <c r="P304" i="1"/>
  <c r="L304" i="1"/>
  <c r="AS304" i="1"/>
  <c r="BH303" i="1"/>
  <c r="BM303" i="1" s="1"/>
  <c r="AV303" i="1"/>
  <c r="AW118" i="1"/>
  <c r="BI118" i="1"/>
  <c r="BN118" i="1" s="1"/>
  <c r="N203" i="1"/>
  <c r="S199" i="1"/>
  <c r="S203" i="1" s="1"/>
  <c r="I208" i="1"/>
  <c r="S126" i="1"/>
  <c r="I130" i="1"/>
  <c r="S130" i="1" s="1"/>
  <c r="BR194" i="1"/>
  <c r="BR120" i="1"/>
  <c r="BH129" i="1"/>
  <c r="AJ201" i="1"/>
  <c r="Z210" i="1"/>
  <c r="AJ210" i="1" s="1"/>
  <c r="AB202" i="1"/>
  <c r="AG202" i="1" s="1"/>
  <c r="AS202" i="1"/>
  <c r="P202" i="1"/>
  <c r="L202" i="1"/>
  <c r="AJ304" i="1"/>
  <c r="Z313" i="1"/>
  <c r="AJ313" i="1" s="1"/>
  <c r="AW67" i="1"/>
  <c r="BI67" i="1"/>
  <c r="BN67" i="1" s="1"/>
  <c r="AJ118" i="1"/>
  <c r="Z127" i="1"/>
  <c r="AJ127" i="1" s="1"/>
  <c r="AK119" i="1"/>
  <c r="AA128" i="1"/>
  <c r="AK128" i="1" s="1"/>
  <c r="BA305" i="1"/>
  <c r="AQ314" i="1"/>
  <c r="BA314" i="1" s="1"/>
  <c r="BR304" i="1"/>
  <c r="BH313" i="1"/>
  <c r="BU62" i="1"/>
  <c r="BP80" i="1" s="1"/>
  <c r="AK120" i="1"/>
  <c r="AA129" i="1"/>
  <c r="AK129" i="1" s="1"/>
  <c r="BM200" i="1"/>
  <c r="AF121" i="1"/>
  <c r="AK117" i="1"/>
  <c r="AA126" i="1"/>
  <c r="AK70" i="1"/>
  <c r="AA79" i="1"/>
  <c r="AK79" i="1" s="1"/>
  <c r="BM70" i="1"/>
  <c r="BM202" i="1"/>
  <c r="BA119" i="1"/>
  <c r="AQ128" i="1"/>
  <c r="BA128" i="1" s="1"/>
  <c r="AJ69" i="1"/>
  <c r="Z78" i="1"/>
  <c r="AJ78" i="1" s="1"/>
  <c r="AB201" i="1"/>
  <c r="AG201" i="1" s="1"/>
  <c r="AS201" i="1"/>
  <c r="P201" i="1"/>
  <c r="L201" i="1"/>
  <c r="T200" i="1"/>
  <c r="J209" i="1"/>
  <c r="T209" i="1" s="1"/>
  <c r="T68" i="1"/>
  <c r="J77" i="1"/>
  <c r="T77" i="1" s="1"/>
  <c r="T305" i="1"/>
  <c r="J314" i="1"/>
  <c r="T314" i="1" s="1"/>
  <c r="T306" i="1"/>
  <c r="J315" i="1"/>
  <c r="T315" i="1" s="1"/>
  <c r="BI304" i="1"/>
  <c r="BN304" i="1" s="1"/>
  <c r="AW304" i="1"/>
  <c r="AE307" i="1"/>
  <c r="AJ303" i="1"/>
  <c r="Z312" i="1"/>
  <c r="AK118" i="1"/>
  <c r="AA127" i="1"/>
  <c r="AK127" i="1" s="1"/>
  <c r="BH199" i="1"/>
  <c r="BM199" i="1" s="1"/>
  <c r="AV199" i="1"/>
  <c r="S121" i="1"/>
  <c r="AJ200" i="1"/>
  <c r="Z209" i="1"/>
  <c r="AJ209" i="1" s="1"/>
  <c r="T202" i="1"/>
  <c r="J211" i="1"/>
  <c r="T211" i="1" s="1"/>
  <c r="T67" i="1"/>
  <c r="J76" i="1"/>
  <c r="AB119" i="1"/>
  <c r="AG119" i="1" s="1"/>
  <c r="AS119" i="1"/>
  <c r="P119" i="1"/>
  <c r="L119" i="1"/>
  <c r="BR305" i="1"/>
  <c r="BH314" i="1"/>
  <c r="AJ202" i="1"/>
  <c r="Z211" i="1"/>
  <c r="AJ211" i="1" s="1"/>
  <c r="AG80" i="1"/>
  <c r="AB120" i="1"/>
  <c r="AG120" i="1" s="1"/>
  <c r="AS120" i="1"/>
  <c r="P120" i="1"/>
  <c r="L120" i="1"/>
  <c r="BA201" i="1"/>
  <c r="AQ210" i="1"/>
  <c r="BA210" i="1" s="1"/>
  <c r="AB117" i="1"/>
  <c r="AG117" i="1" s="1"/>
  <c r="AS117" i="1"/>
  <c r="P117" i="1"/>
  <c r="L117" i="1"/>
  <c r="BA68" i="1"/>
  <c r="AQ77" i="1"/>
  <c r="BA77" i="1" s="1"/>
  <c r="AB70" i="1"/>
  <c r="AG70" i="1" s="1"/>
  <c r="L70" i="1"/>
  <c r="P70" i="1"/>
  <c r="AS70" i="1"/>
  <c r="BA67" i="1"/>
  <c r="AQ76" i="1"/>
  <c r="BR119" i="1"/>
  <c r="BH128" i="1"/>
  <c r="AR69" i="1"/>
  <c r="K69" i="1"/>
  <c r="AA69" i="1"/>
  <c r="AF69" i="1" s="1"/>
  <c r="AF71" i="1" s="1"/>
  <c r="O69" i="1"/>
  <c r="T201" i="1"/>
  <c r="J210" i="1"/>
  <c r="T210" i="1" s="1"/>
  <c r="AB200" i="1"/>
  <c r="AG200" i="1" s="1"/>
  <c r="AS200" i="1"/>
  <c r="P200" i="1"/>
  <c r="L200" i="1"/>
  <c r="AK68" i="1"/>
  <c r="AA77" i="1"/>
  <c r="AK77" i="1" s="1"/>
  <c r="AK305" i="1"/>
  <c r="AA314" i="1"/>
  <c r="AK314" i="1" s="1"/>
  <c r="AK306" i="1"/>
  <c r="AA315" i="1"/>
  <c r="AK315" i="1" s="1"/>
  <c r="T304" i="1"/>
  <c r="J313" i="1"/>
  <c r="T313" i="1" s="1"/>
  <c r="S76" i="1"/>
  <c r="BM80" i="1"/>
  <c r="AR303" i="1"/>
  <c r="K303" i="1"/>
  <c r="AA303" i="1"/>
  <c r="AF303" i="1" s="1"/>
  <c r="O303" i="1"/>
  <c r="AB118" i="1"/>
  <c r="AG118" i="1" s="1"/>
  <c r="AS118" i="1"/>
  <c r="P118" i="1"/>
  <c r="L118" i="1"/>
  <c r="AJ199" i="1"/>
  <c r="AE203" i="1"/>
  <c r="Z208" i="1"/>
  <c r="BM208" i="1"/>
  <c r="AJ68" i="1"/>
  <c r="Z77" i="1"/>
  <c r="AJ77" i="1" s="1"/>
  <c r="AW202" i="1"/>
  <c r="BI202" i="1"/>
  <c r="BN202" i="1" s="1"/>
  <c r="AI77" i="1"/>
  <c r="AK67" i="1"/>
  <c r="AA76" i="1"/>
  <c r="T119" i="1"/>
  <c r="J128" i="1"/>
  <c r="T128" i="1" s="1"/>
  <c r="BA306" i="1"/>
  <c r="AQ315" i="1"/>
  <c r="BA315" i="1" s="1"/>
  <c r="AJ67" i="1"/>
  <c r="AE71" i="1"/>
  <c r="Z76" i="1"/>
  <c r="BA118" i="1"/>
  <c r="AQ127" i="1"/>
  <c r="BA127" i="1" s="1"/>
  <c r="AK62" i="1"/>
  <c r="AF80" i="1" s="1"/>
  <c r="T120" i="1"/>
  <c r="J129" i="1"/>
  <c r="T129" i="1" s="1"/>
  <c r="O121" i="1"/>
  <c r="T117" i="1"/>
  <c r="J126" i="1"/>
  <c r="BM68" i="1"/>
  <c r="AW70" i="1"/>
  <c r="BI70" i="1"/>
  <c r="BN70" i="1" s="1"/>
  <c r="BR67" i="1"/>
  <c r="BH76" i="1"/>
  <c r="AV121" i="1"/>
  <c r="BA117" i="1"/>
  <c r="AQ126" i="1"/>
  <c r="BT194" i="1"/>
  <c r="BO212" i="1" s="1"/>
  <c r="BN76" i="1"/>
  <c r="BN208" i="1"/>
  <c r="S69" i="1"/>
  <c r="S71" i="1" s="1"/>
  <c r="I78" i="1"/>
  <c r="S78" i="1" s="1"/>
  <c r="AW201" i="1"/>
  <c r="BI201" i="1"/>
  <c r="BN201" i="1" s="1"/>
  <c r="AW200" i="1"/>
  <c r="BI200" i="1"/>
  <c r="BN200" i="1" s="1"/>
  <c r="AB68" i="1"/>
  <c r="AG68" i="1" s="1"/>
  <c r="L68" i="1"/>
  <c r="P68" i="1"/>
  <c r="AS68" i="1"/>
  <c r="AB305" i="1"/>
  <c r="AG305" i="1" s="1"/>
  <c r="P305" i="1"/>
  <c r="L305" i="1"/>
  <c r="AS305" i="1"/>
  <c r="AB306" i="1"/>
  <c r="AG306" i="1" s="1"/>
  <c r="P306" i="1"/>
  <c r="L306" i="1"/>
  <c r="AS306" i="1"/>
  <c r="AK304" i="1"/>
  <c r="AA313" i="1"/>
  <c r="AK313" i="1" s="1"/>
  <c r="N71" i="1"/>
  <c r="N307" i="1"/>
  <c r="S303" i="1"/>
  <c r="S307" i="1" s="1"/>
  <c r="I312" i="1"/>
  <c r="T118" i="1"/>
  <c r="J127" i="1"/>
  <c r="T127" i="1" s="1"/>
  <c r="AA199" i="1"/>
  <c r="AF199" i="1" s="1"/>
  <c r="AR199" i="1"/>
  <c r="O199" i="1"/>
  <c r="K199" i="1"/>
  <c r="BM212" i="1"/>
  <c r="BA120" i="1"/>
  <c r="AQ129" i="1"/>
  <c r="BA129" i="1" s="1"/>
  <c r="AJ70" i="1"/>
  <c r="Z79" i="1"/>
  <c r="AJ79" i="1" s="1"/>
  <c r="AK202" i="1"/>
  <c r="AA211" i="1"/>
  <c r="AK211" i="1" s="1"/>
  <c r="AB67" i="1"/>
  <c r="AG67" i="1" s="1"/>
  <c r="L67" i="1"/>
  <c r="P67" i="1"/>
  <c r="AS67" i="1"/>
  <c r="AW119" i="1"/>
  <c r="BI119" i="1"/>
  <c r="BN119" i="1" s="1"/>
  <c r="BR306" i="1"/>
  <c r="BH315" i="1"/>
  <c r="BA304" i="1"/>
  <c r="AQ313" i="1"/>
  <c r="BA313" i="1" s="1"/>
  <c r="BP76" i="1"/>
  <c r="BV194" i="1"/>
  <c r="BQ212" i="1" s="1"/>
  <c r="BR118" i="1"/>
  <c r="BH127" i="1"/>
  <c r="AJ117" i="1"/>
  <c r="AE121" i="1"/>
  <c r="Z126" i="1"/>
  <c r="AW120" i="1"/>
  <c r="BI120" i="1"/>
  <c r="BN120" i="1" s="1"/>
  <c r="BU194" i="1"/>
  <c r="BP212" i="1" s="1"/>
  <c r="BA200" i="1"/>
  <c r="AQ209" i="1"/>
  <c r="BA209" i="1" s="1"/>
  <c r="AW117" i="1"/>
  <c r="BI117" i="1"/>
  <c r="BN117" i="1" s="1"/>
  <c r="T70" i="1"/>
  <c r="J79" i="1"/>
  <c r="T79" i="1" s="1"/>
  <c r="BA70" i="1"/>
  <c r="AQ79" i="1"/>
  <c r="BA79" i="1" s="1"/>
  <c r="BA202" i="1"/>
  <c r="AQ211" i="1"/>
  <c r="BA211" i="1" s="1"/>
  <c r="BR117" i="1"/>
  <c r="BM121" i="1"/>
  <c r="BH126" i="1"/>
  <c r="BM71" i="1" l="1"/>
  <c r="T121" i="1"/>
  <c r="AJ71" i="1"/>
  <c r="I80" i="1"/>
  <c r="S80" i="1" s="1"/>
  <c r="BR201" i="1"/>
  <c r="BH210" i="1"/>
  <c r="AJ121" i="1"/>
  <c r="BR121" i="1"/>
  <c r="AW121" i="1"/>
  <c r="BB117" i="1"/>
  <c r="AR126" i="1"/>
  <c r="BS120" i="1"/>
  <c r="BI129" i="1"/>
  <c r="BR315" i="1"/>
  <c r="BY297" i="1"/>
  <c r="AX67" i="1"/>
  <c r="BJ67" i="1"/>
  <c r="BO67" i="1" s="1"/>
  <c r="O203" i="1"/>
  <c r="T199" i="1"/>
  <c r="T203" i="1" s="1"/>
  <c r="J208" i="1"/>
  <c r="AX306" i="1"/>
  <c r="BJ306" i="1"/>
  <c r="BO306" i="1" s="1"/>
  <c r="AX305" i="1"/>
  <c r="BJ305" i="1"/>
  <c r="BO305" i="1" s="1"/>
  <c r="AX68" i="1"/>
  <c r="BJ68" i="1"/>
  <c r="BO68" i="1" s="1"/>
  <c r="BS200" i="1"/>
  <c r="BI209" i="1"/>
  <c r="AQ130" i="1"/>
  <c r="BA130" i="1" s="1"/>
  <c r="BA126" i="1"/>
  <c r="BR68" i="1"/>
  <c r="BH77" i="1"/>
  <c r="AJ203" i="1"/>
  <c r="AL118" i="1"/>
  <c r="AB127" i="1"/>
  <c r="AL127" i="1" s="1"/>
  <c r="BI303" i="1"/>
  <c r="BN303" i="1" s="1"/>
  <c r="AW303" i="1"/>
  <c r="AT200" i="1"/>
  <c r="Q200" i="1"/>
  <c r="M200" i="1"/>
  <c r="AC200" i="1"/>
  <c r="AH200" i="1" s="1"/>
  <c r="AB69" i="1"/>
  <c r="AG69" i="1" s="1"/>
  <c r="AG71" i="1" s="1"/>
  <c r="L69" i="1"/>
  <c r="P69" i="1"/>
  <c r="AS69" i="1"/>
  <c r="BA76" i="1"/>
  <c r="U70" i="1"/>
  <c r="K79" i="1"/>
  <c r="U79" i="1" s="1"/>
  <c r="AG121" i="1"/>
  <c r="AL117" i="1"/>
  <c r="AB126" i="1"/>
  <c r="U120" i="1"/>
  <c r="K129" i="1"/>
  <c r="U129" i="1" s="1"/>
  <c r="AL119" i="1"/>
  <c r="AB128" i="1"/>
  <c r="AL128" i="1" s="1"/>
  <c r="U201" i="1"/>
  <c r="K210" i="1"/>
  <c r="U210" i="1" s="1"/>
  <c r="BR202" i="1"/>
  <c r="BH211" i="1"/>
  <c r="AK126" i="1"/>
  <c r="AA130" i="1"/>
  <c r="AK130" i="1" s="1"/>
  <c r="AX202" i="1"/>
  <c r="BJ202" i="1"/>
  <c r="BO202" i="1" s="1"/>
  <c r="BY111" i="1"/>
  <c r="BR129" i="1"/>
  <c r="BM307" i="1"/>
  <c r="BR303" i="1"/>
  <c r="BH312" i="1"/>
  <c r="U304" i="1"/>
  <c r="K313" i="1"/>
  <c r="U313" i="1" s="1"/>
  <c r="BB305" i="1"/>
  <c r="AR314" i="1"/>
  <c r="BB314" i="1" s="1"/>
  <c r="BR127" i="1"/>
  <c r="BY109" i="1"/>
  <c r="S312" i="1"/>
  <c r="I316" i="1"/>
  <c r="S316" i="1" s="1"/>
  <c r="AT306" i="1"/>
  <c r="AC306" i="1"/>
  <c r="AH306" i="1" s="1"/>
  <c r="Q306" i="1"/>
  <c r="M306" i="1"/>
  <c r="AT305" i="1"/>
  <c r="AC305" i="1"/>
  <c r="AH305" i="1" s="1"/>
  <c r="Q305" i="1"/>
  <c r="M305" i="1"/>
  <c r="U68" i="1"/>
  <c r="K77" i="1"/>
  <c r="U77" i="1" s="1"/>
  <c r="BB200" i="1"/>
  <c r="AR209" i="1"/>
  <c r="BB209" i="1" s="1"/>
  <c r="BA121" i="1"/>
  <c r="T126" i="1"/>
  <c r="J130" i="1"/>
  <c r="T130" i="1" s="1"/>
  <c r="AK76" i="1"/>
  <c r="BS202" i="1"/>
  <c r="BI211" i="1"/>
  <c r="AT118" i="1"/>
  <c r="Q118" i="1"/>
  <c r="M118" i="1"/>
  <c r="AC118" i="1"/>
  <c r="AH118" i="1" s="1"/>
  <c r="T303" i="1"/>
  <c r="T307" i="1" s="1"/>
  <c r="O307" i="1"/>
  <c r="J312" i="1"/>
  <c r="U200" i="1"/>
  <c r="K209" i="1"/>
  <c r="U209" i="1" s="1"/>
  <c r="AW69" i="1"/>
  <c r="AW71" i="1" s="1"/>
  <c r="BI69" i="1"/>
  <c r="BN69" i="1" s="1"/>
  <c r="BN71" i="1" s="1"/>
  <c r="AT70" i="1"/>
  <c r="M70" i="1"/>
  <c r="Q70" i="1"/>
  <c r="AC70" i="1"/>
  <c r="AH70" i="1" s="1"/>
  <c r="AT117" i="1"/>
  <c r="Q117" i="1"/>
  <c r="M117" i="1"/>
  <c r="AC117" i="1"/>
  <c r="AH117" i="1" s="1"/>
  <c r="AX120" i="1"/>
  <c r="BJ120" i="1"/>
  <c r="BO120" i="1" s="1"/>
  <c r="AT119" i="1"/>
  <c r="Q119" i="1"/>
  <c r="M119" i="1"/>
  <c r="AC119" i="1"/>
  <c r="AH119" i="1" s="1"/>
  <c r="T76" i="1"/>
  <c r="BB304" i="1"/>
  <c r="AR313" i="1"/>
  <c r="BB313" i="1" s="1"/>
  <c r="AX201" i="1"/>
  <c r="BJ201" i="1"/>
  <c r="BO201" i="1" s="1"/>
  <c r="BR70" i="1"/>
  <c r="BH79" i="1"/>
  <c r="AK121" i="1"/>
  <c r="AL202" i="1"/>
  <c r="AB211" i="1"/>
  <c r="AL211" i="1" s="1"/>
  <c r="S208" i="1"/>
  <c r="I212" i="1"/>
  <c r="S212" i="1" s="1"/>
  <c r="BS118" i="1"/>
  <c r="BI127" i="1"/>
  <c r="AL304" i="1"/>
  <c r="AB313" i="1"/>
  <c r="AL313" i="1" s="1"/>
  <c r="BS305" i="1"/>
  <c r="BI314" i="1"/>
  <c r="BA69" i="1"/>
  <c r="BA71" i="1" s="1"/>
  <c r="AQ78" i="1"/>
  <c r="BA78" i="1" s="1"/>
  <c r="P71" i="1"/>
  <c r="U67" i="1"/>
  <c r="K76" i="1"/>
  <c r="BR126" i="1"/>
  <c r="BH130" i="1"/>
  <c r="BR130" i="1" s="1"/>
  <c r="BY108" i="1"/>
  <c r="AT67" i="1"/>
  <c r="M67" i="1"/>
  <c r="Q67" i="1"/>
  <c r="AC67" i="1"/>
  <c r="AH67" i="1" s="1"/>
  <c r="AT68" i="1"/>
  <c r="M68" i="1"/>
  <c r="Q68" i="1"/>
  <c r="AC68" i="1"/>
  <c r="AH68" i="1" s="1"/>
  <c r="Z80" i="1"/>
  <c r="AJ80" i="1" s="1"/>
  <c r="AJ76" i="1"/>
  <c r="BB202" i="1"/>
  <c r="AR211" i="1"/>
  <c r="BB211" i="1" s="1"/>
  <c r="AF307" i="1"/>
  <c r="AK303" i="1"/>
  <c r="AK307" i="1" s="1"/>
  <c r="AA312" i="1"/>
  <c r="AX200" i="1"/>
  <c r="BJ200" i="1"/>
  <c r="BO200" i="1" s="1"/>
  <c r="AL70" i="1"/>
  <c r="AB79" i="1"/>
  <c r="AL79" i="1" s="1"/>
  <c r="AL120" i="1"/>
  <c r="AB129" i="1"/>
  <c r="AL129" i="1" s="1"/>
  <c r="AV203" i="1"/>
  <c r="BA199" i="1"/>
  <c r="BA203" i="1" s="1"/>
  <c r="AQ208" i="1"/>
  <c r="AJ312" i="1"/>
  <c r="Z316" i="1"/>
  <c r="AJ316" i="1" s="1"/>
  <c r="BS304" i="1"/>
  <c r="BI313" i="1"/>
  <c r="AL201" i="1"/>
  <c r="AB210" i="1"/>
  <c r="AL210" i="1" s="1"/>
  <c r="BS67" i="1"/>
  <c r="BI76" i="1"/>
  <c r="AT202" i="1"/>
  <c r="Q202" i="1"/>
  <c r="M202" i="1"/>
  <c r="AC202" i="1"/>
  <c r="AH202" i="1" s="1"/>
  <c r="BB118" i="1"/>
  <c r="AR127" i="1"/>
  <c r="BB127" i="1" s="1"/>
  <c r="AX304" i="1"/>
  <c r="BJ304" i="1"/>
  <c r="BO304" i="1" s="1"/>
  <c r="BB306" i="1"/>
  <c r="AR315" i="1"/>
  <c r="BB315" i="1" s="1"/>
  <c r="BS68" i="1"/>
  <c r="BI77" i="1"/>
  <c r="BR69" i="1"/>
  <c r="BH78" i="1"/>
  <c r="BB120" i="1"/>
  <c r="AR129" i="1"/>
  <c r="BB129" i="1" s="1"/>
  <c r="AW199" i="1"/>
  <c r="BI199" i="1"/>
  <c r="BN199" i="1" s="1"/>
  <c r="Z130" i="1"/>
  <c r="AJ130" i="1" s="1"/>
  <c r="AJ126" i="1"/>
  <c r="BS119" i="1"/>
  <c r="BI128" i="1"/>
  <c r="AF203" i="1"/>
  <c r="AK199" i="1"/>
  <c r="AK203" i="1" s="1"/>
  <c r="AA208" i="1"/>
  <c r="U306" i="1"/>
  <c r="K315" i="1"/>
  <c r="U315" i="1" s="1"/>
  <c r="U305" i="1"/>
  <c r="K314" i="1"/>
  <c r="U314" i="1" s="1"/>
  <c r="BS201" i="1"/>
  <c r="BI210" i="1"/>
  <c r="BS70" i="1"/>
  <c r="BI79" i="1"/>
  <c r="Z212" i="1"/>
  <c r="AJ212" i="1" s="1"/>
  <c r="AJ208" i="1"/>
  <c r="U118" i="1"/>
  <c r="K127" i="1"/>
  <c r="U127" i="1" s="1"/>
  <c r="T69" i="1"/>
  <c r="T71" i="1" s="1"/>
  <c r="J78" i="1"/>
  <c r="T78" i="1" s="1"/>
  <c r="BR128" i="1"/>
  <c r="BY110" i="1"/>
  <c r="U117" i="1"/>
  <c r="P121" i="1"/>
  <c r="K126" i="1"/>
  <c r="BY296" i="1"/>
  <c r="BR314" i="1"/>
  <c r="U119" i="1"/>
  <c r="K128" i="1"/>
  <c r="U128" i="1" s="1"/>
  <c r="BR313" i="1"/>
  <c r="BY295" i="1"/>
  <c r="BS117" i="1"/>
  <c r="BN121" i="1"/>
  <c r="BI126" i="1"/>
  <c r="BB119" i="1"/>
  <c r="AR128" i="1"/>
  <c r="BB128" i="1" s="1"/>
  <c r="AL67" i="1"/>
  <c r="AB76" i="1"/>
  <c r="AB199" i="1"/>
  <c r="AG199" i="1" s="1"/>
  <c r="AS199" i="1"/>
  <c r="P199" i="1"/>
  <c r="L199" i="1"/>
  <c r="AL306" i="1"/>
  <c r="AB315" i="1"/>
  <c r="AL315" i="1" s="1"/>
  <c r="AL305" i="1"/>
  <c r="AB314" i="1"/>
  <c r="AL314" i="1" s="1"/>
  <c r="AL68" i="1"/>
  <c r="AB77" i="1"/>
  <c r="AL77" i="1" s="1"/>
  <c r="BB201" i="1"/>
  <c r="AR210" i="1"/>
  <c r="BB210" i="1" s="1"/>
  <c r="BR76" i="1"/>
  <c r="BY58" i="1"/>
  <c r="BB70" i="1"/>
  <c r="AR79" i="1"/>
  <c r="BB79" i="1" s="1"/>
  <c r="AX118" i="1"/>
  <c r="BJ118" i="1"/>
  <c r="BO118" i="1" s="1"/>
  <c r="AB303" i="1"/>
  <c r="AG303" i="1" s="1"/>
  <c r="P303" i="1"/>
  <c r="L303" i="1"/>
  <c r="AS303" i="1"/>
  <c r="AL200" i="1"/>
  <c r="AB209" i="1"/>
  <c r="AL209" i="1" s="1"/>
  <c r="AK69" i="1"/>
  <c r="AK71" i="1" s="1"/>
  <c r="AA78" i="1"/>
  <c r="AK78" i="1" s="1"/>
  <c r="AX70" i="1"/>
  <c r="BJ70" i="1"/>
  <c r="BO70" i="1" s="1"/>
  <c r="AX117" i="1"/>
  <c r="BJ117" i="1"/>
  <c r="BO117" i="1" s="1"/>
  <c r="AT120" i="1"/>
  <c r="Q120" i="1"/>
  <c r="M120" i="1"/>
  <c r="AC120" i="1"/>
  <c r="AH120" i="1" s="1"/>
  <c r="AX119" i="1"/>
  <c r="BJ119" i="1"/>
  <c r="BO119" i="1" s="1"/>
  <c r="O71" i="1"/>
  <c r="BR199" i="1"/>
  <c r="BM203" i="1"/>
  <c r="BH208" i="1"/>
  <c r="AJ307" i="1"/>
  <c r="AT201" i="1"/>
  <c r="Q201" i="1"/>
  <c r="M201" i="1"/>
  <c r="AC201" i="1"/>
  <c r="AH201" i="1" s="1"/>
  <c r="BR200" i="1"/>
  <c r="BH209" i="1"/>
  <c r="BB67" i="1"/>
  <c r="AR76" i="1"/>
  <c r="U202" i="1"/>
  <c r="K211" i="1"/>
  <c r="U211" i="1" s="1"/>
  <c r="AV307" i="1"/>
  <c r="BA303" i="1"/>
  <c r="BA307" i="1" s="1"/>
  <c r="AQ312" i="1"/>
  <c r="AT304" i="1"/>
  <c r="AC304" i="1"/>
  <c r="AH304" i="1" s="1"/>
  <c r="Q304" i="1"/>
  <c r="M304" i="1"/>
  <c r="BS306" i="1"/>
  <c r="BI315" i="1"/>
  <c r="BB68" i="1"/>
  <c r="AR77" i="1"/>
  <c r="BB77" i="1" s="1"/>
  <c r="BH80" i="1" l="1"/>
  <c r="BR80" i="1" s="1"/>
  <c r="U121" i="1"/>
  <c r="BR71" i="1"/>
  <c r="BR210" i="1"/>
  <c r="BY192" i="1"/>
  <c r="BR203" i="1"/>
  <c r="V120" i="1"/>
  <c r="L129" i="1"/>
  <c r="V129" i="1" s="1"/>
  <c r="AX303" i="1"/>
  <c r="BJ303" i="1"/>
  <c r="BO303" i="1" s="1"/>
  <c r="BY342" i="1"/>
  <c r="V304" i="1"/>
  <c r="L313" i="1"/>
  <c r="V313" i="1" s="1"/>
  <c r="BB76" i="1"/>
  <c r="R201" i="1"/>
  <c r="AD201" i="1"/>
  <c r="AI201" i="1" s="1"/>
  <c r="AU201" i="1"/>
  <c r="BR208" i="1"/>
  <c r="BH212" i="1"/>
  <c r="BR212" i="1" s="1"/>
  <c r="BY190" i="1"/>
  <c r="BT119" i="1"/>
  <c r="BJ128" i="1"/>
  <c r="AM120" i="1"/>
  <c r="AC129" i="1"/>
  <c r="AM129" i="1" s="1"/>
  <c r="BT117" i="1"/>
  <c r="BO121" i="1"/>
  <c r="BJ126" i="1"/>
  <c r="P307" i="1"/>
  <c r="U303" i="1"/>
  <c r="U307" i="1" s="1"/>
  <c r="K312" i="1"/>
  <c r="AX199" i="1"/>
  <c r="BJ199" i="1"/>
  <c r="BO199" i="1" s="1"/>
  <c r="K130" i="1"/>
  <c r="U130" i="1" s="1"/>
  <c r="U126" i="1"/>
  <c r="BS77" i="1"/>
  <c r="BZ59" i="1"/>
  <c r="BT304" i="1"/>
  <c r="BJ313" i="1"/>
  <c r="AM202" i="1"/>
  <c r="AC211" i="1"/>
  <c r="AM211" i="1" s="1"/>
  <c r="BS76" i="1"/>
  <c r="BZ58" i="1"/>
  <c r="R68" i="1"/>
  <c r="AD68" i="1"/>
  <c r="AI68" i="1" s="1"/>
  <c r="AU68" i="1"/>
  <c r="R67" i="1"/>
  <c r="AD67" i="1"/>
  <c r="AI67" i="1" s="1"/>
  <c r="AU67" i="1"/>
  <c r="BY112" i="1"/>
  <c r="BY137" i="1"/>
  <c r="BS314" i="1"/>
  <c r="BZ296" i="1"/>
  <c r="BS127" i="1"/>
  <c r="BZ109" i="1"/>
  <c r="BC201" i="1"/>
  <c r="AS210" i="1"/>
  <c r="BC210" i="1" s="1"/>
  <c r="BK119" i="1"/>
  <c r="BP119" i="1" s="1"/>
  <c r="AY119" i="1"/>
  <c r="R117" i="1"/>
  <c r="AD117" i="1"/>
  <c r="AI117" i="1" s="1"/>
  <c r="AU117" i="1"/>
  <c r="V70" i="1"/>
  <c r="L79" i="1"/>
  <c r="V79" i="1" s="1"/>
  <c r="BS69" i="1"/>
  <c r="BI78" i="1"/>
  <c r="BI80" i="1" s="1"/>
  <c r="BS80" i="1" s="1"/>
  <c r="J316" i="1"/>
  <c r="T316" i="1" s="1"/>
  <c r="T312" i="1"/>
  <c r="R118" i="1"/>
  <c r="AD118" i="1"/>
  <c r="AI118" i="1" s="1"/>
  <c r="AU118" i="1"/>
  <c r="AM305" i="1"/>
  <c r="AC314" i="1"/>
  <c r="AM314" i="1" s="1"/>
  <c r="AM306" i="1"/>
  <c r="AC315" i="1"/>
  <c r="AM315" i="1" s="1"/>
  <c r="BH316" i="1"/>
  <c r="BR316" i="1" s="1"/>
  <c r="BR312" i="1"/>
  <c r="BY294" i="1"/>
  <c r="BY140" i="1"/>
  <c r="AX69" i="1"/>
  <c r="BJ69" i="1"/>
  <c r="BO69" i="1" s="1"/>
  <c r="BO71" i="1" s="1"/>
  <c r="AM200" i="1"/>
  <c r="AC209" i="1"/>
  <c r="AM209" i="1" s="1"/>
  <c r="AW307" i="1"/>
  <c r="BB303" i="1"/>
  <c r="BB307" i="1" s="1"/>
  <c r="AR312" i="1"/>
  <c r="BC68" i="1"/>
  <c r="AS77" i="1"/>
  <c r="BC77" i="1" s="1"/>
  <c r="BC306" i="1"/>
  <c r="AS315" i="1"/>
  <c r="BC315" i="1" s="1"/>
  <c r="BT67" i="1"/>
  <c r="BJ76" i="1"/>
  <c r="BZ111" i="1"/>
  <c r="BS129" i="1"/>
  <c r="BZ297" i="1"/>
  <c r="BS315" i="1"/>
  <c r="AM304" i="1"/>
  <c r="AC313" i="1"/>
  <c r="AM313" i="1" s="1"/>
  <c r="BY191" i="1"/>
  <c r="BR209" i="1"/>
  <c r="V201" i="1"/>
  <c r="L210" i="1"/>
  <c r="V210" i="1" s="1"/>
  <c r="BC119" i="1"/>
  <c r="AS128" i="1"/>
  <c r="BC128" i="1" s="1"/>
  <c r="R120" i="1"/>
  <c r="AD120" i="1"/>
  <c r="AI120" i="1" s="1"/>
  <c r="AU120" i="1"/>
  <c r="BC117" i="1"/>
  <c r="AX121" i="1"/>
  <c r="AS126" i="1"/>
  <c r="AL303" i="1"/>
  <c r="AL307" i="1" s="1"/>
  <c r="AG307" i="1"/>
  <c r="AB312" i="1"/>
  <c r="AG203" i="1"/>
  <c r="AL199" i="1"/>
  <c r="AL203" i="1" s="1"/>
  <c r="AB208" i="1"/>
  <c r="BS121" i="1"/>
  <c r="BZ192" i="1"/>
  <c r="BS210" i="1"/>
  <c r="BC304" i="1"/>
  <c r="AS313" i="1"/>
  <c r="BC313" i="1" s="1"/>
  <c r="R202" i="1"/>
  <c r="AD202" i="1"/>
  <c r="AI202" i="1" s="1"/>
  <c r="AU202" i="1"/>
  <c r="BS71" i="1"/>
  <c r="BS313" i="1"/>
  <c r="BZ295" i="1"/>
  <c r="AQ212" i="1"/>
  <c r="BA212" i="1" s="1"/>
  <c r="BA208" i="1"/>
  <c r="BT200" i="1"/>
  <c r="BJ209" i="1"/>
  <c r="BK68" i="1"/>
  <c r="BP68" i="1" s="1"/>
  <c r="AY68" i="1"/>
  <c r="BK67" i="1"/>
  <c r="BP67" i="1" s="1"/>
  <c r="AY67" i="1"/>
  <c r="BY61" i="1"/>
  <c r="BR79" i="1"/>
  <c r="AM119" i="1"/>
  <c r="AC128" i="1"/>
  <c r="AM128" i="1" s="1"/>
  <c r="BT120" i="1"/>
  <c r="BJ129" i="1"/>
  <c r="V117" i="1"/>
  <c r="Q121" i="1"/>
  <c r="L126" i="1"/>
  <c r="R70" i="1"/>
  <c r="AD70" i="1"/>
  <c r="AI70" i="1" s="1"/>
  <c r="AU70" i="1"/>
  <c r="BB69" i="1"/>
  <c r="BB71" i="1" s="1"/>
  <c r="AR78" i="1"/>
  <c r="BB78" i="1" s="1"/>
  <c r="V118" i="1"/>
  <c r="L127" i="1"/>
  <c r="V127" i="1" s="1"/>
  <c r="AA80" i="1"/>
  <c r="AK80" i="1" s="1"/>
  <c r="BK305" i="1"/>
  <c r="BP305" i="1" s="1"/>
  <c r="AY305" i="1"/>
  <c r="BK306" i="1"/>
  <c r="BP306" i="1" s="1"/>
  <c r="AY306" i="1"/>
  <c r="BR307" i="1"/>
  <c r="BT202" i="1"/>
  <c r="BJ211" i="1"/>
  <c r="BY193" i="1"/>
  <c r="BR211" i="1"/>
  <c r="AL126" i="1"/>
  <c r="AB130" i="1"/>
  <c r="AL130" i="1" s="1"/>
  <c r="U69" i="1"/>
  <c r="U71" i="1" s="1"/>
  <c r="K78" i="1"/>
  <c r="U78" i="1" s="1"/>
  <c r="R200" i="1"/>
  <c r="AD200" i="1"/>
  <c r="AI200" i="1" s="1"/>
  <c r="AU200" i="1"/>
  <c r="BN307" i="1"/>
  <c r="BS303" i="1"/>
  <c r="BI312" i="1"/>
  <c r="BY59" i="1"/>
  <c r="BR77" i="1"/>
  <c r="BS209" i="1"/>
  <c r="BZ191" i="1"/>
  <c r="BT305" i="1"/>
  <c r="BJ314" i="1"/>
  <c r="T208" i="1"/>
  <c r="J212" i="1"/>
  <c r="T212" i="1" s="1"/>
  <c r="BC67" i="1"/>
  <c r="AX71" i="1"/>
  <c r="AS76" i="1"/>
  <c r="BK304" i="1"/>
  <c r="BP304" i="1" s="1"/>
  <c r="AY304" i="1"/>
  <c r="BK201" i="1"/>
  <c r="BP201" i="1" s="1"/>
  <c r="AY201" i="1"/>
  <c r="AT199" i="1"/>
  <c r="Q199" i="1"/>
  <c r="M199" i="1"/>
  <c r="AC199" i="1"/>
  <c r="AH199" i="1" s="1"/>
  <c r="BR78" i="1"/>
  <c r="BY60" i="1"/>
  <c r="AM68" i="1"/>
  <c r="AC77" i="1"/>
  <c r="AM77" i="1" s="1"/>
  <c r="R119" i="1"/>
  <c r="AD119" i="1"/>
  <c r="AI119" i="1" s="1"/>
  <c r="AU119" i="1"/>
  <c r="BK117" i="1"/>
  <c r="BP117" i="1" s="1"/>
  <c r="AY117" i="1"/>
  <c r="BK70" i="1"/>
  <c r="BP70" i="1" s="1"/>
  <c r="AY70" i="1"/>
  <c r="BK118" i="1"/>
  <c r="BP118" i="1" s="1"/>
  <c r="AY118" i="1"/>
  <c r="R305" i="1"/>
  <c r="AD305" i="1"/>
  <c r="AI305" i="1" s="1"/>
  <c r="AU305" i="1"/>
  <c r="R306" i="1"/>
  <c r="AD306" i="1"/>
  <c r="AI306" i="1" s="1"/>
  <c r="AU306" i="1"/>
  <c r="BC202" i="1"/>
  <c r="AS211" i="1"/>
  <c r="BC211" i="1" s="1"/>
  <c r="AL121" i="1"/>
  <c r="AQ80" i="1"/>
  <c r="BA80" i="1" s="1"/>
  <c r="AT69" i="1"/>
  <c r="M69" i="1"/>
  <c r="Q69" i="1"/>
  <c r="Q71" i="1" s="1"/>
  <c r="AC69" i="1"/>
  <c r="AH69" i="1" s="1"/>
  <c r="AH71" i="1" s="1"/>
  <c r="V200" i="1"/>
  <c r="L209" i="1"/>
  <c r="V209" i="1" s="1"/>
  <c r="BC305" i="1"/>
  <c r="AS314" i="1"/>
  <c r="BC314" i="1" s="1"/>
  <c r="BY344" i="1"/>
  <c r="AR130" i="1"/>
  <c r="BB130" i="1" s="1"/>
  <c r="BB126" i="1"/>
  <c r="BT70" i="1"/>
  <c r="BJ79" i="1"/>
  <c r="BT118" i="1"/>
  <c r="BJ127" i="1"/>
  <c r="AL76" i="1"/>
  <c r="BS128" i="1"/>
  <c r="BZ110" i="1"/>
  <c r="BS199" i="1"/>
  <c r="BN203" i="1"/>
  <c r="BI208" i="1"/>
  <c r="V202" i="1"/>
  <c r="L211" i="1"/>
  <c r="V211" i="1" s="1"/>
  <c r="BC200" i="1"/>
  <c r="AS209" i="1"/>
  <c r="BC209" i="1" s="1"/>
  <c r="AM67" i="1"/>
  <c r="AC76" i="1"/>
  <c r="BC120" i="1"/>
  <c r="AS129" i="1"/>
  <c r="BC129" i="1" s="1"/>
  <c r="BY138" i="1"/>
  <c r="R304" i="1"/>
  <c r="AD304" i="1"/>
  <c r="AI304" i="1" s="1"/>
  <c r="AU304" i="1"/>
  <c r="BA312" i="1"/>
  <c r="AQ316" i="1"/>
  <c r="BA316" i="1" s="1"/>
  <c r="AM201" i="1"/>
  <c r="AC210" i="1"/>
  <c r="AM210" i="1" s="1"/>
  <c r="BK120" i="1"/>
  <c r="BP120" i="1" s="1"/>
  <c r="AY120" i="1"/>
  <c r="BC70" i="1"/>
  <c r="AS79" i="1"/>
  <c r="BC79" i="1" s="1"/>
  <c r="AT303" i="1"/>
  <c r="AC303" i="1"/>
  <c r="AH303" i="1" s="1"/>
  <c r="Q303" i="1"/>
  <c r="M303" i="1"/>
  <c r="BC118" i="1"/>
  <c r="AS127" i="1"/>
  <c r="BC127" i="1" s="1"/>
  <c r="U199" i="1"/>
  <c r="U203" i="1" s="1"/>
  <c r="P203" i="1"/>
  <c r="K208" i="1"/>
  <c r="BI130" i="1"/>
  <c r="BS130" i="1" s="1"/>
  <c r="BZ108" i="1"/>
  <c r="BS126" i="1"/>
  <c r="BY343" i="1"/>
  <c r="BY139" i="1"/>
  <c r="BS79" i="1"/>
  <c r="BZ61" i="1"/>
  <c r="AK208" i="1"/>
  <c r="AA212" i="1"/>
  <c r="AK212" i="1" s="1"/>
  <c r="AW203" i="1"/>
  <c r="BB199" i="1"/>
  <c r="BB203" i="1" s="1"/>
  <c r="AR208" i="1"/>
  <c r="BK202" i="1"/>
  <c r="BP202" i="1" s="1"/>
  <c r="AY202" i="1"/>
  <c r="AK312" i="1"/>
  <c r="AA316" i="1"/>
  <c r="AK316" i="1" s="1"/>
  <c r="V68" i="1"/>
  <c r="L77" i="1"/>
  <c r="V77" i="1" s="1"/>
  <c r="V67" i="1"/>
  <c r="L76" i="1"/>
  <c r="U76" i="1"/>
  <c r="K80" i="1"/>
  <c r="U80" i="1" s="1"/>
  <c r="BT201" i="1"/>
  <c r="BJ210" i="1"/>
  <c r="J80" i="1"/>
  <c r="T80" i="1" s="1"/>
  <c r="V119" i="1"/>
  <c r="L128" i="1"/>
  <c r="V128" i="1" s="1"/>
  <c r="AH121" i="1"/>
  <c r="AM117" i="1"/>
  <c r="AC126" i="1"/>
  <c r="AM70" i="1"/>
  <c r="AC79" i="1"/>
  <c r="AM79" i="1" s="1"/>
  <c r="AM118" i="1"/>
  <c r="AC127" i="1"/>
  <c r="AM127" i="1" s="1"/>
  <c r="BS211" i="1"/>
  <c r="BZ193" i="1"/>
  <c r="V305" i="1"/>
  <c r="L314" i="1"/>
  <c r="V314" i="1" s="1"/>
  <c r="V306" i="1"/>
  <c r="L315" i="1"/>
  <c r="V315" i="1" s="1"/>
  <c r="AL69" i="1"/>
  <c r="AL71" i="1" s="1"/>
  <c r="AB78" i="1"/>
  <c r="AL78" i="1" s="1"/>
  <c r="BK200" i="1"/>
  <c r="BP200" i="1" s="1"/>
  <c r="AY200" i="1"/>
  <c r="BT68" i="1"/>
  <c r="BJ77" i="1"/>
  <c r="BT306" i="1"/>
  <c r="BJ315" i="1"/>
  <c r="BB121" i="1"/>
  <c r="BY62" i="1" l="1"/>
  <c r="BD200" i="1"/>
  <c r="AT209" i="1"/>
  <c r="BD209" i="1" s="1"/>
  <c r="CA192" i="1"/>
  <c r="BT210" i="1"/>
  <c r="BT77" i="1"/>
  <c r="CA59" i="1"/>
  <c r="AM121" i="1"/>
  <c r="BD202" i="1"/>
  <c r="AT211" i="1"/>
  <c r="BD211" i="1" s="1"/>
  <c r="R303" i="1"/>
  <c r="AD303" i="1"/>
  <c r="AI303" i="1" s="1"/>
  <c r="AU303" i="1"/>
  <c r="BL304" i="1"/>
  <c r="BQ304" i="1" s="1"/>
  <c r="AZ304" i="1"/>
  <c r="BI212" i="1"/>
  <c r="BS212" i="1" s="1"/>
  <c r="BS208" i="1"/>
  <c r="BZ190" i="1"/>
  <c r="BK69" i="1"/>
  <c r="BP69" i="1" s="1"/>
  <c r="BP71" i="1" s="1"/>
  <c r="AY69" i="1"/>
  <c r="AY71" i="1" s="1"/>
  <c r="BL306" i="1"/>
  <c r="BQ306" i="1" s="1"/>
  <c r="AZ306" i="1"/>
  <c r="AN305" i="1"/>
  <c r="AD314" i="1"/>
  <c r="AN314" i="1" s="1"/>
  <c r="BD70" i="1"/>
  <c r="AT79" i="1"/>
  <c r="BD79" i="1" s="1"/>
  <c r="BL119" i="1"/>
  <c r="BQ119" i="1" s="1"/>
  <c r="AZ119" i="1"/>
  <c r="V199" i="1"/>
  <c r="V203" i="1" s="1"/>
  <c r="Q203" i="1"/>
  <c r="L208" i="1"/>
  <c r="BD304" i="1"/>
  <c r="AT313" i="1"/>
  <c r="BD313" i="1" s="1"/>
  <c r="BC76" i="1"/>
  <c r="BS307" i="1"/>
  <c r="W200" i="1"/>
  <c r="M209" i="1"/>
  <c r="W209" i="1" s="1"/>
  <c r="BD306" i="1"/>
  <c r="AT315" i="1"/>
  <c r="BD315" i="1" s="1"/>
  <c r="L130" i="1"/>
  <c r="V130" i="1" s="1"/>
  <c r="V126" i="1"/>
  <c r="BU68" i="1"/>
  <c r="BK77" i="1"/>
  <c r="AN202" i="1"/>
  <c r="AD211" i="1"/>
  <c r="AN211" i="1" s="1"/>
  <c r="AL208" i="1"/>
  <c r="AB212" i="1"/>
  <c r="AL212" i="1" s="1"/>
  <c r="BC121" i="1"/>
  <c r="BZ140" i="1"/>
  <c r="BB312" i="1"/>
  <c r="AR316" i="1"/>
  <c r="BB316" i="1" s="1"/>
  <c r="BL118" i="1"/>
  <c r="BQ118" i="1" s="1"/>
  <c r="AZ118" i="1"/>
  <c r="BD119" i="1"/>
  <c r="AT128" i="1"/>
  <c r="BD128" i="1" s="1"/>
  <c r="BZ138" i="1"/>
  <c r="BL68" i="1"/>
  <c r="BQ68" i="1" s="1"/>
  <c r="AZ68" i="1"/>
  <c r="CA295" i="1"/>
  <c r="BT313" i="1"/>
  <c r="BT121" i="1"/>
  <c r="BL201" i="1"/>
  <c r="BQ201" i="1" s="1"/>
  <c r="AZ201" i="1"/>
  <c r="AR80" i="1"/>
  <c r="BB80" i="1" s="1"/>
  <c r="BO307" i="1"/>
  <c r="BT303" i="1"/>
  <c r="BJ312" i="1"/>
  <c r="V76" i="1"/>
  <c r="BU202" i="1"/>
  <c r="BK211" i="1"/>
  <c r="AR212" i="1"/>
  <c r="BB212" i="1" s="1"/>
  <c r="BB208" i="1"/>
  <c r="Q307" i="1"/>
  <c r="V303" i="1"/>
  <c r="V307" i="1" s="1"/>
  <c r="L312" i="1"/>
  <c r="AN304" i="1"/>
  <c r="AD313" i="1"/>
  <c r="AN313" i="1" s="1"/>
  <c r="AB80" i="1"/>
  <c r="AL80" i="1" s="1"/>
  <c r="BT79" i="1"/>
  <c r="CA61" i="1"/>
  <c r="AM69" i="1"/>
  <c r="AM71" i="1" s="1"/>
  <c r="AC78" i="1"/>
  <c r="AM78" i="1" s="1"/>
  <c r="AN306" i="1"/>
  <c r="AD315" i="1"/>
  <c r="AN315" i="1" s="1"/>
  <c r="W305" i="1"/>
  <c r="M314" i="1"/>
  <c r="W314" i="1" s="1"/>
  <c r="BU70" i="1"/>
  <c r="BK79" i="1"/>
  <c r="AN119" i="1"/>
  <c r="AD128" i="1"/>
  <c r="AN128" i="1" s="1"/>
  <c r="BK199" i="1"/>
  <c r="BP199" i="1" s="1"/>
  <c r="AY199" i="1"/>
  <c r="BU304" i="1"/>
  <c r="BK313" i="1"/>
  <c r="BT314" i="1"/>
  <c r="CA296" i="1"/>
  <c r="BU306" i="1"/>
  <c r="BK315" i="1"/>
  <c r="BL70" i="1"/>
  <c r="BQ70" i="1" s="1"/>
  <c r="AZ70" i="1"/>
  <c r="BD67" i="1"/>
  <c r="AT76" i="1"/>
  <c r="BT209" i="1"/>
  <c r="CA191" i="1"/>
  <c r="BZ342" i="1"/>
  <c r="W202" i="1"/>
  <c r="M211" i="1"/>
  <c r="W211" i="1" s="1"/>
  <c r="BL120" i="1"/>
  <c r="BQ120" i="1" s="1"/>
  <c r="AZ120" i="1"/>
  <c r="CA58" i="1"/>
  <c r="BT76" i="1"/>
  <c r="BT69" i="1"/>
  <c r="BT71" i="1" s="1"/>
  <c r="BJ78" i="1"/>
  <c r="AN118" i="1"/>
  <c r="AD127" i="1"/>
  <c r="AN127" i="1" s="1"/>
  <c r="BS78" i="1"/>
  <c r="BZ60" i="1"/>
  <c r="BL117" i="1"/>
  <c r="BQ117" i="1" s="1"/>
  <c r="AZ117" i="1"/>
  <c r="BU119" i="1"/>
  <c r="BK128" i="1"/>
  <c r="BY141" i="1"/>
  <c r="CD141" i="1" s="1"/>
  <c r="BL67" i="1"/>
  <c r="BQ67" i="1" s="1"/>
  <c r="AZ67" i="1"/>
  <c r="AN68" i="1"/>
  <c r="AD77" i="1"/>
  <c r="AN77" i="1" s="1"/>
  <c r="BT199" i="1"/>
  <c r="BO203" i="1"/>
  <c r="BJ208" i="1"/>
  <c r="BY194" i="1"/>
  <c r="AN201" i="1"/>
  <c r="AD210" i="1"/>
  <c r="AN210" i="1" s="1"/>
  <c r="AX307" i="1"/>
  <c r="BC303" i="1"/>
  <c r="BC307" i="1" s="1"/>
  <c r="AS312" i="1"/>
  <c r="BU200" i="1"/>
  <c r="BK209" i="1"/>
  <c r="K212" i="1"/>
  <c r="U212" i="1" s="1"/>
  <c r="U208" i="1"/>
  <c r="AH307" i="1"/>
  <c r="AM303" i="1"/>
  <c r="AM307" i="1" s="1"/>
  <c r="AC312" i="1"/>
  <c r="BD120" i="1"/>
  <c r="AT129" i="1"/>
  <c r="BD129" i="1" s="1"/>
  <c r="W304" i="1"/>
  <c r="M313" i="1"/>
  <c r="W313" i="1" s="1"/>
  <c r="BS203" i="1"/>
  <c r="V69" i="1"/>
  <c r="V71" i="1" s="1"/>
  <c r="L78" i="1"/>
  <c r="V78" i="1" s="1"/>
  <c r="W306" i="1"/>
  <c r="M315" i="1"/>
  <c r="W315" i="1" s="1"/>
  <c r="BD118" i="1"/>
  <c r="AT127" i="1"/>
  <c r="BD127" i="1" s="1"/>
  <c r="AY121" i="1"/>
  <c r="BD117" i="1"/>
  <c r="AT126" i="1"/>
  <c r="W119" i="1"/>
  <c r="M128" i="1"/>
  <c r="W128" i="1" s="1"/>
  <c r="AH203" i="1"/>
  <c r="AM199" i="1"/>
  <c r="AM203" i="1" s="1"/>
  <c r="AC208" i="1"/>
  <c r="BD201" i="1"/>
  <c r="AT210" i="1"/>
  <c r="BD210" i="1" s="1"/>
  <c r="BL200" i="1"/>
  <c r="BQ200" i="1" s="1"/>
  <c r="AZ200" i="1"/>
  <c r="BD305" i="1"/>
  <c r="AT314" i="1"/>
  <c r="BD314" i="1" s="1"/>
  <c r="AN70" i="1"/>
  <c r="AD79" i="1"/>
  <c r="AN79" i="1" s="1"/>
  <c r="V121" i="1"/>
  <c r="BU67" i="1"/>
  <c r="BK76" i="1"/>
  <c r="BC126" i="1"/>
  <c r="AS130" i="1"/>
  <c r="BC130" i="1" s="1"/>
  <c r="AN120" i="1"/>
  <c r="AD129" i="1"/>
  <c r="AN129" i="1" s="1"/>
  <c r="BZ344" i="1"/>
  <c r="BC69" i="1"/>
  <c r="BC71" i="1" s="1"/>
  <c r="AS78" i="1"/>
  <c r="BC78" i="1" s="1"/>
  <c r="BY298" i="1"/>
  <c r="BY341" i="1"/>
  <c r="BY345" i="1" s="1"/>
  <c r="W118" i="1"/>
  <c r="M127" i="1"/>
  <c r="W127" i="1" s="1"/>
  <c r="AN117" i="1"/>
  <c r="AI121" i="1"/>
  <c r="AD126" i="1"/>
  <c r="BZ343" i="1"/>
  <c r="AN67" i="1"/>
  <c r="AD76" i="1"/>
  <c r="W68" i="1"/>
  <c r="M77" i="1"/>
  <c r="W77" i="1" s="1"/>
  <c r="AX203" i="1"/>
  <c r="BC199" i="1"/>
  <c r="BC203" i="1" s="1"/>
  <c r="AS208" i="1"/>
  <c r="BJ130" i="1"/>
  <c r="BT130" i="1" s="1"/>
  <c r="CA108" i="1"/>
  <c r="BT126" i="1"/>
  <c r="W201" i="1"/>
  <c r="M210" i="1"/>
  <c r="W210" i="1" s="1"/>
  <c r="BT315" i="1"/>
  <c r="CA297" i="1"/>
  <c r="AC130" i="1"/>
  <c r="AM130" i="1" s="1"/>
  <c r="AM126" i="1"/>
  <c r="BZ112" i="1"/>
  <c r="BZ137" i="1"/>
  <c r="BK303" i="1"/>
  <c r="BP303" i="1" s="1"/>
  <c r="AY303" i="1"/>
  <c r="BU120" i="1"/>
  <c r="BK129" i="1"/>
  <c r="AM76" i="1"/>
  <c r="AC80" i="1"/>
  <c r="AM80" i="1" s="1"/>
  <c r="BZ139" i="1"/>
  <c r="BT127" i="1"/>
  <c r="CA109" i="1"/>
  <c r="R69" i="1"/>
  <c r="R71" i="1" s="1"/>
  <c r="AD69" i="1"/>
  <c r="AI69" i="1" s="1"/>
  <c r="AI71" i="1" s="1"/>
  <c r="AU69" i="1"/>
  <c r="BL305" i="1"/>
  <c r="BQ305" i="1" s="1"/>
  <c r="AZ305" i="1"/>
  <c r="BU118" i="1"/>
  <c r="BK127" i="1"/>
  <c r="BP121" i="1"/>
  <c r="BU117" i="1"/>
  <c r="BK126" i="1"/>
  <c r="R199" i="1"/>
  <c r="AD199" i="1"/>
  <c r="AI199" i="1" s="1"/>
  <c r="AU199" i="1"/>
  <c r="BU201" i="1"/>
  <c r="BK210" i="1"/>
  <c r="BS312" i="1"/>
  <c r="BI316" i="1"/>
  <c r="BS316" i="1" s="1"/>
  <c r="BZ294" i="1"/>
  <c r="AN200" i="1"/>
  <c r="AD209" i="1"/>
  <c r="AN209" i="1" s="1"/>
  <c r="BT211" i="1"/>
  <c r="CA193" i="1"/>
  <c r="BU305" i="1"/>
  <c r="BK314" i="1"/>
  <c r="W70" i="1"/>
  <c r="M79" i="1"/>
  <c r="W79" i="1" s="1"/>
  <c r="BT129" i="1"/>
  <c r="CA111" i="1"/>
  <c r="BD68" i="1"/>
  <c r="AT77" i="1"/>
  <c r="BD77" i="1" s="1"/>
  <c r="BL202" i="1"/>
  <c r="BQ202" i="1" s="1"/>
  <c r="AZ202" i="1"/>
  <c r="AB316" i="1"/>
  <c r="AL316" i="1" s="1"/>
  <c r="AL312" i="1"/>
  <c r="W120" i="1"/>
  <c r="M129" i="1"/>
  <c r="W129" i="1" s="1"/>
  <c r="R121" i="1"/>
  <c r="W117" i="1"/>
  <c r="M126" i="1"/>
  <c r="W67" i="1"/>
  <c r="M76" i="1"/>
  <c r="BZ62" i="1"/>
  <c r="K316" i="1"/>
  <c r="U316" i="1" s="1"/>
  <c r="U312" i="1"/>
  <c r="BT128" i="1"/>
  <c r="CA110" i="1"/>
  <c r="BZ141" i="1" l="1"/>
  <c r="BD121" i="1"/>
  <c r="CE141" i="1"/>
  <c r="CA139" i="1"/>
  <c r="BE202" i="1"/>
  <c r="AU211" i="1"/>
  <c r="BE211" i="1" s="1"/>
  <c r="CA140" i="1"/>
  <c r="BU314" i="1"/>
  <c r="CB296" i="1"/>
  <c r="AN199" i="1"/>
  <c r="AN203" i="1" s="1"/>
  <c r="AI203" i="1"/>
  <c r="AD208" i="1"/>
  <c r="BV305" i="1"/>
  <c r="BL314" i="1"/>
  <c r="CA138" i="1"/>
  <c r="AN121" i="1"/>
  <c r="BC312" i="1"/>
  <c r="AS316" i="1"/>
  <c r="BC316" i="1" s="1"/>
  <c r="BT203" i="1"/>
  <c r="BU128" i="1"/>
  <c r="CB110" i="1"/>
  <c r="CA60" i="1"/>
  <c r="BT78" i="1"/>
  <c r="BJ80" i="1"/>
  <c r="BT80" i="1" s="1"/>
  <c r="BD76" i="1"/>
  <c r="BV70" i="1"/>
  <c r="BL79" i="1"/>
  <c r="BP203" i="1"/>
  <c r="BU199" i="1"/>
  <c r="BK208" i="1"/>
  <c r="V312" i="1"/>
  <c r="L316" i="1"/>
  <c r="V316" i="1" s="1"/>
  <c r="BV68" i="1"/>
  <c r="BL77" i="1"/>
  <c r="BV306" i="1"/>
  <c r="BL315" i="1"/>
  <c r="AN303" i="1"/>
  <c r="AN307" i="1" s="1"/>
  <c r="AI307" i="1"/>
  <c r="AD312" i="1"/>
  <c r="BE67" i="1"/>
  <c r="AU76" i="1"/>
  <c r="BE120" i="1"/>
  <c r="AU129" i="1"/>
  <c r="BE129" i="1" s="1"/>
  <c r="CB297" i="1"/>
  <c r="BU315" i="1"/>
  <c r="CB295" i="1"/>
  <c r="BU313" i="1"/>
  <c r="L80" i="1"/>
  <c r="V80" i="1" s="1"/>
  <c r="BE119" i="1"/>
  <c r="AU128" i="1"/>
  <c r="BE128" i="1" s="1"/>
  <c r="BD69" i="1"/>
  <c r="BD71" i="1" s="1"/>
  <c r="AT78" i="1"/>
  <c r="BD78" i="1" s="1"/>
  <c r="BZ194" i="1"/>
  <c r="BE304" i="1"/>
  <c r="AU313" i="1"/>
  <c r="BE313" i="1" s="1"/>
  <c r="R307" i="1"/>
  <c r="W303" i="1"/>
  <c r="W307" i="1" s="1"/>
  <c r="M312" i="1"/>
  <c r="W76" i="1"/>
  <c r="W126" i="1"/>
  <c r="M130" i="1"/>
  <c r="W130" i="1" s="1"/>
  <c r="BV202" i="1"/>
  <c r="BL211" i="1"/>
  <c r="BU210" i="1"/>
  <c r="CB192" i="1"/>
  <c r="R203" i="1"/>
  <c r="W199" i="1"/>
  <c r="W203" i="1" s="1"/>
  <c r="M208" i="1"/>
  <c r="CB109" i="1"/>
  <c r="BU127" i="1"/>
  <c r="BL69" i="1"/>
  <c r="BQ69" i="1" s="1"/>
  <c r="BQ71" i="1" s="1"/>
  <c r="AZ69" i="1"/>
  <c r="AY307" i="1"/>
  <c r="BD303" i="1"/>
  <c r="BD307" i="1" s="1"/>
  <c r="AT312" i="1"/>
  <c r="BC208" i="1"/>
  <c r="AS212" i="1"/>
  <c r="BC212" i="1" s="1"/>
  <c r="AC212" i="1"/>
  <c r="AM212" i="1" s="1"/>
  <c r="AM208" i="1"/>
  <c r="W121" i="1"/>
  <c r="BZ298" i="1"/>
  <c r="BZ341" i="1"/>
  <c r="BZ345" i="1" s="1"/>
  <c r="BU126" i="1"/>
  <c r="BK130" i="1"/>
  <c r="BU130" i="1" s="1"/>
  <c r="CB108" i="1"/>
  <c r="AN69" i="1"/>
  <c r="AN71" i="1" s="1"/>
  <c r="AD78" i="1"/>
  <c r="AN78" i="1" s="1"/>
  <c r="BU303" i="1"/>
  <c r="BP307" i="1"/>
  <c r="BK312" i="1"/>
  <c r="CA344" i="1"/>
  <c r="AN76" i="1"/>
  <c r="AD130" i="1"/>
  <c r="AN130" i="1" s="1"/>
  <c r="AN126" i="1"/>
  <c r="CD345" i="1"/>
  <c r="BU76" i="1"/>
  <c r="CB58" i="1"/>
  <c r="BE200" i="1"/>
  <c r="AU209" i="1"/>
  <c r="BE209" i="1" s="1"/>
  <c r="BD126" i="1"/>
  <c r="AT130" i="1"/>
  <c r="BD130" i="1" s="1"/>
  <c r="AC316" i="1"/>
  <c r="AM316" i="1" s="1"/>
  <c r="AM312" i="1"/>
  <c r="CB191" i="1"/>
  <c r="BU209" i="1"/>
  <c r="BJ212" i="1"/>
  <c r="BT212" i="1" s="1"/>
  <c r="CA190" i="1"/>
  <c r="BT208" i="1"/>
  <c r="BV67" i="1"/>
  <c r="BL76" i="1"/>
  <c r="AZ121" i="1"/>
  <c r="BE117" i="1"/>
  <c r="AU126" i="1"/>
  <c r="BV120" i="1"/>
  <c r="BL129" i="1"/>
  <c r="BU211" i="1"/>
  <c r="CB193" i="1"/>
  <c r="BT312" i="1"/>
  <c r="CA294" i="1"/>
  <c r="BJ316" i="1"/>
  <c r="BT316" i="1" s="1"/>
  <c r="BE201" i="1"/>
  <c r="AU210" i="1"/>
  <c r="BE210" i="1" s="1"/>
  <c r="CA342" i="1"/>
  <c r="BE118" i="1"/>
  <c r="AU127" i="1"/>
  <c r="BE127" i="1" s="1"/>
  <c r="BU77" i="1"/>
  <c r="CB59" i="1"/>
  <c r="AS80" i="1"/>
  <c r="BC80" i="1" s="1"/>
  <c r="L212" i="1"/>
  <c r="V212" i="1" s="1"/>
  <c r="V208" i="1"/>
  <c r="BV119" i="1"/>
  <c r="BL128" i="1"/>
  <c r="BU69" i="1"/>
  <c r="BU71" i="1" s="1"/>
  <c r="BK78" i="1"/>
  <c r="BK80" i="1" s="1"/>
  <c r="BU80" i="1" s="1"/>
  <c r="BV304" i="1"/>
  <c r="BL313" i="1"/>
  <c r="BL199" i="1"/>
  <c r="BQ199" i="1" s="1"/>
  <c r="AZ199" i="1"/>
  <c r="BU121" i="1"/>
  <c r="BE305" i="1"/>
  <c r="AU314" i="1"/>
  <c r="BE314" i="1" s="1"/>
  <c r="W69" i="1"/>
  <c r="W71" i="1" s="1"/>
  <c r="M78" i="1"/>
  <c r="W78" i="1" s="1"/>
  <c r="CB111" i="1"/>
  <c r="BU129" i="1"/>
  <c r="CA112" i="1"/>
  <c r="CA137" i="1"/>
  <c r="BV200" i="1"/>
  <c r="BL209" i="1"/>
  <c r="BV117" i="1"/>
  <c r="BQ121" i="1"/>
  <c r="BL126" i="1"/>
  <c r="BE70" i="1"/>
  <c r="AU79" i="1"/>
  <c r="BE79" i="1" s="1"/>
  <c r="CA343" i="1"/>
  <c r="AY203" i="1"/>
  <c r="BD199" i="1"/>
  <c r="BD203" i="1" s="1"/>
  <c r="AT208" i="1"/>
  <c r="CB61" i="1"/>
  <c r="BU79" i="1"/>
  <c r="BT307" i="1"/>
  <c r="BV201" i="1"/>
  <c r="BL210" i="1"/>
  <c r="BE68" i="1"/>
  <c r="AU77" i="1"/>
  <c r="BE77" i="1" s="1"/>
  <c r="BV118" i="1"/>
  <c r="BL127" i="1"/>
  <c r="BE306" i="1"/>
  <c r="AU315" i="1"/>
  <c r="BE315" i="1" s="1"/>
  <c r="BL303" i="1"/>
  <c r="BQ303" i="1" s="1"/>
  <c r="AZ303" i="1"/>
  <c r="CE345" i="1" l="1"/>
  <c r="M80" i="1"/>
  <c r="W80" i="1" s="1"/>
  <c r="AT80" i="1"/>
  <c r="BD80" i="1" s="1"/>
  <c r="BV127" i="1"/>
  <c r="CC109" i="1"/>
  <c r="BV210" i="1"/>
  <c r="CC192" i="1"/>
  <c r="BV313" i="1"/>
  <c r="CC295" i="1"/>
  <c r="BV128" i="1"/>
  <c r="CC110" i="1"/>
  <c r="BE121" i="1"/>
  <c r="BU307" i="1"/>
  <c r="BE69" i="1"/>
  <c r="BE71" i="1" s="1"/>
  <c r="AU78" i="1"/>
  <c r="BE78" i="1" s="1"/>
  <c r="W208" i="1"/>
  <c r="M212" i="1"/>
  <c r="W212" i="1" s="1"/>
  <c r="BE76" i="1"/>
  <c r="CC59" i="1"/>
  <c r="BV77" i="1"/>
  <c r="BU203" i="1"/>
  <c r="AZ307" i="1"/>
  <c r="BE303" i="1"/>
  <c r="BE307" i="1" s="1"/>
  <c r="AU312" i="1"/>
  <c r="CA62" i="1"/>
  <c r="BV126" i="1"/>
  <c r="BL130" i="1"/>
  <c r="BV130" i="1" s="1"/>
  <c r="CC108" i="1"/>
  <c r="CA141" i="1"/>
  <c r="CF141" i="1" s="1"/>
  <c r="CA298" i="1"/>
  <c r="CA341" i="1"/>
  <c r="CA345" i="1" s="1"/>
  <c r="CC111" i="1"/>
  <c r="BV129" i="1"/>
  <c r="CB112" i="1"/>
  <c r="CB137" i="1"/>
  <c r="AT316" i="1"/>
  <c r="BD316" i="1" s="1"/>
  <c r="BD312" i="1"/>
  <c r="BV69" i="1"/>
  <c r="BV71" i="1" s="1"/>
  <c r="BL78" i="1"/>
  <c r="W312" i="1"/>
  <c r="M316" i="1"/>
  <c r="W316" i="1" s="1"/>
  <c r="CB342" i="1"/>
  <c r="CB139" i="1"/>
  <c r="BV314" i="1"/>
  <c r="CC296" i="1"/>
  <c r="BQ307" i="1"/>
  <c r="BV303" i="1"/>
  <c r="BL312" i="1"/>
  <c r="BD208" i="1"/>
  <c r="AT212" i="1"/>
  <c r="BD212" i="1" s="1"/>
  <c r="CB140" i="1"/>
  <c r="AZ203" i="1"/>
  <c r="BE199" i="1"/>
  <c r="BE203" i="1" s="1"/>
  <c r="AU208" i="1"/>
  <c r="BU78" i="1"/>
  <c r="CB60" i="1"/>
  <c r="CB62" i="1" s="1"/>
  <c r="BV76" i="1"/>
  <c r="CC58" i="1"/>
  <c r="CA194" i="1"/>
  <c r="BU312" i="1"/>
  <c r="BK316" i="1"/>
  <c r="BU316" i="1" s="1"/>
  <c r="CB294" i="1"/>
  <c r="AZ71" i="1"/>
  <c r="BV315" i="1"/>
  <c r="CC297" i="1"/>
  <c r="CC61" i="1"/>
  <c r="BV79" i="1"/>
  <c r="CB343" i="1"/>
  <c r="BV121" i="1"/>
  <c r="CC191" i="1"/>
  <c r="BV209" i="1"/>
  <c r="BV199" i="1"/>
  <c r="BQ203" i="1"/>
  <c r="BL208" i="1"/>
  <c r="AU130" i="1"/>
  <c r="BE130" i="1" s="1"/>
  <c r="BE126" i="1"/>
  <c r="AD80" i="1"/>
  <c r="AN80" i="1" s="1"/>
  <c r="CB138" i="1"/>
  <c r="CC193" i="1"/>
  <c r="BV211" i="1"/>
  <c r="CB344" i="1"/>
  <c r="AN312" i="1"/>
  <c r="AD316" i="1"/>
  <c r="AN316" i="1" s="1"/>
  <c r="BU208" i="1"/>
  <c r="CB190" i="1"/>
  <c r="BK212" i="1"/>
  <c r="BU212" i="1" s="1"/>
  <c r="AD212" i="1"/>
  <c r="AN212" i="1" s="1"/>
  <c r="AN208" i="1"/>
  <c r="AU80" i="1" l="1"/>
  <c r="BE80" i="1" s="1"/>
  <c r="BV208" i="1"/>
  <c r="BL212" i="1"/>
  <c r="BV212" i="1" s="1"/>
  <c r="CC190" i="1"/>
  <c r="AU212" i="1"/>
  <c r="BE212" i="1" s="1"/>
  <c r="BE208" i="1"/>
  <c r="CC343" i="1"/>
  <c r="BV78" i="1"/>
  <c r="CC60" i="1"/>
  <c r="CC62" i="1" s="1"/>
  <c r="CB141" i="1"/>
  <c r="CG141" i="1" s="1"/>
  <c r="CB194" i="1"/>
  <c r="CC344" i="1"/>
  <c r="CB298" i="1"/>
  <c r="CB341" i="1"/>
  <c r="CB345" i="1" s="1"/>
  <c r="BL316" i="1"/>
  <c r="BV316" i="1" s="1"/>
  <c r="CC294" i="1"/>
  <c r="BV312" i="1"/>
  <c r="CC140" i="1"/>
  <c r="CC112" i="1"/>
  <c r="CC137" i="1"/>
  <c r="CC139" i="1"/>
  <c r="BV203" i="1"/>
  <c r="BL80" i="1"/>
  <c r="BV80" i="1" s="1"/>
  <c r="BV307" i="1"/>
  <c r="CF345" i="1"/>
  <c r="AU316" i="1"/>
  <c r="BE316" i="1" s="1"/>
  <c r="BE312" i="1"/>
  <c r="CC138" i="1"/>
  <c r="CC342" i="1"/>
  <c r="AU276" i="1" a="1"/>
  <c r="AU22" i="1" a="1"/>
  <c r="AS39" i="1" a="1"/>
  <c r="J14" i="1" a="1"/>
  <c r="L23" i="1" a="1"/>
  <c r="AQ287" i="1" a="1"/>
  <c r="AR288" i="1" a="1"/>
  <c r="AR13" i="1" a="1"/>
  <c r="AS23" i="1" a="1"/>
  <c r="AT12" i="1" a="1"/>
  <c r="K13" i="1" a="1"/>
  <c r="BK14" i="1" a="1"/>
  <c r="BJ14" i="1" a="1"/>
  <c r="AT13" i="1" a="1"/>
  <c r="J31" i="1" a="1"/>
  <c r="AT276" i="1" a="1"/>
  <c r="AS277" i="1" a="1"/>
  <c r="AU13" i="1" a="1"/>
  <c r="I21" i="1" a="1"/>
  <c r="L11" i="1" a="1"/>
  <c r="M32" i="1" a="1"/>
  <c r="AU279" i="1" a="1"/>
  <c r="AQ12" i="1" a="1"/>
  <c r="AT20" i="1" a="1"/>
  <c r="AR29" i="1" a="1"/>
  <c r="J20" i="1" a="1"/>
  <c r="BL14" i="1" a="1"/>
  <c r="AS276" i="1" a="1"/>
  <c r="AR22" i="1" a="1"/>
  <c r="AU12" i="1" a="1"/>
  <c r="I23" i="1" a="1"/>
  <c r="L13" i="1" a="1"/>
  <c r="M29" i="1" a="1"/>
  <c r="AU287" i="1" a="1"/>
  <c r="AQ14" i="1" a="1"/>
  <c r="AT22" i="1" a="1"/>
  <c r="AR30" i="1" a="1"/>
  <c r="J22" i="1" a="1"/>
  <c r="BL11" i="1" a="1"/>
  <c r="BI13" i="1" a="1"/>
  <c r="AQ39" i="1" a="1"/>
  <c r="AS13" i="1" a="1"/>
  <c r="J38" i="1" a="1"/>
  <c r="I38" i="1" a="1"/>
  <c r="AT41" i="1" a="1"/>
  <c r="I13" i="1" a="1"/>
  <c r="M40" i="1" a="1"/>
  <c r="K20" i="1" a="1"/>
  <c r="AU277" i="1" a="1"/>
  <c r="AU23" i="1" a="1"/>
  <c r="AS38" i="1" a="1"/>
  <c r="J11" i="1" a="1"/>
  <c r="L20" i="1" a="1"/>
  <c r="AQ279" i="1" a="1"/>
  <c r="AQ277" i="1" a="1"/>
  <c r="AS29" i="1" a="1"/>
  <c r="M12" i="1" a="1"/>
  <c r="J29" i="1" a="1"/>
  <c r="AT278" i="1" a="1"/>
  <c r="AT21" i="1" a="1"/>
  <c r="AQ40" i="1" a="1"/>
  <c r="AS30" i="1" a="1"/>
  <c r="AT31" i="1" a="1"/>
  <c r="M14" i="1" a="1"/>
  <c r="L31" i="1" a="1"/>
  <c r="J30" i="1" a="1"/>
  <c r="AT277" i="1" a="1"/>
  <c r="AS279" i="1" a="1"/>
  <c r="AU11" i="1" a="1"/>
  <c r="I20" i="1" a="1"/>
  <c r="L14" i="1" a="1"/>
  <c r="M31" i="1" a="1"/>
  <c r="AU288" i="1" a="1"/>
  <c r="AQ13" i="1" a="1"/>
  <c r="AT23" i="1" a="1"/>
  <c r="BI11" i="1" a="1"/>
  <c r="AQ41" i="1" a="1"/>
  <c r="AS11" i="1" a="1"/>
  <c r="AQ30" i="1" a="1"/>
  <c r="K40" i="1" a="1"/>
  <c r="I41" i="1" a="1"/>
  <c r="AQ286" i="1" a="1"/>
  <c r="AR278" i="1" a="1"/>
  <c r="AQ23" i="1" a="1"/>
  <c r="M22" i="1" a="1"/>
  <c r="K31" i="1" a="1"/>
  <c r="L38" i="1" a="1"/>
  <c r="AT279" i="1" a="1"/>
  <c r="AS285" i="1" a="1"/>
  <c r="AS286" i="1" a="1"/>
  <c r="L12" i="1" a="1"/>
  <c r="K41" i="1" a="1"/>
  <c r="I40" i="1" a="1"/>
  <c r="AQ278" i="1" a="1"/>
  <c r="AR277" i="1" a="1"/>
  <c r="AQ22" i="1" a="1"/>
  <c r="M20" i="1" a="1"/>
  <c r="K32" i="1" a="1"/>
  <c r="L39" i="1" a="1"/>
  <c r="AT286" i="1" a="1"/>
  <c r="AS288" i="1" a="1"/>
  <c r="AR41" i="1" a="1"/>
  <c r="AU39" i="1" a="1"/>
  <c r="I32" i="1" a="1"/>
  <c r="AQ32" i="1" a="1"/>
  <c r="AS20" i="1" a="1"/>
  <c r="K14" i="1" a="1"/>
  <c r="BK12" i="1" a="1"/>
  <c r="BJ12" i="1" a="1"/>
  <c r="AT30" i="1" a="1"/>
  <c r="L30" i="1" a="1"/>
  <c r="J39" i="1" a="1"/>
  <c r="AR31" i="1" a="1"/>
  <c r="BI12" i="1" a="1"/>
  <c r="AR32" i="1" a="1"/>
  <c r="J21" i="1" a="1"/>
  <c r="BL12" i="1" a="1"/>
  <c r="BI14" i="1" a="1"/>
  <c r="AQ38" i="1" a="1"/>
  <c r="AS14" i="1" a="1"/>
  <c r="AQ29" i="1" a="1"/>
  <c r="K39" i="1" a="1"/>
  <c r="I39" i="1" a="1"/>
  <c r="AQ276" i="1" a="1"/>
  <c r="AR285" i="1" a="1"/>
  <c r="AQ21" i="1" a="1"/>
  <c r="M23" i="1" a="1"/>
  <c r="K30" i="1" a="1"/>
  <c r="AR38" i="1" a="1"/>
  <c r="AU38" i="1" a="1"/>
  <c r="I31" i="1" a="1"/>
  <c r="J40" i="1" a="1"/>
  <c r="BH11" i="1" a="1"/>
  <c r="AR21" i="1" a="1"/>
  <c r="AU29" i="1" a="1"/>
  <c r="AT39" i="1" a="1"/>
  <c r="I11" i="1" a="1"/>
  <c r="M38" i="1" a="1"/>
  <c r="K21" i="1" a="1"/>
  <c r="AU278" i="1" a="1"/>
  <c r="AU20" i="1" a="1"/>
  <c r="AS40" i="1" a="1"/>
  <c r="K38" i="1" a="1"/>
  <c r="M30" i="1" a="1"/>
  <c r="BH13" i="1" a="1"/>
  <c r="AR20" i="1" a="1"/>
  <c r="AU30" i="1" a="1"/>
  <c r="AT40" i="1" a="1"/>
  <c r="I14" i="1" a="1"/>
  <c r="M39" i="1" a="1"/>
  <c r="K23" i="1" a="1"/>
  <c r="AU285" i="1" a="1"/>
  <c r="AU21" i="1" a="1"/>
  <c r="AS41" i="1" a="1"/>
  <c r="J13" i="1" a="1"/>
  <c r="L22" i="1" a="1"/>
  <c r="AQ288" i="1" a="1"/>
  <c r="AU14" i="1" a="1"/>
  <c r="AU31" i="1" a="1"/>
  <c r="AU286" i="1" a="1"/>
  <c r="AQ11" i="1" a="1"/>
  <c r="J23" i="1" a="1"/>
  <c r="BL13" i="1" a="1"/>
  <c r="AR286" i="1" a="1"/>
  <c r="L40" i="1" a="1"/>
  <c r="AT285" i="1" a="1"/>
  <c r="AS278" i="1" a="1"/>
  <c r="AR40" i="1" a="1"/>
  <c r="AU41" i="1" a="1"/>
  <c r="I30" i="1" a="1"/>
  <c r="J41" i="1" a="1"/>
  <c r="BH14" i="1" a="1"/>
  <c r="AR23" i="1" a="1"/>
  <c r="AU32" i="1" a="1"/>
  <c r="AT38" i="1" a="1"/>
  <c r="I12" i="1" a="1"/>
  <c r="M41" i="1" a="1"/>
  <c r="K22" i="1" a="1"/>
  <c r="J12" i="1" a="1"/>
  <c r="L21" i="1" a="1"/>
  <c r="AQ285" i="1" a="1"/>
  <c r="AR279" i="1" a="1"/>
  <c r="AR12" i="1" a="1"/>
  <c r="AS21" i="1" a="1"/>
  <c r="AT14" i="1" a="1"/>
  <c r="K12" i="1" a="1"/>
  <c r="BK11" i="1" a="1"/>
  <c r="BJ11" i="1" a="1"/>
  <c r="AS31" i="1" a="1"/>
  <c r="AT32" i="1" a="1"/>
  <c r="M13" i="1" a="1"/>
  <c r="L32" i="1" a="1"/>
  <c r="I22" i="1" a="1"/>
  <c r="AR287" i="1" a="1"/>
  <c r="AR14" i="1" a="1"/>
  <c r="AS22" i="1" a="1"/>
  <c r="AT11" i="1" a="1"/>
  <c r="K11" i="1" a="1"/>
  <c r="BK13" i="1" a="1"/>
  <c r="BJ13" i="1" a="1"/>
  <c r="AS32" i="1" a="1"/>
  <c r="AT29" i="1" a="1"/>
  <c r="M11" i="1" a="1"/>
  <c r="L29" i="1" a="1"/>
  <c r="J32" i="1" a="1"/>
  <c r="AT287" i="1" a="1"/>
  <c r="AQ31" i="1" a="1"/>
  <c r="BH12" i="1" a="1"/>
  <c r="AR276" i="1" a="1"/>
  <c r="AQ20" i="1" a="1"/>
  <c r="M21" i="1" a="1"/>
  <c r="K29" i="1" a="1"/>
  <c r="L41" i="1" a="1"/>
  <c r="AT288" i="1" a="1"/>
  <c r="AS287" i="1" a="1"/>
  <c r="AR39" i="1" a="1"/>
  <c r="AU40" i="1" a="1"/>
  <c r="I29" i="1" a="1"/>
  <c r="AR11" i="1" a="1"/>
  <c r="AS12" i="1" a="1"/>
  <c r="CC141" i="1" l="1"/>
  <c r="CH141" i="1" s="1"/>
  <c r="CG345" i="1"/>
  <c r="K22" i="1"/>
  <c r="M30" i="1"/>
  <c r="J38" i="1"/>
  <c r="L32" i="1"/>
  <c r="K30" i="1"/>
  <c r="AT13" i="1"/>
  <c r="AQ31" i="1"/>
  <c r="AS40" i="1"/>
  <c r="AT23" i="1"/>
  <c r="AU31" i="1"/>
  <c r="AS276" i="1"/>
  <c r="AS285" i="1"/>
  <c r="BJ14" i="1"/>
  <c r="AQ277" i="1"/>
  <c r="AQ288" i="1"/>
  <c r="BL14" i="1"/>
  <c r="M41" i="1"/>
  <c r="L12" i="1"/>
  <c r="I32" i="1"/>
  <c r="M13" i="1"/>
  <c r="M23" i="1"/>
  <c r="AS20" i="1"/>
  <c r="AS13" i="1"/>
  <c r="AU20" i="1"/>
  <c r="AQ13" i="1"/>
  <c r="AR22" i="1"/>
  <c r="AT287" i="1"/>
  <c r="AT279" i="1"/>
  <c r="BK14" i="1"/>
  <c r="I38" i="1"/>
  <c r="L22" i="1"/>
  <c r="J20" i="1"/>
  <c r="I12" i="1"/>
  <c r="I22" i="1"/>
  <c r="AU39" i="1"/>
  <c r="AT32" i="1"/>
  <c r="AQ21" i="1"/>
  <c r="AR11" i="1"/>
  <c r="AQ39" i="1"/>
  <c r="AU278" i="1"/>
  <c r="AU288" i="1"/>
  <c r="BH12" i="1"/>
  <c r="J32" i="1"/>
  <c r="L38" i="1"/>
  <c r="K13" i="1"/>
  <c r="K38" i="1"/>
  <c r="J13" i="1"/>
  <c r="AR29" i="1"/>
  <c r="AT38" i="1"/>
  <c r="AU14" i="1"/>
  <c r="AR41" i="1"/>
  <c r="AS31" i="1"/>
  <c r="AR285" i="1"/>
  <c r="AR286" i="1"/>
  <c r="BI13" i="1"/>
  <c r="K21" i="1"/>
  <c r="M31" i="1"/>
  <c r="J39" i="1"/>
  <c r="L29" i="1"/>
  <c r="K31" i="1"/>
  <c r="AT12" i="1"/>
  <c r="AQ32" i="1"/>
  <c r="AS41" i="1"/>
  <c r="AT20" i="1"/>
  <c r="AU32" i="1"/>
  <c r="AS286" i="1"/>
  <c r="AS288" i="1"/>
  <c r="BJ11" i="1"/>
  <c r="AQ276" i="1"/>
  <c r="AQ279" i="1"/>
  <c r="BL11" i="1"/>
  <c r="M38" i="1"/>
  <c r="L14" i="1"/>
  <c r="I29" i="1"/>
  <c r="M11" i="1"/>
  <c r="M22" i="1"/>
  <c r="AS23" i="1"/>
  <c r="AS12" i="1"/>
  <c r="AU21" i="1"/>
  <c r="AQ12" i="1"/>
  <c r="AR23" i="1"/>
  <c r="AT278" i="1"/>
  <c r="AT286" i="1"/>
  <c r="BK11" i="1"/>
  <c r="I39" i="1"/>
  <c r="L20" i="1"/>
  <c r="J22" i="1"/>
  <c r="I11" i="1"/>
  <c r="I20" i="1"/>
  <c r="AU40" i="1"/>
  <c r="AT29" i="1"/>
  <c r="AQ23" i="1"/>
  <c r="AR13" i="1"/>
  <c r="AQ40" i="1"/>
  <c r="AU285" i="1"/>
  <c r="AU279" i="1"/>
  <c r="BH14" i="1"/>
  <c r="J29" i="1"/>
  <c r="L39" i="1"/>
  <c r="K12" i="1"/>
  <c r="K39" i="1"/>
  <c r="J11" i="1"/>
  <c r="AR30" i="1"/>
  <c r="AT39" i="1"/>
  <c r="AU11" i="1"/>
  <c r="AR39" i="1"/>
  <c r="AS32" i="1"/>
  <c r="AR278" i="1"/>
  <c r="AR288" i="1"/>
  <c r="BI12" i="1"/>
  <c r="K23" i="1"/>
  <c r="M32" i="1"/>
  <c r="J41" i="1"/>
  <c r="L30" i="1"/>
  <c r="K32" i="1"/>
  <c r="AT14" i="1"/>
  <c r="AQ29" i="1"/>
  <c r="AS38" i="1"/>
  <c r="AT22" i="1"/>
  <c r="AU29" i="1"/>
  <c r="AS279" i="1"/>
  <c r="AS287" i="1"/>
  <c r="BJ13" i="1"/>
  <c r="AQ286" i="1"/>
  <c r="AQ287" i="1"/>
  <c r="BL13" i="1"/>
  <c r="M39" i="1"/>
  <c r="L11" i="1"/>
  <c r="I30" i="1"/>
  <c r="M12" i="1"/>
  <c r="M20" i="1"/>
  <c r="AS21" i="1"/>
  <c r="AS14" i="1"/>
  <c r="AU23" i="1"/>
  <c r="AQ14" i="1"/>
  <c r="AR21" i="1"/>
  <c r="AT277" i="1"/>
  <c r="AT288" i="1"/>
  <c r="BK13" i="1"/>
  <c r="I41" i="1"/>
  <c r="L23" i="1"/>
  <c r="J23" i="1"/>
  <c r="I14" i="1"/>
  <c r="I21" i="1"/>
  <c r="AU41" i="1"/>
  <c r="AT30" i="1"/>
  <c r="AQ22" i="1"/>
  <c r="AR12" i="1"/>
  <c r="AQ38" i="1"/>
  <c r="AU277" i="1"/>
  <c r="AU287" i="1"/>
  <c r="BH11" i="1"/>
  <c r="J30" i="1"/>
  <c r="L41" i="1"/>
  <c r="K11" i="1"/>
  <c r="K40" i="1"/>
  <c r="J14" i="1"/>
  <c r="AR31" i="1"/>
  <c r="AT40" i="1"/>
  <c r="AU13" i="1"/>
  <c r="AR40" i="1"/>
  <c r="AS29" i="1"/>
  <c r="AR277" i="1"/>
  <c r="AR279" i="1"/>
  <c r="BI14" i="1"/>
  <c r="K20" i="1"/>
  <c r="M29" i="1"/>
  <c r="J40" i="1"/>
  <c r="L31" i="1"/>
  <c r="K29" i="1"/>
  <c r="AT11" i="1"/>
  <c r="AQ30" i="1"/>
  <c r="AS39" i="1"/>
  <c r="AT21" i="1"/>
  <c r="AU30" i="1"/>
  <c r="AS277" i="1"/>
  <c r="AS278" i="1"/>
  <c r="BJ12" i="1"/>
  <c r="AQ278" i="1"/>
  <c r="AQ285" i="1"/>
  <c r="BL12" i="1"/>
  <c r="M40" i="1"/>
  <c r="L13" i="1"/>
  <c r="I31" i="1"/>
  <c r="M14" i="1"/>
  <c r="M21" i="1"/>
  <c r="AS22" i="1"/>
  <c r="AS11" i="1"/>
  <c r="AU22" i="1"/>
  <c r="AQ11" i="1"/>
  <c r="AR20" i="1"/>
  <c r="AT276" i="1"/>
  <c r="AT285" i="1"/>
  <c r="BK12" i="1"/>
  <c r="I40" i="1"/>
  <c r="L21" i="1"/>
  <c r="J21" i="1"/>
  <c r="I13" i="1"/>
  <c r="I23" i="1"/>
  <c r="AU38" i="1"/>
  <c r="AT31" i="1"/>
  <c r="AQ20" i="1"/>
  <c r="AR14" i="1"/>
  <c r="AQ41" i="1"/>
  <c r="AU276" i="1"/>
  <c r="AU286" i="1"/>
  <c r="BH13" i="1"/>
  <c r="J31" i="1"/>
  <c r="L40" i="1"/>
  <c r="K14" i="1"/>
  <c r="K41" i="1"/>
  <c r="J12" i="1"/>
  <c r="AR32" i="1"/>
  <c r="AT41" i="1"/>
  <c r="AU12" i="1"/>
  <c r="AR38" i="1"/>
  <c r="AS30" i="1"/>
  <c r="AR276" i="1"/>
  <c r="AR287" i="1"/>
  <c r="BI11" i="1"/>
  <c r="CC194" i="1"/>
  <c r="CC298" i="1"/>
  <c r="CC341" i="1"/>
  <c r="CC345" i="1" s="1"/>
  <c r="BS11" i="1" l="1"/>
  <c r="BI15" i="1"/>
  <c r="BN11" i="1"/>
  <c r="AR42" i="1"/>
  <c r="BB38" i="1"/>
  <c r="AW38" i="1"/>
  <c r="AA12" i="1"/>
  <c r="O12" i="1"/>
  <c r="AF12" i="1" s="1"/>
  <c r="T12" i="1"/>
  <c r="AK12" i="1" s="1"/>
  <c r="J48" i="1"/>
  <c r="AA31" i="1"/>
  <c r="T31" i="1"/>
  <c r="AK31" i="1" s="1"/>
  <c r="O31" i="1"/>
  <c r="AF31" i="1" s="1"/>
  <c r="BA41" i="1"/>
  <c r="AV41" i="1"/>
  <c r="BE38" i="1"/>
  <c r="AU42" i="1"/>
  <c r="AZ38" i="1"/>
  <c r="V21" i="1"/>
  <c r="AM21" i="1" s="1"/>
  <c r="Q21" i="1"/>
  <c r="AH21" i="1" s="1"/>
  <c r="AC21" i="1"/>
  <c r="BD276" i="1"/>
  <c r="BK276" i="1"/>
  <c r="AT172" i="1" a="1"/>
  <c r="AT172" i="1" s="1"/>
  <c r="AT280" i="1"/>
  <c r="AY327" i="1" s="1"/>
  <c r="AY323" i="1"/>
  <c r="AS47" i="1"/>
  <c r="AS51" i="1" s="1"/>
  <c r="AX11" i="1"/>
  <c r="BC11" i="1"/>
  <c r="AS15" i="1"/>
  <c r="Z31" i="1"/>
  <c r="S31" i="1"/>
  <c r="AJ31" i="1" s="1"/>
  <c r="N31" i="1"/>
  <c r="AE31" i="1" s="1"/>
  <c r="AQ289" i="1"/>
  <c r="AV336" i="1" s="1"/>
  <c r="BH285" i="1"/>
  <c r="BA285" i="1"/>
  <c r="AQ181" i="1" a="1"/>
  <c r="AQ181" i="1" s="1"/>
  <c r="AV332" i="1"/>
  <c r="BJ277" i="1"/>
  <c r="BC277" i="1"/>
  <c r="AS173" i="1" a="1"/>
  <c r="AS173" i="1" s="1"/>
  <c r="AX324" i="1"/>
  <c r="BA30" i="1"/>
  <c r="AV30" i="1"/>
  <c r="AA40" i="1"/>
  <c r="T40" i="1"/>
  <c r="AK40" i="1" s="1"/>
  <c r="O40" i="1"/>
  <c r="AF40" i="1" s="1"/>
  <c r="BI279" i="1"/>
  <c r="BB279" i="1"/>
  <c r="AR175" i="1" a="1"/>
  <c r="AR175" i="1" s="1"/>
  <c r="AW326" i="1"/>
  <c r="AU49" i="1"/>
  <c r="AZ13" i="1"/>
  <c r="BE13" i="1"/>
  <c r="U40" i="1"/>
  <c r="AL40" i="1" s="1"/>
  <c r="P40" i="1"/>
  <c r="AG40" i="1" s="1"/>
  <c r="AB40" i="1"/>
  <c r="BH15" i="1"/>
  <c r="BM11" i="1"/>
  <c r="BR11" i="1"/>
  <c r="AR48" i="1"/>
  <c r="BB12" i="1"/>
  <c r="AW12" i="1"/>
  <c r="N21" i="1"/>
  <c r="AE21" i="1" s="1"/>
  <c r="Z21" i="1"/>
  <c r="S21" i="1"/>
  <c r="AJ21" i="1" s="1"/>
  <c r="N41" i="1"/>
  <c r="AE41" i="1" s="1"/>
  <c r="Z41" i="1"/>
  <c r="S41" i="1"/>
  <c r="AJ41" i="1" s="1"/>
  <c r="AW21" i="1"/>
  <c r="BI21" i="1"/>
  <c r="BB21" i="1"/>
  <c r="BC21" i="1"/>
  <c r="AX21" i="1"/>
  <c r="BJ21" i="1"/>
  <c r="L47" i="1"/>
  <c r="L15" i="1"/>
  <c r="AC11" i="1"/>
  <c r="Q11" i="1"/>
  <c r="AH11" i="1" s="1"/>
  <c r="V11" i="1"/>
  <c r="AM11" i="1" s="1"/>
  <c r="BH286" i="1"/>
  <c r="AQ182" i="1" a="1"/>
  <c r="AQ182" i="1" s="1"/>
  <c r="BA286" i="1"/>
  <c r="AV333" i="1"/>
  <c r="AU33" i="1"/>
  <c r="BE29" i="1"/>
  <c r="AZ29" i="1"/>
  <c r="BD14" i="1"/>
  <c r="AT50" i="1"/>
  <c r="AY14" i="1"/>
  <c r="AD32" i="1"/>
  <c r="W32" i="1"/>
  <c r="AN32" i="1" s="1"/>
  <c r="R32" i="1"/>
  <c r="AI32" i="1" s="1"/>
  <c r="BB278" i="1"/>
  <c r="BI278" i="1"/>
  <c r="AR174" i="1" a="1"/>
  <c r="AR174" i="1" s="1"/>
  <c r="AW325" i="1"/>
  <c r="BD39" i="1"/>
  <c r="AY39" i="1"/>
  <c r="U12" i="1"/>
  <c r="AL12" i="1" s="1"/>
  <c r="K48" i="1"/>
  <c r="AB12" i="1"/>
  <c r="P12" i="1"/>
  <c r="AG12" i="1" s="1"/>
  <c r="BL279" i="1"/>
  <c r="BE279" i="1"/>
  <c r="AU175" i="1" a="1"/>
  <c r="AU175" i="1" s="1"/>
  <c r="AZ326" i="1"/>
  <c r="BA23" i="1"/>
  <c r="AV23" i="1"/>
  <c r="BH23" i="1"/>
  <c r="I47" i="1"/>
  <c r="S11" i="1"/>
  <c r="AJ11" i="1" s="1"/>
  <c r="Z11" i="1"/>
  <c r="N11" i="1"/>
  <c r="AE11" i="1" s="1"/>
  <c r="I15" i="1"/>
  <c r="BU11" i="1"/>
  <c r="BP11" i="1"/>
  <c r="BK15" i="1"/>
  <c r="AV12" i="1"/>
  <c r="AQ48" i="1"/>
  <c r="BA12" i="1"/>
  <c r="W22" i="1"/>
  <c r="AN22" i="1" s="1"/>
  <c r="R22" i="1"/>
  <c r="AI22" i="1" s="1"/>
  <c r="AD22" i="1"/>
  <c r="M42" i="1"/>
  <c r="W38" i="1"/>
  <c r="AN38" i="1" s="1"/>
  <c r="R38" i="1"/>
  <c r="AI38" i="1" s="1"/>
  <c r="AD38" i="1"/>
  <c r="BJ15" i="1"/>
  <c r="BO11" i="1"/>
  <c r="BT11" i="1"/>
  <c r="AT24" i="1"/>
  <c r="BD20" i="1"/>
  <c r="AY20" i="1"/>
  <c r="BK20" i="1"/>
  <c r="U31" i="1"/>
  <c r="AL31" i="1" s="1"/>
  <c r="P31" i="1"/>
  <c r="AG31" i="1" s="1"/>
  <c r="AB31" i="1"/>
  <c r="AB21" i="1"/>
  <c r="P21" i="1"/>
  <c r="AG21" i="1" s="1"/>
  <c r="U21" i="1"/>
  <c r="AL21" i="1" s="1"/>
  <c r="BC31" i="1"/>
  <c r="AX31" i="1"/>
  <c r="AR33" i="1"/>
  <c r="BB29" i="1"/>
  <c r="AW29" i="1"/>
  <c r="AC38" i="1"/>
  <c r="L42" i="1"/>
  <c r="V38" i="1"/>
  <c r="AM38" i="1" s="1"/>
  <c r="Q38" i="1"/>
  <c r="AH38" i="1" s="1"/>
  <c r="BL278" i="1"/>
  <c r="BE278" i="1"/>
  <c r="AU174" i="1" a="1"/>
  <c r="AU174" i="1" s="1"/>
  <c r="AZ325" i="1"/>
  <c r="AY32" i="1"/>
  <c r="BD32" i="1"/>
  <c r="O20" i="1"/>
  <c r="AF20" i="1" s="1"/>
  <c r="J24" i="1"/>
  <c r="AA20" i="1"/>
  <c r="T20" i="1"/>
  <c r="AK20" i="1" s="1"/>
  <c r="BK279" i="1"/>
  <c r="BD279" i="1"/>
  <c r="AT175" i="1" a="1"/>
  <c r="AT175" i="1" s="1"/>
  <c r="AY326" i="1"/>
  <c r="BL20" i="1"/>
  <c r="AZ20" i="1"/>
  <c r="AU24" i="1"/>
  <c r="BE20" i="1"/>
  <c r="M49" i="1"/>
  <c r="W13" i="1"/>
  <c r="AN13" i="1" s="1"/>
  <c r="AD13" i="1"/>
  <c r="R13" i="1"/>
  <c r="AI13" i="1" s="1"/>
  <c r="BQ14" i="1"/>
  <c r="BV14" i="1"/>
  <c r="BJ285" i="1"/>
  <c r="AS289" i="1"/>
  <c r="AX336" i="1" s="1"/>
  <c r="BC285" i="1"/>
  <c r="AS181" i="1" a="1"/>
  <c r="AS181" i="1" s="1"/>
  <c r="AX332" i="1"/>
  <c r="BC40" i="1"/>
  <c r="AX40" i="1"/>
  <c r="AC32" i="1"/>
  <c r="V32" i="1"/>
  <c r="AM32" i="1" s="1"/>
  <c r="Q32" i="1"/>
  <c r="AH32" i="1" s="1"/>
  <c r="BI287" i="1"/>
  <c r="BB287" i="1"/>
  <c r="AR183" i="1" a="1"/>
  <c r="AR183" i="1" s="1"/>
  <c r="AW334" i="1"/>
  <c r="AZ12" i="1"/>
  <c r="AU48" i="1"/>
  <c r="BE12" i="1"/>
  <c r="AB41" i="1"/>
  <c r="U41" i="1"/>
  <c r="AL41" i="1" s="1"/>
  <c r="P41" i="1"/>
  <c r="AG41" i="1" s="1"/>
  <c r="BM13" i="1"/>
  <c r="BR13" i="1"/>
  <c r="AR50" i="1"/>
  <c r="BB14" i="1"/>
  <c r="AW14" i="1"/>
  <c r="Z23" i="1"/>
  <c r="N23" i="1"/>
  <c r="AE23" i="1" s="1"/>
  <c r="S23" i="1"/>
  <c r="AJ23" i="1" s="1"/>
  <c r="Z40" i="1"/>
  <c r="S40" i="1"/>
  <c r="AJ40" i="1" s="1"/>
  <c r="N40" i="1"/>
  <c r="AE40" i="1" s="1"/>
  <c r="AR24" i="1"/>
  <c r="BB20" i="1"/>
  <c r="AW20" i="1"/>
  <c r="BI20" i="1"/>
  <c r="BJ22" i="1"/>
  <c r="AX22" i="1"/>
  <c r="BC22" i="1"/>
  <c r="AC13" i="1"/>
  <c r="L49" i="1"/>
  <c r="Q13" i="1"/>
  <c r="AH13" i="1" s="1"/>
  <c r="V13" i="1"/>
  <c r="AM13" i="1" s="1"/>
  <c r="BH278" i="1"/>
  <c r="BA278" i="1"/>
  <c r="AQ174" i="1" a="1"/>
  <c r="AQ174" i="1" s="1"/>
  <c r="AV325" i="1"/>
  <c r="BE30" i="1"/>
  <c r="AZ30" i="1"/>
  <c r="AT15" i="1"/>
  <c r="BD11" i="1"/>
  <c r="AY11" i="1"/>
  <c r="AT47" i="1"/>
  <c r="AT51" i="1" s="1"/>
  <c r="W29" i="1"/>
  <c r="AN29" i="1" s="1"/>
  <c r="R29" i="1"/>
  <c r="AI29" i="1" s="1"/>
  <c r="M33" i="1"/>
  <c r="AD29" i="1"/>
  <c r="BB277" i="1"/>
  <c r="BI277" i="1"/>
  <c r="AR173" i="1" a="1"/>
  <c r="AR173" i="1" s="1"/>
  <c r="AW324" i="1"/>
  <c r="BD40" i="1"/>
  <c r="AY40" i="1"/>
  <c r="K47" i="1"/>
  <c r="U11" i="1"/>
  <c r="AL11" i="1" s="1"/>
  <c r="P11" i="1"/>
  <c r="AG11" i="1" s="1"/>
  <c r="AB11" i="1"/>
  <c r="K15" i="1"/>
  <c r="BL287" i="1"/>
  <c r="BE287" i="1"/>
  <c r="AU183" i="1" a="1"/>
  <c r="AU183" i="1" s="1"/>
  <c r="AZ334" i="1"/>
  <c r="AV22" i="1"/>
  <c r="BH22" i="1"/>
  <c r="BA22" i="1"/>
  <c r="S14" i="1"/>
  <c r="AJ14" i="1" s="1"/>
  <c r="N14" i="1"/>
  <c r="AE14" i="1" s="1"/>
  <c r="Z14" i="1"/>
  <c r="I50" i="1"/>
  <c r="BU13" i="1"/>
  <c r="BP13" i="1"/>
  <c r="AQ50" i="1"/>
  <c r="AV14" i="1"/>
  <c r="BA14" i="1"/>
  <c r="W20" i="1"/>
  <c r="AN20" i="1" s="1"/>
  <c r="R20" i="1"/>
  <c r="AI20" i="1" s="1"/>
  <c r="M24" i="1"/>
  <c r="AD20" i="1"/>
  <c r="R39" i="1"/>
  <c r="AI39" i="1" s="1"/>
  <c r="AD39" i="1"/>
  <c r="W39" i="1"/>
  <c r="AN39" i="1" s="1"/>
  <c r="BO13" i="1"/>
  <c r="BT13" i="1"/>
  <c r="BD22" i="1"/>
  <c r="BK22" i="1"/>
  <c r="AY22" i="1"/>
  <c r="P32" i="1"/>
  <c r="AG32" i="1" s="1"/>
  <c r="AB32" i="1"/>
  <c r="U32" i="1"/>
  <c r="AL32" i="1" s="1"/>
  <c r="P23" i="1"/>
  <c r="AG23" i="1" s="1"/>
  <c r="AB23" i="1"/>
  <c r="U23" i="1"/>
  <c r="AL23" i="1" s="1"/>
  <c r="BC32" i="1"/>
  <c r="AX32" i="1"/>
  <c r="AW30" i="1"/>
  <c r="BB30" i="1"/>
  <c r="V39" i="1"/>
  <c r="AM39" i="1" s="1"/>
  <c r="Q39" i="1"/>
  <c r="AH39" i="1" s="1"/>
  <c r="AC39" i="1"/>
  <c r="AU289" i="1"/>
  <c r="AZ336" i="1" s="1"/>
  <c r="BL285" i="1"/>
  <c r="BE285" i="1"/>
  <c r="AU181" i="1" a="1"/>
  <c r="AU181" i="1" s="1"/>
  <c r="AZ332" i="1"/>
  <c r="AT33" i="1"/>
  <c r="BD29" i="1"/>
  <c r="AY29" i="1"/>
  <c r="AA22" i="1"/>
  <c r="O22" i="1"/>
  <c r="AF22" i="1" s="1"/>
  <c r="T22" i="1"/>
  <c r="AK22" i="1" s="1"/>
  <c r="BK286" i="1"/>
  <c r="BD286" i="1"/>
  <c r="AT182" i="1" a="1"/>
  <c r="AT182" i="1" s="1"/>
  <c r="AY333" i="1"/>
  <c r="BE21" i="1"/>
  <c r="BL21" i="1"/>
  <c r="AZ21" i="1"/>
  <c r="W11" i="1"/>
  <c r="AN11" i="1" s="1"/>
  <c r="M47" i="1"/>
  <c r="M15" i="1"/>
  <c r="R11" i="1"/>
  <c r="AI11" i="1" s="1"/>
  <c r="AD11" i="1"/>
  <c r="BL15" i="1"/>
  <c r="BQ11" i="1"/>
  <c r="BV11" i="1"/>
  <c r="BJ288" i="1"/>
  <c r="BC288" i="1"/>
  <c r="AS184" i="1" a="1"/>
  <c r="AS184" i="1" s="1"/>
  <c r="AX335" i="1"/>
  <c r="AX41" i="1"/>
  <c r="BC41" i="1"/>
  <c r="L33" i="1"/>
  <c r="AC29" i="1"/>
  <c r="V29" i="1"/>
  <c r="AM29" i="1" s="1"/>
  <c r="Q29" i="1"/>
  <c r="AH29" i="1" s="1"/>
  <c r="BS13" i="1"/>
  <c r="BN13" i="1"/>
  <c r="AW41" i="1"/>
  <c r="BB41" i="1"/>
  <c r="J49" i="1"/>
  <c r="O13" i="1"/>
  <c r="AF13" i="1" s="1"/>
  <c r="AF49" i="1" s="1"/>
  <c r="AA13" i="1"/>
  <c r="T13" i="1"/>
  <c r="AK13" i="1" s="1"/>
  <c r="T32" i="1"/>
  <c r="AK32" i="1" s="1"/>
  <c r="O32" i="1"/>
  <c r="AF32" i="1" s="1"/>
  <c r="AA32" i="1"/>
  <c r="BA39" i="1"/>
  <c r="AV39" i="1"/>
  <c r="BE39" i="1"/>
  <c r="AZ39" i="1"/>
  <c r="Q22" i="1"/>
  <c r="AH22" i="1" s="1"/>
  <c r="AC22" i="1"/>
  <c r="V22" i="1"/>
  <c r="AM22" i="1" s="1"/>
  <c r="BD287" i="1"/>
  <c r="BK287" i="1"/>
  <c r="AT183" i="1" a="1"/>
  <c r="AT183" i="1" s="1"/>
  <c r="AY334" i="1"/>
  <c r="AX13" i="1"/>
  <c r="AS49" i="1"/>
  <c r="BC13" i="1"/>
  <c r="Z32" i="1"/>
  <c r="S32" i="1"/>
  <c r="AJ32" i="1" s="1"/>
  <c r="N32" i="1"/>
  <c r="AE32" i="1" s="1"/>
  <c r="BH288" i="1"/>
  <c r="BA288" i="1"/>
  <c r="AQ184" i="1" a="1"/>
  <c r="AQ184" i="1" s="1"/>
  <c r="AV335" i="1"/>
  <c r="BJ276" i="1"/>
  <c r="AS280" i="1"/>
  <c r="AX327" i="1" s="1"/>
  <c r="BC276" i="1"/>
  <c r="AS172" i="1" a="1"/>
  <c r="AS172" i="1" s="1"/>
  <c r="AX323" i="1"/>
  <c r="AV31" i="1"/>
  <c r="BA31" i="1"/>
  <c r="J42" i="1"/>
  <c r="O38" i="1"/>
  <c r="AF38" i="1" s="1"/>
  <c r="AA38" i="1"/>
  <c r="T38" i="1"/>
  <c r="AK38" i="1" s="1"/>
  <c r="AR280" i="1"/>
  <c r="AW327" i="1" s="1"/>
  <c r="BB276" i="1"/>
  <c r="AR172" i="1" a="1"/>
  <c r="AR172" i="1" s="1"/>
  <c r="BI276" i="1"/>
  <c r="AW323" i="1"/>
  <c r="BD41" i="1"/>
  <c r="AY41" i="1"/>
  <c r="K50" i="1"/>
  <c r="U14" i="1"/>
  <c r="AL14" i="1" s="1"/>
  <c r="P14" i="1"/>
  <c r="AG14" i="1" s="1"/>
  <c r="AB14" i="1"/>
  <c r="AB50" i="1" s="1"/>
  <c r="BL286" i="1"/>
  <c r="BE286" i="1"/>
  <c r="AU182" i="1" a="1"/>
  <c r="AU182" i="1" s="1"/>
  <c r="AZ333" i="1"/>
  <c r="BH20" i="1"/>
  <c r="AV20" i="1"/>
  <c r="AQ24" i="1"/>
  <c r="BA20" i="1"/>
  <c r="S13" i="1"/>
  <c r="AJ13" i="1" s="1"/>
  <c r="N13" i="1"/>
  <c r="AE13" i="1" s="1"/>
  <c r="Z13" i="1"/>
  <c r="I49" i="1"/>
  <c r="BU12" i="1"/>
  <c r="BP12" i="1"/>
  <c r="AQ47" i="1"/>
  <c r="AQ51" i="1" s="1"/>
  <c r="AV11" i="1"/>
  <c r="BA11" i="1"/>
  <c r="AQ15" i="1"/>
  <c r="R21" i="1"/>
  <c r="AI21" i="1" s="1"/>
  <c r="AD21" i="1"/>
  <c r="W21" i="1"/>
  <c r="AN21" i="1" s="1"/>
  <c r="AD40" i="1"/>
  <c r="W40" i="1"/>
  <c r="AN40" i="1" s="1"/>
  <c r="R40" i="1"/>
  <c r="AI40" i="1" s="1"/>
  <c r="BO12" i="1"/>
  <c r="BT12" i="1"/>
  <c r="BK21" i="1"/>
  <c r="AY21" i="1"/>
  <c r="BD21" i="1"/>
  <c r="K33" i="1"/>
  <c r="AB29" i="1"/>
  <c r="U29" i="1"/>
  <c r="AL29" i="1" s="1"/>
  <c r="P29" i="1"/>
  <c r="AG29" i="1" s="1"/>
  <c r="U20" i="1"/>
  <c r="AL20" i="1" s="1"/>
  <c r="K24" i="1"/>
  <c r="AB20" i="1"/>
  <c r="P20" i="1"/>
  <c r="AG20" i="1" s="1"/>
  <c r="AX29" i="1"/>
  <c r="BC29" i="1"/>
  <c r="AS33" i="1"/>
  <c r="BB31" i="1"/>
  <c r="AW31" i="1"/>
  <c r="V41" i="1"/>
  <c r="AM41" i="1" s="1"/>
  <c r="Q41" i="1"/>
  <c r="AH41" i="1" s="1"/>
  <c r="AC41" i="1"/>
  <c r="BL277" i="1"/>
  <c r="BE277" i="1"/>
  <c r="AU173" i="1" a="1"/>
  <c r="AU173" i="1" s="1"/>
  <c r="AZ324" i="1"/>
  <c r="BD30" i="1"/>
  <c r="AY30" i="1"/>
  <c r="T23" i="1"/>
  <c r="AK23" i="1" s="1"/>
  <c r="O23" i="1"/>
  <c r="AF23" i="1" s="1"/>
  <c r="AA23" i="1"/>
  <c r="BK288" i="1"/>
  <c r="BD288" i="1"/>
  <c r="AT184" i="1" a="1"/>
  <c r="AT184" i="1" s="1"/>
  <c r="AY335" i="1"/>
  <c r="BE23" i="1"/>
  <c r="BL23" i="1"/>
  <c r="AZ23" i="1"/>
  <c r="M48" i="1"/>
  <c r="W12" i="1"/>
  <c r="AN12" i="1" s="1"/>
  <c r="R12" i="1"/>
  <c r="AI12" i="1" s="1"/>
  <c r="AD12" i="1"/>
  <c r="BQ13" i="1"/>
  <c r="BV13" i="1"/>
  <c r="BJ287" i="1"/>
  <c r="BC287" i="1"/>
  <c r="AS183" i="1" a="1"/>
  <c r="AS183" i="1" s="1"/>
  <c r="AX334" i="1"/>
  <c r="AX38" i="1"/>
  <c r="BC38" i="1"/>
  <c r="AS42" i="1"/>
  <c r="V30" i="1"/>
  <c r="AM30" i="1" s="1"/>
  <c r="Q30" i="1"/>
  <c r="AH30" i="1" s="1"/>
  <c r="AC30" i="1"/>
  <c r="BS12" i="1"/>
  <c r="BN12" i="1"/>
  <c r="AW39" i="1"/>
  <c r="BB39" i="1"/>
  <c r="O11" i="1"/>
  <c r="AF11" i="1" s="1"/>
  <c r="J15" i="1"/>
  <c r="AA11" i="1"/>
  <c r="T11" i="1"/>
  <c r="AK11" i="1" s="1"/>
  <c r="J47" i="1"/>
  <c r="O29" i="1"/>
  <c r="AF29" i="1" s="1"/>
  <c r="J33" i="1"/>
  <c r="AA29" i="1"/>
  <c r="T29" i="1"/>
  <c r="AK29" i="1" s="1"/>
  <c r="AV40" i="1"/>
  <c r="BA40" i="1"/>
  <c r="AZ40" i="1"/>
  <c r="BE40" i="1"/>
  <c r="L24" i="1"/>
  <c r="AC20" i="1"/>
  <c r="Q20" i="1"/>
  <c r="AH20" i="1" s="1"/>
  <c r="V20" i="1"/>
  <c r="AM20" i="1" s="1"/>
  <c r="BD278" i="1"/>
  <c r="BK278" i="1"/>
  <c r="AT174" i="1" a="1"/>
  <c r="AT174" i="1" s="1"/>
  <c r="AY325" i="1"/>
  <c r="AS48" i="1"/>
  <c r="AX12" i="1"/>
  <c r="BC12" i="1"/>
  <c r="S29" i="1"/>
  <c r="AJ29" i="1" s="1"/>
  <c r="N29" i="1"/>
  <c r="AE29" i="1" s="1"/>
  <c r="I33" i="1"/>
  <c r="Z29" i="1"/>
  <c r="BH279" i="1"/>
  <c r="BA279" i="1"/>
  <c r="AQ175" i="1" a="1"/>
  <c r="AQ175" i="1" s="1"/>
  <c r="AV326" i="1"/>
  <c r="BJ286" i="1"/>
  <c r="BC286" i="1"/>
  <c r="AS182" i="1" a="1"/>
  <c r="AS182" i="1" s="1"/>
  <c r="AX333" i="1"/>
  <c r="BA32" i="1"/>
  <c r="AV32" i="1"/>
  <c r="AA39" i="1"/>
  <c r="T39" i="1"/>
  <c r="AK39" i="1" s="1"/>
  <c r="O39" i="1"/>
  <c r="AF39" i="1" s="1"/>
  <c r="BB286" i="1"/>
  <c r="BI286" i="1"/>
  <c r="AR182" i="1" a="1"/>
  <c r="AR182" i="1" s="1"/>
  <c r="AW333" i="1"/>
  <c r="AU50" i="1"/>
  <c r="AZ14" i="1"/>
  <c r="BE14" i="1"/>
  <c r="AB38" i="1"/>
  <c r="K42" i="1"/>
  <c r="U38" i="1"/>
  <c r="AL38" i="1" s="1"/>
  <c r="P38" i="1"/>
  <c r="AG38" i="1" s="1"/>
  <c r="BM12" i="1"/>
  <c r="BR12" i="1"/>
  <c r="AR47" i="1"/>
  <c r="AR51" i="1" s="1"/>
  <c r="AR15" i="1"/>
  <c r="BB11" i="1"/>
  <c r="BB47" i="1" s="1"/>
  <c r="AW11" i="1"/>
  <c r="S22" i="1"/>
  <c r="AJ22" i="1" s="1"/>
  <c r="Z22" i="1"/>
  <c r="N22" i="1"/>
  <c r="AE22" i="1" s="1"/>
  <c r="S38" i="1"/>
  <c r="AJ38" i="1" s="1"/>
  <c r="N38" i="1"/>
  <c r="AE38" i="1" s="1"/>
  <c r="I42" i="1"/>
  <c r="Z38" i="1"/>
  <c r="BB22" i="1"/>
  <c r="AW22" i="1"/>
  <c r="BI22" i="1"/>
  <c r="AX20" i="1"/>
  <c r="BJ20" i="1"/>
  <c r="AS24" i="1"/>
  <c r="BC20" i="1"/>
  <c r="Q12" i="1"/>
  <c r="AH12" i="1" s="1"/>
  <c r="L48" i="1"/>
  <c r="AC12" i="1"/>
  <c r="V12" i="1"/>
  <c r="AM12" i="1" s="1"/>
  <c r="BH277" i="1"/>
  <c r="BA277" i="1"/>
  <c r="AQ173" i="1" a="1"/>
  <c r="AQ173" i="1" s="1"/>
  <c r="AV324" i="1"/>
  <c r="AZ31" i="1"/>
  <c r="BE31" i="1"/>
  <c r="AT49" i="1"/>
  <c r="BD13" i="1"/>
  <c r="AY13" i="1"/>
  <c r="R30" i="1"/>
  <c r="AI30" i="1" s="1"/>
  <c r="AD30" i="1"/>
  <c r="W30" i="1"/>
  <c r="AN30" i="1" s="1"/>
  <c r="CH345" i="1"/>
  <c r="BC30" i="1"/>
  <c r="AX30" i="1"/>
  <c r="BB32" i="1"/>
  <c r="AW32" i="1"/>
  <c r="Q40" i="1"/>
  <c r="AH40" i="1" s="1"/>
  <c r="AC40" i="1"/>
  <c r="V40" i="1"/>
  <c r="AM40" i="1" s="1"/>
  <c r="AU280" i="1"/>
  <c r="AZ327" i="1" s="1"/>
  <c r="BL276" i="1"/>
  <c r="BE276" i="1"/>
  <c r="BE280" i="1" s="1"/>
  <c r="AU172" i="1" a="1"/>
  <c r="AU172" i="1" s="1"/>
  <c r="AZ323" i="1"/>
  <c r="BD31" i="1"/>
  <c r="AY31" i="1"/>
  <c r="T21" i="1"/>
  <c r="AK21" i="1" s="1"/>
  <c r="AA21" i="1"/>
  <c r="O21" i="1"/>
  <c r="AF21" i="1" s="1"/>
  <c r="BD285" i="1"/>
  <c r="BK285" i="1"/>
  <c r="AT289" i="1"/>
  <c r="AY336" i="1" s="1"/>
  <c r="AT181" i="1" a="1"/>
  <c r="AT181" i="1" s="1"/>
  <c r="AY332" i="1"/>
  <c r="AZ22" i="1"/>
  <c r="BL22" i="1"/>
  <c r="BE22" i="1"/>
  <c r="M50" i="1"/>
  <c r="W14" i="1"/>
  <c r="AN14" i="1" s="1"/>
  <c r="AD14" i="1"/>
  <c r="R14" i="1"/>
  <c r="AI14" i="1" s="1"/>
  <c r="BQ12" i="1"/>
  <c r="BV12" i="1"/>
  <c r="BJ278" i="1"/>
  <c r="BC278" i="1"/>
  <c r="AS174" i="1" a="1"/>
  <c r="AS174" i="1" s="1"/>
  <c r="AX325" i="1"/>
  <c r="BC39" i="1"/>
  <c r="AX39" i="1"/>
  <c r="Q31" i="1"/>
  <c r="AH31" i="1" s="1"/>
  <c r="AC31" i="1"/>
  <c r="V31" i="1"/>
  <c r="AM31" i="1" s="1"/>
  <c r="BS14" i="1"/>
  <c r="BN14" i="1"/>
  <c r="BB40" i="1"/>
  <c r="AW40" i="1"/>
  <c r="AA14" i="1"/>
  <c r="J50" i="1"/>
  <c r="O14" i="1"/>
  <c r="AF14" i="1" s="1"/>
  <c r="T14" i="1"/>
  <c r="AK14" i="1" s="1"/>
  <c r="AA30" i="1"/>
  <c r="T30" i="1"/>
  <c r="AK30" i="1" s="1"/>
  <c r="O30" i="1"/>
  <c r="AF30" i="1" s="1"/>
  <c r="AQ42" i="1"/>
  <c r="BA38" i="1"/>
  <c r="AV38" i="1"/>
  <c r="BE41" i="1"/>
  <c r="AZ41" i="1"/>
  <c r="V23" i="1"/>
  <c r="AM23" i="1" s="1"/>
  <c r="Q23" i="1"/>
  <c r="AH23" i="1" s="1"/>
  <c r="AC23" i="1"/>
  <c r="BD277" i="1"/>
  <c r="BK277" i="1"/>
  <c r="AT173" i="1" a="1"/>
  <c r="AT173" i="1" s="1"/>
  <c r="AY324" i="1"/>
  <c r="AX14" i="1"/>
  <c r="AS50" i="1"/>
  <c r="BC14" i="1"/>
  <c r="N30" i="1"/>
  <c r="AE30" i="1" s="1"/>
  <c r="Z30" i="1"/>
  <c r="S30" i="1"/>
  <c r="AJ30" i="1" s="1"/>
  <c r="BH287" i="1"/>
  <c r="BA287" i="1"/>
  <c r="AQ183" i="1" a="1"/>
  <c r="AQ183" i="1" s="1"/>
  <c r="AV334" i="1"/>
  <c r="BC279" i="1"/>
  <c r="BJ279" i="1"/>
  <c r="AS175" i="1" a="1"/>
  <c r="AS175" i="1" s="1"/>
  <c r="AX326" i="1"/>
  <c r="AQ33" i="1"/>
  <c r="BA29" i="1"/>
  <c r="AV29" i="1"/>
  <c r="AA41" i="1"/>
  <c r="T41" i="1"/>
  <c r="AK41" i="1" s="1"/>
  <c r="O41" i="1"/>
  <c r="AF41" i="1" s="1"/>
  <c r="BB288" i="1"/>
  <c r="BI288" i="1"/>
  <c r="AR184" i="1" a="1"/>
  <c r="AR184" i="1" s="1"/>
  <c r="AW335" i="1"/>
  <c r="AU47" i="1"/>
  <c r="AU51" i="1" s="1"/>
  <c r="AZ11" i="1"/>
  <c r="AZ47" i="1" s="1"/>
  <c r="AU15" i="1"/>
  <c r="BE11" i="1"/>
  <c r="AB39" i="1"/>
  <c r="U39" i="1"/>
  <c r="AL39" i="1" s="1"/>
  <c r="P39" i="1"/>
  <c r="AG39" i="1" s="1"/>
  <c r="BM14" i="1"/>
  <c r="BR14" i="1"/>
  <c r="AR49" i="1"/>
  <c r="BB13" i="1"/>
  <c r="AW13" i="1"/>
  <c r="S20" i="1"/>
  <c r="AJ20" i="1" s="1"/>
  <c r="Z20" i="1"/>
  <c r="I24" i="1"/>
  <c r="N20" i="1"/>
  <c r="AE20" i="1" s="1"/>
  <c r="N39" i="1"/>
  <c r="AE39" i="1" s="1"/>
  <c r="Z39" i="1"/>
  <c r="S39" i="1"/>
  <c r="AJ39" i="1" s="1"/>
  <c r="BI23" i="1"/>
  <c r="AW23" i="1"/>
  <c r="BB23" i="1"/>
  <c r="BC23" i="1"/>
  <c r="BJ23" i="1"/>
  <c r="AX23" i="1"/>
  <c r="Q14" i="1"/>
  <c r="AH14" i="1" s="1"/>
  <c r="L50" i="1"/>
  <c r="AC14" i="1"/>
  <c r="V14" i="1"/>
  <c r="AM14" i="1" s="1"/>
  <c r="BH276" i="1"/>
  <c r="AQ280" i="1"/>
  <c r="AV327" i="1" s="1"/>
  <c r="BA276" i="1"/>
  <c r="AQ172" i="1" a="1"/>
  <c r="AQ172" i="1" s="1"/>
  <c r="AV323" i="1"/>
  <c r="BE32" i="1"/>
  <c r="AZ32" i="1"/>
  <c r="BD12" i="1"/>
  <c r="AY12" i="1"/>
  <c r="AT48" i="1"/>
  <c r="AD31" i="1"/>
  <c r="W31" i="1"/>
  <c r="AN31" i="1" s="1"/>
  <c r="R31" i="1"/>
  <c r="AI31" i="1" s="1"/>
  <c r="AR289" i="1"/>
  <c r="AW336" i="1" s="1"/>
  <c r="BI285" i="1"/>
  <c r="BB285" i="1"/>
  <c r="BB289" i="1" s="1"/>
  <c r="AR181" i="1" a="1"/>
  <c r="AR181" i="1" s="1"/>
  <c r="AW332" i="1"/>
  <c r="AT42" i="1"/>
  <c r="BD38" i="1"/>
  <c r="AY38" i="1"/>
  <c r="K49" i="1"/>
  <c r="U13" i="1"/>
  <c r="AL13" i="1" s="1"/>
  <c r="AB13" i="1"/>
  <c r="P13" i="1"/>
  <c r="AG13" i="1" s="1"/>
  <c r="BL288" i="1"/>
  <c r="BE288" i="1"/>
  <c r="AU184" i="1" a="1"/>
  <c r="AU184" i="1" s="1"/>
  <c r="AZ335" i="1"/>
  <c r="BA21" i="1"/>
  <c r="AV21" i="1"/>
  <c r="BH21" i="1"/>
  <c r="I48" i="1"/>
  <c r="S12" i="1"/>
  <c r="AJ12" i="1" s="1"/>
  <c r="Z12" i="1"/>
  <c r="N12" i="1"/>
  <c r="AE12" i="1" s="1"/>
  <c r="BU14" i="1"/>
  <c r="BP14" i="1"/>
  <c r="AQ49" i="1"/>
  <c r="AV13" i="1"/>
  <c r="BA13" i="1"/>
  <c r="AD23" i="1"/>
  <c r="R23" i="1"/>
  <c r="AI23" i="1" s="1"/>
  <c r="W23" i="1"/>
  <c r="AN23" i="1" s="1"/>
  <c r="R41" i="1"/>
  <c r="AI41" i="1" s="1"/>
  <c r="AD41" i="1"/>
  <c r="W41" i="1"/>
  <c r="AN41" i="1" s="1"/>
  <c r="BO14" i="1"/>
  <c r="BT14" i="1"/>
  <c r="AY23" i="1"/>
  <c r="BK23" i="1"/>
  <c r="BD23" i="1"/>
  <c r="AB30" i="1"/>
  <c r="U30" i="1"/>
  <c r="AL30" i="1" s="1"/>
  <c r="P30" i="1"/>
  <c r="AG30" i="1" s="1"/>
  <c r="U22" i="1"/>
  <c r="AL22" i="1" s="1"/>
  <c r="P22" i="1"/>
  <c r="AG22" i="1" s="1"/>
  <c r="AB22" i="1"/>
  <c r="AJ48" i="1" l="1"/>
  <c r="AI47" i="1"/>
  <c r="AM50" i="1"/>
  <c r="AX49" i="1"/>
  <c r="AA49" i="1"/>
  <c r="AN47" i="1"/>
  <c r="BD289" i="1"/>
  <c r="BD48" i="1"/>
  <c r="AF47" i="1"/>
  <c r="AG50" i="1"/>
  <c r="Z48" i="1"/>
  <c r="BC50" i="1"/>
  <c r="AM49" i="1"/>
  <c r="BA49" i="1"/>
  <c r="AH50" i="1"/>
  <c r="Z24" i="1"/>
  <c r="AA50" i="1"/>
  <c r="AI50" i="1"/>
  <c r="AW47" i="1"/>
  <c r="Z49" i="1"/>
  <c r="BC49" i="1"/>
  <c r="AH48" i="1"/>
  <c r="AE50" i="1"/>
  <c r="AL49" i="1"/>
  <c r="BE47" i="1"/>
  <c r="AF50" i="1"/>
  <c r="AM48" i="1"/>
  <c r="Z33" i="1"/>
  <c r="BC48" i="1"/>
  <c r="AZ48" i="1"/>
  <c r="BH172" i="1"/>
  <c r="BA172" i="1"/>
  <c r="AQ176" i="1"/>
  <c r="BS288" i="1"/>
  <c r="BN335" i="1"/>
  <c r="CE335" i="1" s="1"/>
  <c r="BZ288" i="1"/>
  <c r="BR287" i="1"/>
  <c r="BM334" i="1"/>
  <c r="CD334" i="1" s="1"/>
  <c r="BY287" i="1"/>
  <c r="BA175" i="1"/>
  <c r="BH175" i="1"/>
  <c r="S33" i="1"/>
  <c r="AJ33" i="1" s="1"/>
  <c r="N33" i="1"/>
  <c r="AE33" i="1" s="1"/>
  <c r="AX48" i="1"/>
  <c r="BU278" i="1"/>
  <c r="BP325" i="1"/>
  <c r="CG325" i="1" s="1"/>
  <c r="CB278" i="1"/>
  <c r="AC24" i="1"/>
  <c r="T47" i="1"/>
  <c r="J51" i="1"/>
  <c r="O47" i="1"/>
  <c r="W48" i="1"/>
  <c r="R48" i="1"/>
  <c r="BC33" i="1"/>
  <c r="AX33" i="1"/>
  <c r="AV15" i="1"/>
  <c r="BA15" i="1"/>
  <c r="AV24" i="1"/>
  <c r="BA24" i="1"/>
  <c r="BL182" i="1"/>
  <c r="BE182" i="1"/>
  <c r="AZ229" i="1"/>
  <c r="BI172" i="1"/>
  <c r="BB172" i="1"/>
  <c r="AR176" i="1"/>
  <c r="BC172" i="1"/>
  <c r="AS176" i="1"/>
  <c r="BJ172" i="1"/>
  <c r="BU287" i="1"/>
  <c r="BP334" i="1"/>
  <c r="CG334" i="1" s="1"/>
  <c r="CB287" i="1"/>
  <c r="BJ184" i="1"/>
  <c r="BC184" i="1"/>
  <c r="AX231" i="1"/>
  <c r="BD182" i="1"/>
  <c r="BK182" i="1"/>
  <c r="AY229" i="1"/>
  <c r="BD33" i="1"/>
  <c r="AY33" i="1"/>
  <c r="BE289" i="1"/>
  <c r="R24" i="1"/>
  <c r="AI24" i="1" s="1"/>
  <c r="W24" i="1"/>
  <c r="AN24" i="1" s="1"/>
  <c r="AV50" i="1"/>
  <c r="AJ50" i="1"/>
  <c r="P15" i="1"/>
  <c r="AG15" i="1" s="1"/>
  <c r="U15" i="1"/>
  <c r="AL15" i="1" s="1"/>
  <c r="P47" i="1"/>
  <c r="K51" i="1"/>
  <c r="U47" i="1"/>
  <c r="AD33" i="1"/>
  <c r="BD51" i="1"/>
  <c r="AY51" i="1"/>
  <c r="BH174" i="1"/>
  <c r="BA174" i="1"/>
  <c r="AH49" i="1"/>
  <c r="AW50" i="1"/>
  <c r="AS185" i="1"/>
  <c r="AX232" i="1" s="1"/>
  <c r="BJ181" i="1"/>
  <c r="BC181" i="1"/>
  <c r="AX228" i="1"/>
  <c r="AD49" i="1"/>
  <c r="AZ24" i="1"/>
  <c r="BE24" i="1"/>
  <c r="BK175" i="1"/>
  <c r="BD175" i="1"/>
  <c r="AA24" i="1"/>
  <c r="V42" i="1"/>
  <c r="AM42" i="1" s="1"/>
  <c r="Q42" i="1"/>
  <c r="AH42" i="1" s="1"/>
  <c r="AV48" i="1"/>
  <c r="AJ47" i="1"/>
  <c r="BV279" i="1"/>
  <c r="BQ326" i="1"/>
  <c r="CH326" i="1" s="1"/>
  <c r="CC279" i="1"/>
  <c r="AL48" i="1"/>
  <c r="AZ33" i="1"/>
  <c r="BE33" i="1"/>
  <c r="BH182" i="1"/>
  <c r="BA182" i="1"/>
  <c r="AV229" i="1"/>
  <c r="AC47" i="1"/>
  <c r="AC15" i="1"/>
  <c r="BB48" i="1"/>
  <c r="BR15" i="1"/>
  <c r="BM15" i="1"/>
  <c r="BA289" i="1"/>
  <c r="AX47" i="1"/>
  <c r="AT176" i="1"/>
  <c r="BK172" i="1"/>
  <c r="BD172" i="1"/>
  <c r="O48" i="1"/>
  <c r="T48" i="1"/>
  <c r="BK173" i="1"/>
  <c r="BD173" i="1"/>
  <c r="AK50" i="1"/>
  <c r="AD50" i="1"/>
  <c r="BV22" i="1"/>
  <c r="BQ22" i="1"/>
  <c r="BV276" i="1"/>
  <c r="BL280" i="1"/>
  <c r="BQ327" i="1" s="1"/>
  <c r="BQ323" i="1"/>
  <c r="CH323" i="1" s="1"/>
  <c r="CC276" i="1"/>
  <c r="BD49" i="1"/>
  <c r="BR277" i="1"/>
  <c r="BM324" i="1"/>
  <c r="CD324" i="1" s="1"/>
  <c r="BY277" i="1"/>
  <c r="Z42" i="1"/>
  <c r="U42" i="1"/>
  <c r="AL42" i="1" s="1"/>
  <c r="P42" i="1"/>
  <c r="AG42" i="1" s="1"/>
  <c r="BU23" i="1"/>
  <c r="BP23" i="1"/>
  <c r="AV49" i="1"/>
  <c r="S48" i="1"/>
  <c r="N48" i="1"/>
  <c r="AG49" i="1"/>
  <c r="BA280" i="1"/>
  <c r="AC50" i="1"/>
  <c r="BO23" i="1"/>
  <c r="BT23" i="1"/>
  <c r="BS23" i="1"/>
  <c r="BN23" i="1"/>
  <c r="AW49" i="1"/>
  <c r="AZ51" i="1"/>
  <c r="BE51" i="1"/>
  <c r="BU277" i="1"/>
  <c r="BP324" i="1"/>
  <c r="CG324" i="1" s="1"/>
  <c r="CB277" i="1"/>
  <c r="BC174" i="1"/>
  <c r="BJ174" i="1"/>
  <c r="AN50" i="1"/>
  <c r="BK289" i="1"/>
  <c r="BP336" i="1" s="1"/>
  <c r="BU285" i="1"/>
  <c r="BP332" i="1"/>
  <c r="CG332" i="1" s="1"/>
  <c r="CB285" i="1"/>
  <c r="BN22" i="1"/>
  <c r="BS22" i="1"/>
  <c r="N42" i="1"/>
  <c r="AE42" i="1" s="1"/>
  <c r="S42" i="1"/>
  <c r="AJ42" i="1" s="1"/>
  <c r="BB15" i="1"/>
  <c r="AW15" i="1"/>
  <c r="AB42" i="1"/>
  <c r="V24" i="1"/>
  <c r="AM24" i="1" s="1"/>
  <c r="Q24" i="1"/>
  <c r="AH24" i="1" s="1"/>
  <c r="AA33" i="1"/>
  <c r="AK47" i="1"/>
  <c r="BT287" i="1"/>
  <c r="BO334" i="1"/>
  <c r="CF334" i="1" s="1"/>
  <c r="CA287" i="1"/>
  <c r="AD48" i="1"/>
  <c r="BD184" i="1"/>
  <c r="BK184" i="1"/>
  <c r="AY231" i="1"/>
  <c r="BV277" i="1"/>
  <c r="BQ324" i="1"/>
  <c r="CH324" i="1" s="1"/>
  <c r="CC277" i="1"/>
  <c r="AB24" i="1"/>
  <c r="BA47" i="1"/>
  <c r="AE49" i="1"/>
  <c r="AL50" i="1"/>
  <c r="BB280" i="1"/>
  <c r="AA42" i="1"/>
  <c r="BC280" i="1"/>
  <c r="BH184" i="1"/>
  <c r="BA184" i="1"/>
  <c r="AV231" i="1"/>
  <c r="T49" i="1"/>
  <c r="O49" i="1"/>
  <c r="R15" i="1"/>
  <c r="AI15" i="1" s="1"/>
  <c r="W15" i="1"/>
  <c r="AN15" i="1" s="1"/>
  <c r="BQ21" i="1"/>
  <c r="BV21" i="1"/>
  <c r="BV285" i="1"/>
  <c r="BL289" i="1"/>
  <c r="BQ336" i="1" s="1"/>
  <c r="BQ332" i="1"/>
  <c r="CH332" i="1" s="1"/>
  <c r="CC285" i="1"/>
  <c r="S50" i="1"/>
  <c r="N50" i="1"/>
  <c r="BL183" i="1"/>
  <c r="BE183" i="1"/>
  <c r="AZ230" i="1"/>
  <c r="AB15" i="1"/>
  <c r="AB47" i="1"/>
  <c r="BI173" i="1"/>
  <c r="BB173" i="1"/>
  <c r="W33" i="1"/>
  <c r="AN33" i="1" s="1"/>
  <c r="R33" i="1"/>
  <c r="AI33" i="1" s="1"/>
  <c r="AY47" i="1"/>
  <c r="V49" i="1"/>
  <c r="Q49" i="1"/>
  <c r="BT22" i="1"/>
  <c r="BO22" i="1"/>
  <c r="BB24" i="1"/>
  <c r="AW24" i="1"/>
  <c r="BB50" i="1"/>
  <c r="BE48" i="1"/>
  <c r="BB183" i="1"/>
  <c r="BI183" i="1"/>
  <c r="AW230" i="1"/>
  <c r="BC289" i="1"/>
  <c r="AN49" i="1"/>
  <c r="T24" i="1"/>
  <c r="AK24" i="1" s="1"/>
  <c r="O24" i="1"/>
  <c r="AF24" i="1" s="1"/>
  <c r="BV278" i="1"/>
  <c r="BQ325" i="1"/>
  <c r="CH325" i="1" s="1"/>
  <c r="CC278" i="1"/>
  <c r="AC42" i="1"/>
  <c r="BB33" i="1"/>
  <c r="AW33" i="1"/>
  <c r="BT15" i="1"/>
  <c r="BO15" i="1"/>
  <c r="BP15" i="1"/>
  <c r="BU15" i="1"/>
  <c r="N15" i="1"/>
  <c r="AE15" i="1" s="1"/>
  <c r="S15" i="1"/>
  <c r="AJ15" i="1" s="1"/>
  <c r="S47" i="1"/>
  <c r="N47" i="1"/>
  <c r="I51" i="1"/>
  <c r="AG48" i="1"/>
  <c r="BI174" i="1"/>
  <c r="BB174" i="1"/>
  <c r="BD50" i="1"/>
  <c r="BR286" i="1"/>
  <c r="BM333" i="1"/>
  <c r="CD333" i="1" s="1"/>
  <c r="BY286" i="1"/>
  <c r="V15" i="1"/>
  <c r="AM15" i="1" s="1"/>
  <c r="Q15" i="1"/>
  <c r="AH15" i="1" s="1"/>
  <c r="BE49" i="1"/>
  <c r="BI175" i="1"/>
  <c r="BB175" i="1"/>
  <c r="BT277" i="1"/>
  <c r="BO324" i="1"/>
  <c r="CF324" i="1" s="1"/>
  <c r="CA277" i="1"/>
  <c r="BR285" i="1"/>
  <c r="BH289" i="1"/>
  <c r="BM336" i="1" s="1"/>
  <c r="BM332" i="1"/>
  <c r="CD332" i="1" s="1"/>
  <c r="BY285" i="1"/>
  <c r="AX51" i="1"/>
  <c r="BC51" i="1"/>
  <c r="BK280" i="1"/>
  <c r="BP327" i="1" s="1"/>
  <c r="BU276" i="1"/>
  <c r="BP323" i="1"/>
  <c r="CG323" i="1" s="1"/>
  <c r="CB276" i="1"/>
  <c r="AK48" i="1"/>
  <c r="BN15" i="1"/>
  <c r="BS15" i="1"/>
  <c r="BV288" i="1"/>
  <c r="BQ335" i="1"/>
  <c r="CH335" i="1" s="1"/>
  <c r="CC288" i="1"/>
  <c r="U49" i="1"/>
  <c r="P49" i="1"/>
  <c r="BD42" i="1"/>
  <c r="AY42" i="1"/>
  <c r="BI289" i="1"/>
  <c r="BN336" i="1" s="1"/>
  <c r="BS285" i="1"/>
  <c r="BN332" i="1"/>
  <c r="CE332" i="1" s="1"/>
  <c r="BZ285" i="1"/>
  <c r="BJ182" i="1"/>
  <c r="BC182" i="1"/>
  <c r="AX229" i="1"/>
  <c r="AE48" i="1"/>
  <c r="BM21" i="1"/>
  <c r="BR21" i="1"/>
  <c r="BL184" i="1"/>
  <c r="BE184" i="1"/>
  <c r="AZ231" i="1"/>
  <c r="AB49" i="1"/>
  <c r="BB181" i="1"/>
  <c r="AR185" i="1"/>
  <c r="AW232" i="1" s="1"/>
  <c r="BI181" i="1"/>
  <c r="AW228" i="1"/>
  <c r="AY48" i="1"/>
  <c r="V50" i="1"/>
  <c r="Q50" i="1"/>
  <c r="N24" i="1"/>
  <c r="AE24" i="1" s="1"/>
  <c r="S24" i="1"/>
  <c r="AJ24" i="1" s="1"/>
  <c r="BB49" i="1"/>
  <c r="BJ175" i="1"/>
  <c r="BC175" i="1"/>
  <c r="BH183" i="1"/>
  <c r="BA183" i="1"/>
  <c r="AV230" i="1"/>
  <c r="AX50" i="1"/>
  <c r="O50" i="1"/>
  <c r="T50" i="1"/>
  <c r="W50" i="1"/>
  <c r="R50" i="1"/>
  <c r="BL172" i="1"/>
  <c r="BE172" i="1"/>
  <c r="AU176" i="1"/>
  <c r="BA173" i="1"/>
  <c r="BH173" i="1"/>
  <c r="AC48" i="1"/>
  <c r="AX24" i="1"/>
  <c r="BC24" i="1"/>
  <c r="BB51" i="1"/>
  <c r="AW51" i="1"/>
  <c r="BE50" i="1"/>
  <c r="BI182" i="1"/>
  <c r="BB182" i="1"/>
  <c r="AW229" i="1"/>
  <c r="BT286" i="1"/>
  <c r="BO333" i="1"/>
  <c r="CF333" i="1" s="1"/>
  <c r="CA286" i="1"/>
  <c r="BR279" i="1"/>
  <c r="BM326" i="1"/>
  <c r="CD326" i="1" s="1"/>
  <c r="BY279" i="1"/>
  <c r="T33" i="1"/>
  <c r="AK33" i="1" s="1"/>
  <c r="O33" i="1"/>
  <c r="AF33" i="1" s="1"/>
  <c r="AA47" i="1"/>
  <c r="AA15" i="1"/>
  <c r="AX42" i="1"/>
  <c r="BC42" i="1"/>
  <c r="AI48" i="1"/>
  <c r="BQ23" i="1"/>
  <c r="BV23" i="1"/>
  <c r="P24" i="1"/>
  <c r="AG24" i="1" s="1"/>
  <c r="U24" i="1"/>
  <c r="AL24" i="1" s="1"/>
  <c r="AB33" i="1"/>
  <c r="BU21" i="1"/>
  <c r="BP21" i="1"/>
  <c r="AV47" i="1"/>
  <c r="AJ49" i="1"/>
  <c r="BH24" i="1"/>
  <c r="BR20" i="1"/>
  <c r="BM20" i="1"/>
  <c r="BV286" i="1"/>
  <c r="BQ333" i="1"/>
  <c r="CH333" i="1" s="1"/>
  <c r="CC286" i="1"/>
  <c r="U50" i="1"/>
  <c r="P50" i="1"/>
  <c r="AK49" i="1"/>
  <c r="AC33" i="1"/>
  <c r="BT288" i="1"/>
  <c r="BO335" i="1"/>
  <c r="CF335" i="1" s="1"/>
  <c r="CA288" i="1"/>
  <c r="BV15" i="1"/>
  <c r="BQ15" i="1"/>
  <c r="M51" i="1"/>
  <c r="W47" i="1"/>
  <c r="R47" i="1"/>
  <c r="BU286" i="1"/>
  <c r="BP333" i="1"/>
  <c r="CG333" i="1" s="1"/>
  <c r="CB286" i="1"/>
  <c r="Z50" i="1"/>
  <c r="BR22" i="1"/>
  <c r="BM22" i="1"/>
  <c r="AG47" i="1"/>
  <c r="BS277" i="1"/>
  <c r="BN324" i="1"/>
  <c r="CE324" i="1" s="1"/>
  <c r="BZ277" i="1"/>
  <c r="BD47" i="1"/>
  <c r="BR278" i="1"/>
  <c r="BM325" i="1"/>
  <c r="CD325" i="1" s="1"/>
  <c r="BY278" i="1"/>
  <c r="AC49" i="1"/>
  <c r="BN20" i="1"/>
  <c r="BI24" i="1"/>
  <c r="BS20" i="1"/>
  <c r="R49" i="1"/>
  <c r="W49" i="1"/>
  <c r="BL24" i="1"/>
  <c r="BV20" i="1"/>
  <c r="BQ20" i="1"/>
  <c r="BU279" i="1"/>
  <c r="BP326" i="1"/>
  <c r="CG326" i="1" s="1"/>
  <c r="CB279" i="1"/>
  <c r="BD24" i="1"/>
  <c r="AY24" i="1"/>
  <c r="R42" i="1"/>
  <c r="AI42" i="1" s="1"/>
  <c r="W42" i="1"/>
  <c r="AN42" i="1" s="1"/>
  <c r="BA48" i="1"/>
  <c r="AE47" i="1"/>
  <c r="BM23" i="1"/>
  <c r="BR23" i="1"/>
  <c r="BE175" i="1"/>
  <c r="BL175" i="1"/>
  <c r="AB48" i="1"/>
  <c r="BS278" i="1"/>
  <c r="BN325" i="1"/>
  <c r="CE325" i="1" s="1"/>
  <c r="BZ278" i="1"/>
  <c r="AM47" i="1"/>
  <c r="L51" i="1"/>
  <c r="V47" i="1"/>
  <c r="Q47" i="1"/>
  <c r="AZ49" i="1"/>
  <c r="AX15" i="1"/>
  <c r="BC15" i="1"/>
  <c r="BD280" i="1"/>
  <c r="AF48" i="1"/>
  <c r="BH280" i="1"/>
  <c r="BM327" i="1" s="1"/>
  <c r="BR276" i="1"/>
  <c r="BM323" i="1"/>
  <c r="CD323" i="1" s="1"/>
  <c r="BY276" i="1"/>
  <c r="AZ15" i="1"/>
  <c r="BE15" i="1"/>
  <c r="BI184" i="1"/>
  <c r="BB184" i="1"/>
  <c r="AW231" i="1"/>
  <c r="AV33" i="1"/>
  <c r="BA33" i="1"/>
  <c r="BT279" i="1"/>
  <c r="BO326" i="1"/>
  <c r="CF326" i="1" s="1"/>
  <c r="CA279" i="1"/>
  <c r="BA42" i="1"/>
  <c r="AV42" i="1"/>
  <c r="BT278" i="1"/>
  <c r="BO325" i="1"/>
  <c r="CF325" i="1" s="1"/>
  <c r="CA278" i="1"/>
  <c r="AT185" i="1"/>
  <c r="AY232" i="1" s="1"/>
  <c r="BK181" i="1"/>
  <c r="BD181" i="1"/>
  <c r="AY228" i="1"/>
  <c r="AY49" i="1"/>
  <c r="Q48" i="1"/>
  <c r="V48" i="1"/>
  <c r="BJ24" i="1"/>
  <c r="BT20" i="1"/>
  <c r="BO20" i="1"/>
  <c r="AZ50" i="1"/>
  <c r="BS286" i="1"/>
  <c r="BN333" i="1"/>
  <c r="CE333" i="1" s="1"/>
  <c r="BZ286" i="1"/>
  <c r="BK174" i="1"/>
  <c r="BD174" i="1"/>
  <c r="T15" i="1"/>
  <c r="AK15" i="1" s="1"/>
  <c r="O15" i="1"/>
  <c r="AF15" i="1" s="1"/>
  <c r="BJ183" i="1"/>
  <c r="BC183" i="1"/>
  <c r="AX230" i="1"/>
  <c r="AN48" i="1"/>
  <c r="BU288" i="1"/>
  <c r="BP335" i="1"/>
  <c r="CG335" i="1" s="1"/>
  <c r="CB288" i="1"/>
  <c r="BE173" i="1"/>
  <c r="BL173" i="1"/>
  <c r="P33" i="1"/>
  <c r="AG33" i="1" s="1"/>
  <c r="U33" i="1"/>
  <c r="AL33" i="1" s="1"/>
  <c r="AV51" i="1"/>
  <c r="BA51" i="1"/>
  <c r="N49" i="1"/>
  <c r="S49" i="1"/>
  <c r="BI280" i="1"/>
  <c r="BN327" i="1" s="1"/>
  <c r="BS276" i="1"/>
  <c r="BN323" i="1"/>
  <c r="CE323" i="1" s="1"/>
  <c r="BZ276" i="1"/>
  <c r="O42" i="1"/>
  <c r="AF42" i="1" s="1"/>
  <c r="T42" i="1"/>
  <c r="AK42" i="1" s="1"/>
  <c r="BJ280" i="1"/>
  <c r="BO327" i="1" s="1"/>
  <c r="BT276" i="1"/>
  <c r="BO323" i="1"/>
  <c r="CF323" i="1" s="1"/>
  <c r="CA276" i="1"/>
  <c r="BR288" i="1"/>
  <c r="BM335" i="1"/>
  <c r="CD335" i="1" s="1"/>
  <c r="BY288" i="1"/>
  <c r="BK183" i="1"/>
  <c r="BD183" i="1"/>
  <c r="AY230" i="1"/>
  <c r="V33" i="1"/>
  <c r="AM33" i="1" s="1"/>
  <c r="Q33" i="1"/>
  <c r="AH33" i="1" s="1"/>
  <c r="AD47" i="1"/>
  <c r="AD51" i="1" s="1"/>
  <c r="AD15" i="1"/>
  <c r="BL181" i="1"/>
  <c r="AU185" i="1"/>
  <c r="AZ232" i="1" s="1"/>
  <c r="BE181" i="1"/>
  <c r="AZ228" i="1"/>
  <c r="BP22" i="1"/>
  <c r="BU22" i="1"/>
  <c r="AD24" i="1"/>
  <c r="BA50" i="1"/>
  <c r="BV287" i="1"/>
  <c r="BQ334" i="1"/>
  <c r="CH334" i="1" s="1"/>
  <c r="CC287" i="1"/>
  <c r="AL47" i="1"/>
  <c r="BD15" i="1"/>
  <c r="AY15" i="1"/>
  <c r="BS287" i="1"/>
  <c r="BN334" i="1"/>
  <c r="CE334" i="1" s="1"/>
  <c r="BZ287" i="1"/>
  <c r="BJ289" i="1"/>
  <c r="BO336" i="1" s="1"/>
  <c r="BT285" i="1"/>
  <c r="BO332" i="1"/>
  <c r="CF332" i="1" s="1"/>
  <c r="CA285" i="1"/>
  <c r="AI49" i="1"/>
  <c r="BL174" i="1"/>
  <c r="BE174" i="1"/>
  <c r="BP20" i="1"/>
  <c r="BK24" i="1"/>
  <c r="BU20" i="1"/>
  <c r="AD42" i="1"/>
  <c r="Z47" i="1"/>
  <c r="Z15" i="1"/>
  <c r="U48" i="1"/>
  <c r="P48" i="1"/>
  <c r="AY50" i="1"/>
  <c r="AH47" i="1"/>
  <c r="BO21" i="1"/>
  <c r="BT21" i="1"/>
  <c r="BS21" i="1"/>
  <c r="BN21" i="1"/>
  <c r="AW48" i="1"/>
  <c r="BS279" i="1"/>
  <c r="BN326" i="1"/>
  <c r="CE326" i="1" s="1"/>
  <c r="BZ279" i="1"/>
  <c r="BJ173" i="1"/>
  <c r="BC173" i="1"/>
  <c r="BH181" i="1"/>
  <c r="AQ185" i="1"/>
  <c r="AV232" i="1" s="1"/>
  <c r="BA181" i="1"/>
  <c r="AV228" i="1"/>
  <c r="BC47" i="1"/>
  <c r="BE42" i="1"/>
  <c r="AZ42" i="1"/>
  <c r="AA48" i="1"/>
  <c r="BB42" i="1"/>
  <c r="AW42" i="1"/>
  <c r="BA185" i="1" l="1"/>
  <c r="CA333" i="1"/>
  <c r="CC332" i="1"/>
  <c r="CB324" i="1"/>
  <c r="BZ326" i="1"/>
  <c r="CA323" i="1"/>
  <c r="CA326" i="1"/>
  <c r="BT280" i="1"/>
  <c r="BZ323" i="1"/>
  <c r="BV289" i="1"/>
  <c r="BZ335" i="1"/>
  <c r="BY323" i="1"/>
  <c r="BC176" i="1"/>
  <c r="CA325" i="1"/>
  <c r="BY332" i="1"/>
  <c r="CA324" i="1"/>
  <c r="BY333" i="1"/>
  <c r="CA334" i="1"/>
  <c r="CB334" i="1"/>
  <c r="CA332" i="1"/>
  <c r="BZ334" i="1"/>
  <c r="CB326" i="1"/>
  <c r="CB323" i="1"/>
  <c r="CB332" i="1"/>
  <c r="BY324" i="1"/>
  <c r="CC323" i="1"/>
  <c r="BD176" i="1"/>
  <c r="BU175" i="1"/>
  <c r="CB175" i="1"/>
  <c r="V51" i="1"/>
  <c r="Q51" i="1"/>
  <c r="BV24" i="1"/>
  <c r="BQ24" i="1"/>
  <c r="BZ289" i="1"/>
  <c r="BS173" i="1"/>
  <c r="BZ173" i="1"/>
  <c r="BU184" i="1"/>
  <c r="BP231" i="1"/>
  <c r="CG231" i="1" s="1"/>
  <c r="CB184" i="1"/>
  <c r="BR182" i="1"/>
  <c r="BM229" i="1"/>
  <c r="CD229" i="1" s="1"/>
  <c r="BY182" i="1"/>
  <c r="CA289" i="1"/>
  <c r="CC334" i="1"/>
  <c r="BL185" i="1"/>
  <c r="BQ232" i="1" s="1"/>
  <c r="BV181" i="1"/>
  <c r="BQ228" i="1"/>
  <c r="CH228" i="1" s="1"/>
  <c r="CC181" i="1"/>
  <c r="BU183" i="1"/>
  <c r="BP230" i="1"/>
  <c r="CG230" i="1" s="1"/>
  <c r="CB183" i="1"/>
  <c r="CA280" i="1"/>
  <c r="BS280" i="1"/>
  <c r="CB335" i="1"/>
  <c r="BT183" i="1"/>
  <c r="BO230" i="1"/>
  <c r="CF230" i="1" s="1"/>
  <c r="CA183" i="1"/>
  <c r="BU174" i="1"/>
  <c r="CB174" i="1"/>
  <c r="BT24" i="1"/>
  <c r="BO24" i="1"/>
  <c r="BR280" i="1"/>
  <c r="CB333" i="1"/>
  <c r="W51" i="1"/>
  <c r="R51" i="1"/>
  <c r="CA335" i="1"/>
  <c r="CC333" i="1"/>
  <c r="BR24" i="1"/>
  <c r="BM24" i="1"/>
  <c r="AA51" i="1"/>
  <c r="BY326" i="1"/>
  <c r="BB185" i="1"/>
  <c r="BV184" i="1"/>
  <c r="BQ231" i="1"/>
  <c r="CH231" i="1" s="1"/>
  <c r="CC184" i="1"/>
  <c r="BZ332" i="1"/>
  <c r="CC335" i="1"/>
  <c r="CB280" i="1"/>
  <c r="AB51" i="1"/>
  <c r="BV183" i="1"/>
  <c r="BQ230" i="1"/>
  <c r="CH230" i="1" s="1"/>
  <c r="CC183" i="1"/>
  <c r="CC289" i="1"/>
  <c r="CC324" i="1"/>
  <c r="CB289" i="1"/>
  <c r="BU172" i="1"/>
  <c r="BK176" i="1"/>
  <c r="CB172" i="1"/>
  <c r="AC51" i="1"/>
  <c r="CC326" i="1"/>
  <c r="BU182" i="1"/>
  <c r="BP229" i="1"/>
  <c r="CG229" i="1" s="1"/>
  <c r="CB182" i="1"/>
  <c r="T51" i="1"/>
  <c r="O51" i="1"/>
  <c r="CB325" i="1"/>
  <c r="BY334" i="1"/>
  <c r="BH176" i="1"/>
  <c r="BR172" i="1"/>
  <c r="BY172" i="1"/>
  <c r="BS174" i="1"/>
  <c r="BZ174" i="1"/>
  <c r="P51" i="1"/>
  <c r="U51" i="1"/>
  <c r="BA176" i="1"/>
  <c r="BT173" i="1"/>
  <c r="CA173" i="1"/>
  <c r="BV173" i="1"/>
  <c r="CC173" i="1"/>
  <c r="BD185" i="1"/>
  <c r="BV175" i="1"/>
  <c r="CC175" i="1"/>
  <c r="BE176" i="1"/>
  <c r="BR183" i="1"/>
  <c r="BM230" i="1"/>
  <c r="CD230" i="1" s="1"/>
  <c r="BY183" i="1"/>
  <c r="BS289" i="1"/>
  <c r="BR289" i="1"/>
  <c r="S51" i="1"/>
  <c r="N51" i="1"/>
  <c r="BS183" i="1"/>
  <c r="BN230" i="1"/>
  <c r="CE230" i="1" s="1"/>
  <c r="BZ183" i="1"/>
  <c r="BT174" i="1"/>
  <c r="CA174" i="1"/>
  <c r="BV280" i="1"/>
  <c r="BU173" i="1"/>
  <c r="CB173" i="1"/>
  <c r="BC185" i="1"/>
  <c r="BT184" i="1"/>
  <c r="BO231" i="1"/>
  <c r="CF231" i="1" s="1"/>
  <c r="CA184" i="1"/>
  <c r="BT172" i="1"/>
  <c r="BJ176" i="1"/>
  <c r="CA172" i="1"/>
  <c r="BB176" i="1"/>
  <c r="BV182" i="1"/>
  <c r="BQ229" i="1"/>
  <c r="CH229" i="1" s="1"/>
  <c r="CC182" i="1"/>
  <c r="BR175" i="1"/>
  <c r="BY175" i="1"/>
  <c r="BH185" i="1"/>
  <c r="BM232" i="1" s="1"/>
  <c r="BR181" i="1"/>
  <c r="BM228" i="1"/>
  <c r="CD228" i="1" s="1"/>
  <c r="BY181" i="1"/>
  <c r="BP24" i="1"/>
  <c r="BU24" i="1"/>
  <c r="BS184" i="1"/>
  <c r="BN231" i="1"/>
  <c r="CE231" i="1" s="1"/>
  <c r="BZ184" i="1"/>
  <c r="BS182" i="1"/>
  <c r="BN229" i="1"/>
  <c r="CE229" i="1" s="1"/>
  <c r="BZ182" i="1"/>
  <c r="BT175" i="1"/>
  <c r="CA175" i="1"/>
  <c r="Z51" i="1"/>
  <c r="BV174" i="1"/>
  <c r="CC174" i="1"/>
  <c r="BT289" i="1"/>
  <c r="BE185" i="1"/>
  <c r="AN51" i="1"/>
  <c r="AI51" i="1"/>
  <c r="BY335" i="1"/>
  <c r="BZ280" i="1"/>
  <c r="BZ333" i="1"/>
  <c r="BK185" i="1"/>
  <c r="BP232" i="1" s="1"/>
  <c r="BU181" i="1"/>
  <c r="BP228" i="1"/>
  <c r="CG228" i="1" s="1"/>
  <c r="CB181" i="1"/>
  <c r="BY280" i="1"/>
  <c r="BZ325" i="1"/>
  <c r="BN24" i="1"/>
  <c r="BS24" i="1"/>
  <c r="BY325" i="1"/>
  <c r="BZ324" i="1"/>
  <c r="BR173" i="1"/>
  <c r="BY173" i="1"/>
  <c r="BL176" i="1"/>
  <c r="BV172" i="1"/>
  <c r="CC172" i="1"/>
  <c r="BS181" i="1"/>
  <c r="BI185" i="1"/>
  <c r="BN232" i="1" s="1"/>
  <c r="BN228" i="1"/>
  <c r="CE228" i="1" s="1"/>
  <c r="BZ181" i="1"/>
  <c r="BT182" i="1"/>
  <c r="BO229" i="1"/>
  <c r="CF229" i="1" s="1"/>
  <c r="CA182" i="1"/>
  <c r="BU280" i="1"/>
  <c r="BY289" i="1"/>
  <c r="BS175" i="1"/>
  <c r="BZ175" i="1"/>
  <c r="CC325" i="1"/>
  <c r="BR184" i="1"/>
  <c r="BM231" i="1"/>
  <c r="CD231" i="1" s="1"/>
  <c r="BY184" i="1"/>
  <c r="BU289" i="1"/>
  <c r="CC280" i="1"/>
  <c r="BT181" i="1"/>
  <c r="BJ185" i="1"/>
  <c r="BO232" i="1" s="1"/>
  <c r="BO228" i="1"/>
  <c r="CF228" i="1" s="1"/>
  <c r="CA181" i="1"/>
  <c r="BR174" i="1"/>
  <c r="BY174" i="1"/>
  <c r="BS172" i="1"/>
  <c r="BI176" i="1"/>
  <c r="BZ172" i="1"/>
  <c r="CA327" i="1" l="1"/>
  <c r="CF327" i="1" s="1"/>
  <c r="CB327" i="1"/>
  <c r="CG327" i="1" s="1"/>
  <c r="CA228" i="1"/>
  <c r="CC327" i="1"/>
  <c r="CH327" i="1" s="1"/>
  <c r="BZ327" i="1"/>
  <c r="CE327" i="1" s="1"/>
  <c r="CB336" i="1"/>
  <c r="CG336" i="1" s="1"/>
  <c r="BS176" i="1"/>
  <c r="CA336" i="1"/>
  <c r="CF336" i="1" s="1"/>
  <c r="BR185" i="1"/>
  <c r="BT185" i="1"/>
  <c r="CA229" i="1"/>
  <c r="BY327" i="1"/>
  <c r="CD327" i="1" s="1"/>
  <c r="BY336" i="1"/>
  <c r="CD336" i="1" s="1"/>
  <c r="CC230" i="1"/>
  <c r="BZ230" i="1"/>
  <c r="BY230" i="1"/>
  <c r="CA230" i="1"/>
  <c r="CC336" i="1"/>
  <c r="CH336" i="1" s="1"/>
  <c r="CA231" i="1"/>
  <c r="CC231" i="1"/>
  <c r="CB230" i="1"/>
  <c r="CB231" i="1"/>
  <c r="BZ176" i="1"/>
  <c r="BS185" i="1"/>
  <c r="BU176" i="1"/>
  <c r="AF51" i="1"/>
  <c r="AK51" i="1"/>
  <c r="BV185" i="1"/>
  <c r="BZ185" i="1"/>
  <c r="CB185" i="1"/>
  <c r="AJ51" i="1"/>
  <c r="AE51" i="1"/>
  <c r="CA176" i="1"/>
  <c r="AH51" i="1"/>
  <c r="AM51" i="1"/>
  <c r="BY231" i="1"/>
  <c r="BZ228" i="1"/>
  <c r="CC176" i="1"/>
  <c r="CB228" i="1"/>
  <c r="BZ231" i="1"/>
  <c r="BY185" i="1"/>
  <c r="CC229" i="1"/>
  <c r="BY176" i="1"/>
  <c r="CB229" i="1"/>
  <c r="CB176" i="1"/>
  <c r="AL51" i="1"/>
  <c r="AG51" i="1"/>
  <c r="BZ336" i="1"/>
  <c r="CE336" i="1" s="1"/>
  <c r="CC185" i="1"/>
  <c r="CA185" i="1"/>
  <c r="BV176" i="1"/>
  <c r="BU185" i="1"/>
  <c r="BZ229" i="1"/>
  <c r="BY228" i="1"/>
  <c r="BT176" i="1"/>
  <c r="BR176" i="1"/>
  <c r="CC228" i="1"/>
  <c r="BY229" i="1"/>
  <c r="BY232" i="1" l="1"/>
  <c r="CD232" i="1" s="1"/>
  <c r="CA232" i="1"/>
  <c r="CB232" i="1"/>
  <c r="CG232" i="1" s="1"/>
  <c r="CF232" i="1"/>
  <c r="BZ232" i="1"/>
  <c r="CE232" i="1" s="1"/>
  <c r="CC232" i="1"/>
  <c r="CH232" i="1" s="1"/>
  <c r="AS248" i="1" l="1" a="1"/>
  <c r="AS248" i="1" s="1"/>
  <c r="AS266" i="1" a="1"/>
  <c r="AS266" i="1" s="1"/>
  <c r="AS98" i="1" a="1"/>
  <c r="AS98" i="1" s="1"/>
  <c r="I248" i="1" a="1"/>
  <c r="I248" i="1" s="1"/>
  <c r="I266" i="1" a="1"/>
  <c r="I266" i="1" s="1"/>
  <c r="I98" i="1" a="1"/>
  <c r="I98" i="1" s="1"/>
  <c r="AT266" i="1" a="1"/>
  <c r="AT266" i="1" s="1"/>
  <c r="AT248" i="1" a="1"/>
  <c r="AT248" i="1" s="1"/>
  <c r="AT98" i="1" a="1"/>
  <c r="AT98" i="1" s="1"/>
  <c r="J266" i="1" a="1"/>
  <c r="J266" i="1" s="1"/>
  <c r="J248" i="1" a="1"/>
  <c r="J248" i="1" s="1"/>
  <c r="J98" i="1" a="1"/>
  <c r="J98" i="1" s="1"/>
  <c r="I267" i="1" a="1"/>
  <c r="I267" i="1" s="1"/>
  <c r="I249" i="1" a="1"/>
  <c r="I249" i="1" s="1"/>
  <c r="I99" i="1" a="1"/>
  <c r="I99" i="1" s="1"/>
  <c r="I237" i="1" a="1"/>
  <c r="I237" i="1" s="1"/>
  <c r="I219" i="1" a="1"/>
  <c r="I219" i="1" s="1"/>
  <c r="I87" i="1" a="1"/>
  <c r="I87" i="1" s="1"/>
  <c r="I220" i="1" a="1"/>
  <c r="I220" i="1" s="1"/>
  <c r="I238" i="1" a="1"/>
  <c r="I238" i="1" s="1"/>
  <c r="I88" i="1" a="1"/>
  <c r="I88" i="1" s="1"/>
  <c r="I222" i="1" a="1"/>
  <c r="I222" i="1" s="1"/>
  <c r="I240" i="1" a="1"/>
  <c r="I240" i="1" s="1"/>
  <c r="I90" i="1" a="1"/>
  <c r="I90" i="1" s="1"/>
  <c r="AS264" i="1" a="1"/>
  <c r="AS264" i="1" s="1"/>
  <c r="AS246" i="1" a="1"/>
  <c r="AS246" i="1" s="1"/>
  <c r="AS96" i="1" a="1"/>
  <c r="AS96" i="1" s="1"/>
  <c r="AS90" i="1" a="1"/>
  <c r="AS90" i="1" s="1"/>
  <c r="AS222" i="1" a="1"/>
  <c r="AS222" i="1" s="1"/>
  <c r="AS240" i="1" a="1"/>
  <c r="AS240" i="1" s="1"/>
  <c r="AS87" i="1" a="1"/>
  <c r="AS87" i="1" s="1"/>
  <c r="AS237" i="1" a="1"/>
  <c r="AS237" i="1" s="1"/>
  <c r="AS219" i="1" a="1"/>
  <c r="AS219" i="1" s="1"/>
  <c r="AS89" i="1" a="1"/>
  <c r="AS89" i="1" s="1"/>
  <c r="AS221" i="1" a="1"/>
  <c r="AS221" i="1" s="1"/>
  <c r="AS239" i="1" a="1"/>
  <c r="AS239" i="1" s="1"/>
  <c r="L221" i="1" a="1"/>
  <c r="L221" i="1" s="1"/>
  <c r="L239" i="1" a="1"/>
  <c r="L239" i="1" s="1"/>
  <c r="L89" i="1" a="1"/>
  <c r="L89" i="1" s="1"/>
  <c r="J219" i="1" a="1"/>
  <c r="J219" i="1" s="1"/>
  <c r="J237" i="1" a="1"/>
  <c r="J237" i="1" s="1"/>
  <c r="J87" i="1" a="1"/>
  <c r="J87" i="1" s="1"/>
  <c r="J267" i="1" a="1"/>
  <c r="J267" i="1" s="1"/>
  <c r="J249" i="1" a="1"/>
  <c r="J249" i="1" s="1"/>
  <c r="J99" i="1" a="1"/>
  <c r="J99" i="1" s="1"/>
  <c r="AT247" i="1" a="1"/>
  <c r="AT247" i="1" s="1"/>
  <c r="AT265" i="1" a="1"/>
  <c r="AT265" i="1" s="1"/>
  <c r="AT97" i="1" a="1"/>
  <c r="AT97" i="1" s="1"/>
  <c r="AQ247" i="1" a="1"/>
  <c r="AQ247" i="1" s="1"/>
  <c r="AQ265" i="1" a="1"/>
  <c r="AQ265" i="1" s="1"/>
  <c r="AQ97" i="1" a="1"/>
  <c r="AQ97" i="1" s="1"/>
  <c r="AQ264" i="1" a="1"/>
  <c r="AQ264" i="1" s="1"/>
  <c r="AQ246" i="1" a="1"/>
  <c r="AQ246" i="1" s="1"/>
  <c r="AQ96" i="1" a="1"/>
  <c r="AQ96" i="1" s="1"/>
  <c r="K265" i="1" a="1"/>
  <c r="K265" i="1" s="1"/>
  <c r="K247" i="1" a="1"/>
  <c r="K247" i="1" s="1"/>
  <c r="K97" i="1" a="1"/>
  <c r="K97" i="1" s="1"/>
  <c r="AR88" i="1" a="1"/>
  <c r="AR88" i="1" s="1"/>
  <c r="AR238" i="1" a="1"/>
  <c r="AR238" i="1" s="1"/>
  <c r="AR220" i="1" a="1"/>
  <c r="AR220" i="1" s="1"/>
  <c r="M161" i="1" a="1"/>
  <c r="M161" i="1" s="1"/>
  <c r="M159" i="1" a="1"/>
  <c r="M159" i="1" s="1"/>
  <c r="M160" i="1" a="1"/>
  <c r="M160" i="1" s="1"/>
  <c r="DM40" i="1" a="1"/>
  <c r="DM40" i="1" s="1"/>
  <c r="DM39" i="1" a="1"/>
  <c r="DM39" i="1" s="1"/>
  <c r="DM38" i="1" a="1"/>
  <c r="DM38" i="1" s="1"/>
  <c r="DM41" i="1" a="1"/>
  <c r="DM41" i="1" s="1"/>
  <c r="AT160" i="1" a="1"/>
  <c r="AT160" i="1" s="1"/>
  <c r="AT162" i="1" a="1"/>
  <c r="AT162" i="1" s="1"/>
  <c r="K159" i="1" a="1"/>
  <c r="K159" i="1" s="1"/>
  <c r="K161" i="1" a="1"/>
  <c r="K161" i="1" s="1"/>
  <c r="K162" i="1" a="1"/>
  <c r="K162" i="1" s="1"/>
  <c r="AU161" i="1" a="1"/>
  <c r="AU161" i="1" s="1"/>
  <c r="DM161" i="1" a="1"/>
  <c r="DM161" i="1" s="1"/>
  <c r="AU162" i="1" a="1"/>
  <c r="AU162" i="1" s="1"/>
  <c r="DM162" i="1" s="1" a="1"/>
  <c r="DM162" i="1" s="1"/>
  <c r="DJ161" i="1" a="1"/>
  <c r="DJ161" i="1" s="1"/>
  <c r="AR161" i="1" a="1"/>
  <c r="AR161" i="1" s="1"/>
  <c r="J162" i="1" a="1"/>
  <c r="J162" i="1" s="1"/>
  <c r="J160" i="1" a="1"/>
  <c r="J160" i="1" s="1"/>
  <c r="DL14" i="1" a="1"/>
  <c r="DL14" i="1" s="1"/>
  <c r="DL11" i="1" a="1"/>
  <c r="DL11" i="1" s="1"/>
  <c r="DL13" i="1" a="1"/>
  <c r="DL13" i="1" s="1"/>
  <c r="DL12" i="1" a="1"/>
  <c r="DL12" i="1" s="1"/>
  <c r="L266" i="1" a="1"/>
  <c r="L266" i="1" s="1"/>
  <c r="L248" i="1" a="1"/>
  <c r="L248" i="1" s="1"/>
  <c r="L98" i="1" a="1"/>
  <c r="L98" i="1" s="1"/>
  <c r="M249" i="1" a="1"/>
  <c r="M249" i="1" s="1"/>
  <c r="M267" i="1" a="1"/>
  <c r="M267" i="1" s="1"/>
  <c r="M99" i="1" a="1"/>
  <c r="M99" i="1" s="1"/>
  <c r="M237" i="1" a="1"/>
  <c r="M237" i="1" s="1"/>
  <c r="M219" i="1" a="1"/>
  <c r="M219" i="1" s="1"/>
  <c r="M87" i="1" a="1"/>
  <c r="M87" i="1" s="1"/>
  <c r="M247" i="1" a="1"/>
  <c r="M247" i="1" s="1"/>
  <c r="M265" i="1" a="1"/>
  <c r="M265" i="1" s="1"/>
  <c r="M97" i="1" a="1"/>
  <c r="M97" i="1" s="1"/>
  <c r="I239" i="1" a="1"/>
  <c r="I239" i="1" s="1"/>
  <c r="I221" i="1" a="1"/>
  <c r="I221" i="1" s="1"/>
  <c r="I89" i="1" a="1"/>
  <c r="I89" i="1" s="1"/>
  <c r="AS267" i="1" a="1"/>
  <c r="AS267" i="1" s="1"/>
  <c r="AS249" i="1" a="1"/>
  <c r="AS249" i="1" s="1"/>
  <c r="AS99" i="1" a="1"/>
  <c r="AS99" i="1" s="1"/>
  <c r="L265" i="1" a="1"/>
  <c r="L265" i="1" s="1"/>
  <c r="L247" i="1" a="1"/>
  <c r="L247" i="1" s="1"/>
  <c r="L97" i="1" a="1"/>
  <c r="L97" i="1" s="1"/>
  <c r="L238" i="1" a="1"/>
  <c r="L238" i="1" s="1"/>
  <c r="L220" i="1" a="1"/>
  <c r="L220" i="1" s="1"/>
  <c r="L88" i="1" a="1"/>
  <c r="L88" i="1" s="1"/>
  <c r="AU88" i="1" a="1"/>
  <c r="AU88" i="1" s="1"/>
  <c r="AU220" i="1" a="1"/>
  <c r="AU220" i="1" s="1"/>
  <c r="AU238" i="1" a="1"/>
  <c r="AU238" i="1" s="1"/>
  <c r="AU249" i="1" a="1"/>
  <c r="AU249" i="1" s="1"/>
  <c r="AU267" i="1" a="1"/>
  <c r="AU267" i="1" s="1"/>
  <c r="AU99" i="1" a="1"/>
  <c r="AU99" i="1" s="1"/>
  <c r="AU87" i="1" a="1"/>
  <c r="AU87" i="1" s="1"/>
  <c r="AU219" i="1" a="1"/>
  <c r="AU219" i="1" s="1"/>
  <c r="AU237" i="1" a="1"/>
  <c r="AU237" i="1" s="1"/>
  <c r="AU264" i="1" a="1"/>
  <c r="AU264" i="1" s="1"/>
  <c r="AU246" i="1" a="1"/>
  <c r="AU246" i="1" s="1"/>
  <c r="AU96" i="1" a="1"/>
  <c r="AU96" i="1" s="1"/>
  <c r="J222" i="1" a="1"/>
  <c r="J222" i="1" s="1"/>
  <c r="J240" i="1" a="1"/>
  <c r="J240" i="1" s="1"/>
  <c r="J90" i="1" a="1"/>
  <c r="J90" i="1" s="1"/>
  <c r="J264" i="1" a="1"/>
  <c r="J264" i="1" s="1"/>
  <c r="J246" i="1" a="1"/>
  <c r="J246" i="1" s="1"/>
  <c r="J96" i="1" a="1"/>
  <c r="J96" i="1" s="1"/>
  <c r="AT267" i="1" a="1"/>
  <c r="AT267" i="1" s="1"/>
  <c r="AT249" i="1" a="1"/>
  <c r="AT249" i="1" s="1"/>
  <c r="AT99" i="1" a="1"/>
  <c r="AT99" i="1" s="1"/>
  <c r="AQ90" i="1" a="1"/>
  <c r="AQ90" i="1" s="1"/>
  <c r="AQ240" i="1" a="1"/>
  <c r="AQ240" i="1" s="1"/>
  <c r="AQ222" i="1" a="1"/>
  <c r="AQ222" i="1" s="1"/>
  <c r="AQ87" i="1" a="1"/>
  <c r="AQ87" i="1" s="1"/>
  <c r="AQ237" i="1" a="1"/>
  <c r="AQ237" i="1" s="1"/>
  <c r="AQ219" i="1" a="1"/>
  <c r="AQ219" i="1" s="1"/>
  <c r="AQ89" i="1" a="1"/>
  <c r="AQ89" i="1" s="1"/>
  <c r="AQ239" i="1" a="1"/>
  <c r="AQ239" i="1" s="1"/>
  <c r="AQ221" i="1" a="1"/>
  <c r="AQ221" i="1" s="1"/>
  <c r="K237" i="1" a="1"/>
  <c r="K237" i="1" s="1"/>
  <c r="K219" i="1" a="1"/>
  <c r="K219" i="1" s="1"/>
  <c r="K87" i="1" a="1"/>
  <c r="K87" i="1" s="1"/>
  <c r="AR87" i="1" a="1"/>
  <c r="AR87" i="1" s="1"/>
  <c r="AR237" i="1" a="1"/>
  <c r="AR237" i="1" s="1"/>
  <c r="AR219" i="1" a="1"/>
  <c r="AR219" i="1" s="1"/>
  <c r="AR90" i="1" a="1"/>
  <c r="AR90" i="1" s="1"/>
  <c r="AR240" i="1" a="1"/>
  <c r="AR240" i="1" s="1"/>
  <c r="AR222" i="1" a="1"/>
  <c r="AR222" i="1" s="1"/>
  <c r="AR89" i="1" a="1"/>
  <c r="AR89" i="1" s="1"/>
  <c r="AR221" i="1" a="1"/>
  <c r="AR221" i="1" s="1"/>
  <c r="AR239" i="1" a="1"/>
  <c r="AR239" i="1" s="1"/>
  <c r="DL41" i="1" a="1"/>
  <c r="DL41" i="1" s="1"/>
  <c r="DL40" i="1" a="1"/>
  <c r="DL40" i="1" s="1"/>
  <c r="DL38" i="1" a="1"/>
  <c r="DL38" i="1" s="1"/>
  <c r="DL39" i="1" a="1"/>
  <c r="DL39" i="1" s="1"/>
  <c r="AS161" i="1" a="1"/>
  <c r="AS161" i="1" s="1"/>
  <c r="DK161" i="1" s="1" a="1"/>
  <c r="DK161" i="1" s="1"/>
  <c r="AS162" i="1" a="1"/>
  <c r="AS162" i="1" s="1"/>
  <c r="DK162" i="1" s="1" a="1"/>
  <c r="DK162" i="1" s="1"/>
  <c r="I161" i="1" a="1"/>
  <c r="I161" i="1" s="1"/>
  <c r="I162" i="1" a="1"/>
  <c r="I162" i="1" s="1"/>
  <c r="I159" i="1" a="1"/>
  <c r="I159" i="1" s="1"/>
  <c r="AT159" i="1" a="1"/>
  <c r="AT159" i="1" s="1"/>
  <c r="DL159" i="1" s="1" a="1"/>
  <c r="DL159" i="1" s="1"/>
  <c r="AU160" i="1" a="1"/>
  <c r="AU160" i="1" s="1"/>
  <c r="DM160" i="1" s="1" a="1"/>
  <c r="DM160" i="1" s="1"/>
  <c r="AQ160" i="1" a="1"/>
  <c r="AQ160" i="1" s="1"/>
  <c r="DI31" i="1" a="1"/>
  <c r="DI31" i="1" s="1"/>
  <c r="DI29" i="1" a="1"/>
  <c r="DI29" i="1" s="1"/>
  <c r="DI32" i="1" a="1"/>
  <c r="DI32" i="1" s="1"/>
  <c r="DI30" i="1" a="1"/>
  <c r="DI30" i="1" s="1"/>
  <c r="L162" i="1" a="1"/>
  <c r="L162" i="1" s="1"/>
  <c r="AR160" i="1" a="1"/>
  <c r="AR160" i="1" s="1"/>
  <c r="DK14" i="1" a="1"/>
  <c r="DK14" i="1" s="1"/>
  <c r="DK11" i="1" a="1"/>
  <c r="DK11" i="1" s="1"/>
  <c r="DK13" i="1" a="1"/>
  <c r="DK13" i="1" s="1"/>
  <c r="DK12" i="1" a="1"/>
  <c r="DK12" i="1" s="1"/>
  <c r="DJ12" i="1" a="1"/>
  <c r="DJ12" i="1" s="1"/>
  <c r="DJ11" i="1" a="1"/>
  <c r="DJ11" i="1" s="1"/>
  <c r="DJ14" i="1" a="1"/>
  <c r="DJ14" i="1" s="1"/>
  <c r="DJ13" i="1" a="1"/>
  <c r="DJ13" i="1" s="1"/>
  <c r="DM12" i="1" a="1"/>
  <c r="DM12" i="1" s="1"/>
  <c r="DM11" i="1" a="1"/>
  <c r="DM11" i="1" s="1"/>
  <c r="DM14" i="1" a="1"/>
  <c r="DM14" i="1" s="1"/>
  <c r="DM13" i="1" a="1"/>
  <c r="DM13" i="1" s="1"/>
  <c r="AQ248" i="1" a="1"/>
  <c r="AQ248" i="1" s="1"/>
  <c r="AQ266" i="1" a="1"/>
  <c r="AQ266" i="1" s="1"/>
  <c r="AQ98" i="1" a="1"/>
  <c r="AQ98" i="1" s="1"/>
  <c r="M220" i="1" a="1"/>
  <c r="M220" i="1" s="1"/>
  <c r="M88" i="1" a="1"/>
  <c r="M88" i="1" s="1"/>
  <c r="M238" i="1" a="1"/>
  <c r="M238" i="1" s="1"/>
  <c r="AS88" i="1" a="1"/>
  <c r="AS88" i="1" s="1"/>
  <c r="AS220" i="1" a="1"/>
  <c r="AS220" i="1" s="1"/>
  <c r="AS238" i="1" a="1"/>
  <c r="AS238" i="1" s="1"/>
  <c r="L237" i="1" a="1"/>
  <c r="L237" i="1" s="1"/>
  <c r="L87" i="1" a="1"/>
  <c r="L87" i="1" s="1"/>
  <c r="L219" i="1" a="1"/>
  <c r="L219" i="1" s="1"/>
  <c r="AT90" i="1" a="1"/>
  <c r="AT90" i="1" s="1"/>
  <c r="AT240" i="1" a="1"/>
  <c r="AT240" i="1" s="1"/>
  <c r="AT222" i="1" a="1"/>
  <c r="AT222" i="1" s="1"/>
  <c r="K240" i="1" a="1"/>
  <c r="K240" i="1" s="1"/>
  <c r="K222" i="1" a="1"/>
  <c r="K222" i="1" s="1"/>
  <c r="K90" i="1" a="1"/>
  <c r="K90" i="1" s="1"/>
  <c r="K264" i="1" a="1"/>
  <c r="K264" i="1" s="1"/>
  <c r="K246" i="1" a="1"/>
  <c r="K246" i="1" s="1"/>
  <c r="K96" i="1" a="1"/>
  <c r="K96" i="1" s="1"/>
  <c r="K238" i="1" a="1"/>
  <c r="K238" i="1" s="1"/>
  <c r="K220" i="1" a="1"/>
  <c r="K220" i="1" s="1"/>
  <c r="K88" i="1" a="1"/>
  <c r="K88" i="1" s="1"/>
  <c r="AS160" i="1" a="1"/>
  <c r="AS160" i="1" s="1"/>
  <c r="DK160" i="1" s="1" a="1"/>
  <c r="DK160" i="1" s="1"/>
  <c r="DM29" i="1" a="1"/>
  <c r="DM29" i="1" s="1"/>
  <c r="DM32" i="1" a="1"/>
  <c r="DM32" i="1" s="1"/>
  <c r="DM30" i="1" a="1"/>
  <c r="DM30" i="1" s="1"/>
  <c r="DM31" i="1" a="1"/>
  <c r="DM31" i="1" s="1"/>
  <c r="AQ159" i="1" a="1"/>
  <c r="AQ159" i="1" s="1"/>
  <c r="L161" i="1" a="1"/>
  <c r="L161" i="1" s="1"/>
  <c r="AR159" i="1" a="1"/>
  <c r="AR159" i="1" s="1"/>
  <c r="DI38" i="1" a="1"/>
  <c r="DI38" i="1" s="1"/>
  <c r="DI41" i="1" a="1"/>
  <c r="DI41" i="1" s="1"/>
  <c r="DI40" i="1" a="1"/>
  <c r="DI40" i="1" s="1"/>
  <c r="DI39" i="1" a="1"/>
  <c r="DI39" i="1" s="1"/>
  <c r="DK38" i="1" a="1"/>
  <c r="DK38" i="1" s="1"/>
  <c r="DK40" i="1" a="1"/>
  <c r="DK40" i="1" s="1"/>
  <c r="DK41" i="1" a="1"/>
  <c r="DK41" i="1" s="1"/>
  <c r="DK39" i="1" a="1"/>
  <c r="DK39" i="1" s="1"/>
  <c r="DK31" i="1" a="1"/>
  <c r="DK31" i="1" s="1"/>
  <c r="DK29" i="1" a="1"/>
  <c r="DK29" i="1" s="1"/>
  <c r="DK32" i="1" a="1"/>
  <c r="DK32" i="1" s="1"/>
  <c r="DK30" i="1" a="1"/>
  <c r="DK30" i="1" s="1"/>
  <c r="DL31" i="1" a="1"/>
  <c r="DL31" i="1" s="1"/>
  <c r="DL29" i="1" a="1"/>
  <c r="DL29" i="1" s="1"/>
  <c r="DL30" i="1" a="1"/>
  <c r="DL30" i="1" s="1"/>
  <c r="DL32" i="1" a="1"/>
  <c r="DL32" i="1" s="1"/>
  <c r="J161" i="1" a="1"/>
  <c r="J161" i="1" s="1"/>
  <c r="J159" i="1" a="1"/>
  <c r="J159" i="1" s="1"/>
  <c r="M266" i="1" a="1"/>
  <c r="M266" i="1" s="1"/>
  <c r="M248" i="1" a="1"/>
  <c r="M248" i="1" s="1"/>
  <c r="M98" i="1" a="1"/>
  <c r="M98" i="1" s="1"/>
  <c r="K248" i="1" a="1"/>
  <c r="K248" i="1" s="1"/>
  <c r="K266" i="1" a="1"/>
  <c r="K266" i="1" s="1"/>
  <c r="K98" i="1" a="1"/>
  <c r="K98" i="1" s="1"/>
  <c r="I247" i="1" a="1"/>
  <c r="I247" i="1" s="1"/>
  <c r="I265" i="1" a="1"/>
  <c r="I265" i="1" s="1"/>
  <c r="I97" i="1" a="1"/>
  <c r="I97" i="1" s="1"/>
  <c r="I264" i="1" a="1"/>
  <c r="I264" i="1" s="1"/>
  <c r="I246" i="1" a="1"/>
  <c r="I246" i="1" s="1"/>
  <c r="I96" i="1" a="1"/>
  <c r="I96" i="1" s="1"/>
  <c r="AS247" i="1" a="1"/>
  <c r="AS247" i="1" s="1"/>
  <c r="AS265" i="1" a="1"/>
  <c r="AS265" i="1" s="1"/>
  <c r="AS97" i="1" a="1"/>
  <c r="AS97" i="1" s="1"/>
  <c r="L264" i="1" a="1"/>
  <c r="L264" i="1" s="1"/>
  <c r="L246" i="1" a="1"/>
  <c r="L246" i="1" s="1"/>
  <c r="L96" i="1" a="1"/>
  <c r="L96" i="1" s="1"/>
  <c r="AU265" i="1" a="1"/>
  <c r="AU265" i="1" s="1"/>
  <c r="AU247" i="1" a="1"/>
  <c r="AU247" i="1" s="1"/>
  <c r="AU97" i="1" a="1"/>
  <c r="AU97" i="1" s="1"/>
  <c r="AU90" i="1" a="1"/>
  <c r="AU90" i="1" s="1"/>
  <c r="AU222" i="1" a="1"/>
  <c r="AU222" i="1" s="1"/>
  <c r="AU240" i="1" a="1"/>
  <c r="AU240" i="1" s="1"/>
  <c r="J265" i="1" a="1"/>
  <c r="J265" i="1" s="1"/>
  <c r="J247" i="1" a="1"/>
  <c r="J247" i="1" s="1"/>
  <c r="J97" i="1" a="1"/>
  <c r="J97" i="1" s="1"/>
  <c r="J239" i="1" a="1"/>
  <c r="J239" i="1" s="1"/>
  <c r="J221" i="1" a="1"/>
  <c r="J221" i="1" s="1"/>
  <c r="J89" i="1" a="1"/>
  <c r="J89" i="1" s="1"/>
  <c r="AT246" i="1" a="1"/>
  <c r="AT246" i="1" s="1"/>
  <c r="AT96" i="1" a="1"/>
  <c r="AT96" i="1" s="1"/>
  <c r="AT264" i="1" a="1"/>
  <c r="AT264" i="1" s="1"/>
  <c r="K221" i="1" a="1"/>
  <c r="K221" i="1" s="1"/>
  <c r="K239" i="1" a="1"/>
  <c r="K239" i="1" s="1"/>
  <c r="K89" i="1" a="1"/>
  <c r="K89" i="1" s="1"/>
  <c r="AR265" i="1" a="1"/>
  <c r="AR265" i="1" s="1"/>
  <c r="AR247" i="1" a="1"/>
  <c r="AR247" i="1" s="1"/>
  <c r="AR97" i="1" a="1"/>
  <c r="AR97" i="1" s="1"/>
  <c r="AR249" i="1" a="1"/>
  <c r="AR249" i="1" s="1"/>
  <c r="AR267" i="1" a="1"/>
  <c r="AR267" i="1" s="1"/>
  <c r="AR99" i="1" a="1"/>
  <c r="AR99" i="1" s="1"/>
  <c r="AU248" i="1" a="1"/>
  <c r="AU248" i="1" s="1"/>
  <c r="AU266" i="1" a="1"/>
  <c r="AU266" i="1" s="1"/>
  <c r="AU98" i="1" a="1"/>
  <c r="AU98" i="1" s="1"/>
  <c r="AR248" i="1" a="1"/>
  <c r="AR248" i="1" s="1"/>
  <c r="AR266" i="1" a="1"/>
  <c r="AR266" i="1" s="1"/>
  <c r="AR98" i="1" a="1"/>
  <c r="AR98" i="1" s="1"/>
  <c r="M264" i="1" a="1"/>
  <c r="M264" i="1" s="1"/>
  <c r="M246" i="1" a="1"/>
  <c r="M246" i="1" s="1"/>
  <c r="M96" i="1" a="1"/>
  <c r="M96" i="1" s="1"/>
  <c r="M239" i="1" a="1"/>
  <c r="M239" i="1" s="1"/>
  <c r="M221" i="1" a="1"/>
  <c r="M221" i="1" s="1"/>
  <c r="M89" i="1" a="1"/>
  <c r="M89" i="1" s="1"/>
  <c r="M240" i="1" a="1"/>
  <c r="M240" i="1" s="1"/>
  <c r="M222" i="1" a="1"/>
  <c r="M222" i="1" s="1"/>
  <c r="M90" i="1" a="1"/>
  <c r="M90" i="1" s="1"/>
  <c r="L249" i="1" a="1"/>
  <c r="L249" i="1" s="1"/>
  <c r="L267" i="1" a="1"/>
  <c r="L267" i="1" s="1"/>
  <c r="L99" i="1" a="1"/>
  <c r="L99" i="1" s="1"/>
  <c r="L222" i="1" a="1"/>
  <c r="L222" i="1" s="1"/>
  <c r="L240" i="1" a="1"/>
  <c r="L240" i="1" s="1"/>
  <c r="L90" i="1" a="1"/>
  <c r="L90" i="1" s="1"/>
  <c r="AU89" i="1" a="1"/>
  <c r="AU89" i="1" s="1"/>
  <c r="AU239" i="1" a="1"/>
  <c r="AU239" i="1" s="1"/>
  <c r="AU221" i="1" a="1"/>
  <c r="AU221" i="1" s="1"/>
  <c r="J238" i="1" a="1"/>
  <c r="J238" i="1" s="1"/>
  <c r="J88" i="1" a="1"/>
  <c r="J88" i="1" s="1"/>
  <c r="J220" i="1" a="1"/>
  <c r="J220" i="1" s="1"/>
  <c r="AT89" i="1" a="1"/>
  <c r="AT89" i="1" s="1"/>
  <c r="AT221" i="1" a="1"/>
  <c r="AT221" i="1" s="1"/>
  <c r="AT239" i="1" a="1"/>
  <c r="AT239" i="1" s="1"/>
  <c r="AT88" i="1" a="1"/>
  <c r="AT88" i="1" s="1"/>
  <c r="AT220" i="1" a="1"/>
  <c r="AT220" i="1" s="1"/>
  <c r="AT238" i="1" a="1"/>
  <c r="AT238" i="1" s="1"/>
  <c r="AT87" i="1" a="1"/>
  <c r="AT87" i="1" s="1"/>
  <c r="AT219" i="1" a="1"/>
  <c r="AT219" i="1" s="1"/>
  <c r="AT237" i="1" a="1"/>
  <c r="AT237" i="1" s="1"/>
  <c r="AQ88" i="1" a="1"/>
  <c r="AQ88" i="1" s="1"/>
  <c r="AQ238" i="1" a="1"/>
  <c r="AQ238" i="1" s="1"/>
  <c r="AQ220" i="1" a="1"/>
  <c r="AQ220" i="1" s="1"/>
  <c r="AQ267" i="1" a="1"/>
  <c r="AQ267" i="1" s="1"/>
  <c r="AQ249" i="1" a="1"/>
  <c r="AQ249" i="1" s="1"/>
  <c r="AQ99" i="1" a="1"/>
  <c r="AQ99" i="1" s="1"/>
  <c r="K267" i="1" a="1"/>
  <c r="K267" i="1" s="1"/>
  <c r="K249" i="1" a="1"/>
  <c r="K249" i="1" s="1"/>
  <c r="K99" i="1" a="1"/>
  <c r="K99" i="1" s="1"/>
  <c r="AR264" i="1" a="1"/>
  <c r="AR264" i="1" s="1"/>
  <c r="AR246" i="1" a="1"/>
  <c r="AR246" i="1" s="1"/>
  <c r="AR96" i="1" a="1"/>
  <c r="AR96" i="1" s="1"/>
  <c r="DJ41" i="1" a="1"/>
  <c r="DJ41" i="1" s="1"/>
  <c r="DJ40" i="1" a="1"/>
  <c r="DJ40" i="1" s="1"/>
  <c r="DJ38" i="1" a="1"/>
  <c r="DJ38" i="1" s="1"/>
  <c r="DJ39" i="1" a="1"/>
  <c r="DJ39" i="1" s="1"/>
  <c r="AS159" i="1" a="1"/>
  <c r="AS159" i="1" s="1"/>
  <c r="I160" i="1" a="1"/>
  <c r="I160" i="1" s="1"/>
  <c r="M162" i="1" a="1"/>
  <c r="M162" i="1" s="1"/>
  <c r="AT161" i="1" a="1"/>
  <c r="AT161" i="1" s="1"/>
  <c r="DL161" i="1" s="1" a="1"/>
  <c r="DL161" i="1" s="1"/>
  <c r="DL162" i="1" a="1"/>
  <c r="DL162" i="1" s="1"/>
  <c r="DL160" i="1" a="1"/>
  <c r="DL160" i="1" s="1"/>
  <c r="K160" i="1" a="1"/>
  <c r="K160" i="1" s="1"/>
  <c r="AU159" i="1" a="1"/>
  <c r="AU159" i="1" s="1"/>
  <c r="DM159" i="1" s="1" a="1"/>
  <c r="DM159" i="1" s="1"/>
  <c r="DI159" i="1" a="1"/>
  <c r="DI159" i="1" s="1"/>
  <c r="AQ161" i="1" a="1"/>
  <c r="AQ161" i="1" s="1"/>
  <c r="DI161" i="1" s="1" a="1"/>
  <c r="DI161" i="1" s="1"/>
  <c r="DI160" i="1" a="1"/>
  <c r="DI160" i="1" s="1"/>
  <c r="AQ162" i="1" a="1"/>
  <c r="AQ162" i="1" s="1"/>
  <c r="DI162" i="1" s="1" a="1"/>
  <c r="DI162" i="1" s="1"/>
  <c r="L159" i="1" a="1"/>
  <c r="L159" i="1" s="1"/>
  <c r="L160" i="1" a="1"/>
  <c r="L160" i="1" s="1"/>
  <c r="AR162" i="1" a="1"/>
  <c r="AR162" i="1" s="1"/>
  <c r="DJ30" i="1" a="1"/>
  <c r="DJ30" i="1" s="1"/>
  <c r="DJ32" i="1" a="1"/>
  <c r="DJ32" i="1" s="1"/>
  <c r="DJ31" i="1" a="1"/>
  <c r="DJ31" i="1" s="1"/>
  <c r="DJ29" i="1" a="1"/>
  <c r="DJ29" i="1" s="1"/>
  <c r="DI12" i="1" a="1"/>
  <c r="DI12" i="1" s="1"/>
  <c r="DI13" i="1" a="1"/>
  <c r="DI13" i="1" s="1"/>
  <c r="DI11" i="1" a="1"/>
  <c r="DI11" i="1" s="1"/>
  <c r="DI14" i="1" a="1"/>
  <c r="DI14" i="1" s="1"/>
  <c r="DK23" i="1" l="1" a="1"/>
  <c r="DK23" i="1" s="1"/>
  <c r="DK22" i="1" a="1"/>
  <c r="DK22" i="1" s="1"/>
  <c r="DK20" i="1" a="1"/>
  <c r="DK20" i="1" s="1"/>
  <c r="DK21" i="1" a="1"/>
  <c r="DK21" i="1" s="1"/>
  <c r="DL21" i="1" a="1"/>
  <c r="DL21" i="1" s="1"/>
  <c r="DL23" i="1" a="1"/>
  <c r="DL23" i="1" s="1"/>
  <c r="DL22" i="1" a="1"/>
  <c r="DL22" i="1" s="1"/>
  <c r="DL20" i="1" a="1"/>
  <c r="DL20" i="1" s="1"/>
  <c r="AW162" i="1"/>
  <c r="BI162" i="1"/>
  <c r="BB162" i="1"/>
  <c r="P160" i="1"/>
  <c r="AG160" i="1" s="1"/>
  <c r="AB160" i="1"/>
  <c r="U160" i="1"/>
  <c r="AL160" i="1" s="1"/>
  <c r="AW96" i="1"/>
  <c r="BI96" i="1"/>
  <c r="AR100" i="1"/>
  <c r="AW100" i="1" s="1"/>
  <c r="AB249" i="1"/>
  <c r="AG249" i="1" s="1"/>
  <c r="P249" i="1"/>
  <c r="BH267" i="1"/>
  <c r="BM267" i="1" s="1"/>
  <c r="CD267" i="1" s="1"/>
  <c r="AV267" i="1"/>
  <c r="AT241" i="1"/>
  <c r="AY241" i="1" s="1"/>
  <c r="BK237" i="1"/>
  <c r="AY237" i="1"/>
  <c r="BK220" i="1"/>
  <c r="BP220" i="1" s="1"/>
  <c r="CG220" i="1" s="1"/>
  <c r="CB220" i="1" s="1"/>
  <c r="AY220" i="1"/>
  <c r="BK89" i="1"/>
  <c r="BP89" i="1" s="1"/>
  <c r="CG89" i="1" s="1"/>
  <c r="CB89" i="1" s="1"/>
  <c r="AY89" i="1"/>
  <c r="AZ221" i="1"/>
  <c r="BL221" i="1"/>
  <c r="BQ221" i="1" s="1"/>
  <c r="CH221" i="1" s="1"/>
  <c r="CC221" i="1" s="1"/>
  <c r="Q240" i="1"/>
  <c r="AC240" i="1"/>
  <c r="AH240" i="1" s="1"/>
  <c r="AC249" i="1"/>
  <c r="AH249" i="1" s="1"/>
  <c r="Q249" i="1"/>
  <c r="AD89" i="1"/>
  <c r="AI89" i="1" s="1"/>
  <c r="R89" i="1"/>
  <c r="R246" i="1"/>
  <c r="M250" i="1"/>
  <c r="R250" i="1" s="1"/>
  <c r="AD246" i="1"/>
  <c r="BI248" i="1"/>
  <c r="BN248" i="1" s="1"/>
  <c r="CE248" i="1" s="1"/>
  <c r="AW248" i="1"/>
  <c r="AW99" i="1"/>
  <c r="BI99" i="1"/>
  <c r="BN99" i="1" s="1"/>
  <c r="CE99" i="1" s="1"/>
  <c r="BI247" i="1"/>
  <c r="BN247" i="1" s="1"/>
  <c r="CE247" i="1" s="1"/>
  <c r="AW247" i="1"/>
  <c r="AB221" i="1"/>
  <c r="AG221" i="1" s="1"/>
  <c r="P221" i="1"/>
  <c r="O89" i="1"/>
  <c r="AA89" i="1"/>
  <c r="AF89" i="1" s="1"/>
  <c r="AA247" i="1"/>
  <c r="AF247" i="1" s="1"/>
  <c r="O247" i="1"/>
  <c r="AZ90" i="1"/>
  <c r="BL90" i="1"/>
  <c r="BQ90" i="1" s="1"/>
  <c r="CH90" i="1" s="1"/>
  <c r="CC90" i="1" s="1"/>
  <c r="Q96" i="1"/>
  <c r="L100" i="1"/>
  <c r="Q100" i="1" s="1"/>
  <c r="AC96" i="1"/>
  <c r="BJ265" i="1"/>
  <c r="BO265" i="1" s="1"/>
  <c r="CF265" i="1" s="1"/>
  <c r="AX265" i="1"/>
  <c r="N264" i="1"/>
  <c r="I268" i="1"/>
  <c r="N268" i="1" s="1"/>
  <c r="Z264" i="1"/>
  <c r="AB98" i="1"/>
  <c r="AG98" i="1" s="1"/>
  <c r="P98" i="1"/>
  <c r="R248" i="1"/>
  <c r="AD248" i="1"/>
  <c r="AI248" i="1" s="1"/>
  <c r="O161" i="1"/>
  <c r="AF161" i="1" s="1"/>
  <c r="AA161" i="1"/>
  <c r="T161" i="1"/>
  <c r="AK161" i="1" s="1"/>
  <c r="AB220" i="1"/>
  <c r="AG220" i="1" s="1"/>
  <c r="P220" i="1"/>
  <c r="K268" i="1"/>
  <c r="P268" i="1" s="1"/>
  <c r="AB264" i="1"/>
  <c r="P264" i="1"/>
  <c r="BK222" i="1"/>
  <c r="BP222" i="1" s="1"/>
  <c r="CG222" i="1" s="1"/>
  <c r="CB222" i="1" s="1"/>
  <c r="AY222" i="1"/>
  <c r="Q87" i="1"/>
  <c r="L91" i="1"/>
  <c r="Q91" i="1" s="1"/>
  <c r="AC87" i="1"/>
  <c r="BJ88" i="1"/>
  <c r="BO88" i="1" s="1"/>
  <c r="CF88" i="1" s="1"/>
  <c r="CA88" i="1" s="1"/>
  <c r="AX88" i="1"/>
  <c r="AV98" i="1"/>
  <c r="BH98" i="1"/>
  <c r="BM98" i="1" s="1"/>
  <c r="CD98" i="1" s="1"/>
  <c r="V162" i="1"/>
  <c r="AM162" i="1" s="1"/>
  <c r="Q162" i="1"/>
  <c r="AH162" i="1" s="1"/>
  <c r="AC162" i="1"/>
  <c r="AT163" i="1"/>
  <c r="BD159" i="1"/>
  <c r="AY159" i="1"/>
  <c r="BK159" i="1"/>
  <c r="BI222" i="1"/>
  <c r="BN222" i="1" s="1"/>
  <c r="CE222" i="1" s="1"/>
  <c r="BZ222" i="1" s="1"/>
  <c r="AW222" i="1"/>
  <c r="BI237" i="1"/>
  <c r="AR241" i="1"/>
  <c r="AW241" i="1" s="1"/>
  <c r="AW237" i="1"/>
  <c r="AB237" i="1"/>
  <c r="K241" i="1"/>
  <c r="P241" i="1" s="1"/>
  <c r="P237" i="1"/>
  <c r="AQ223" i="1"/>
  <c r="AV223" i="1" s="1"/>
  <c r="BH219" i="1"/>
  <c r="AV219" i="1"/>
  <c r="AV240" i="1"/>
  <c r="BH240" i="1"/>
  <c r="BM240" i="1" s="1"/>
  <c r="CD240" i="1" s="1"/>
  <c r="BY240" i="1" s="1"/>
  <c r="BK267" i="1"/>
  <c r="BP267" i="1" s="1"/>
  <c r="CG267" i="1" s="1"/>
  <c r="AY267" i="1"/>
  <c r="O90" i="1"/>
  <c r="AA90" i="1"/>
  <c r="AF90" i="1" s="1"/>
  <c r="AU250" i="1"/>
  <c r="AZ250" i="1" s="1"/>
  <c r="BL246" i="1"/>
  <c r="AZ246" i="1"/>
  <c r="AZ87" i="1"/>
  <c r="AU91" i="1"/>
  <c r="AZ91" i="1" s="1"/>
  <c r="BL87" i="1"/>
  <c r="AZ238" i="1"/>
  <c r="BL238" i="1"/>
  <c r="BQ238" i="1" s="1"/>
  <c r="CH238" i="1" s="1"/>
  <c r="CC238" i="1" s="1"/>
  <c r="Q220" i="1"/>
  <c r="AC220" i="1"/>
  <c r="AH220" i="1" s="1"/>
  <c r="AC265" i="1"/>
  <c r="AH265" i="1" s="1"/>
  <c r="Q265" i="1"/>
  <c r="Z89" i="1"/>
  <c r="AE89" i="1" s="1"/>
  <c r="N89" i="1"/>
  <c r="AD265" i="1"/>
  <c r="AI265" i="1" s="1"/>
  <c r="R265" i="1"/>
  <c r="M241" i="1"/>
  <c r="R241" i="1" s="1"/>
  <c r="AD237" i="1"/>
  <c r="R237" i="1"/>
  <c r="Q98" i="1"/>
  <c r="AC98" i="1"/>
  <c r="AH98" i="1" s="1"/>
  <c r="BB161" i="1"/>
  <c r="AW161" i="1"/>
  <c r="BI161" i="1"/>
  <c r="BE162" i="1"/>
  <c r="AZ162" i="1"/>
  <c r="BL162" i="1"/>
  <c r="BL161" i="1"/>
  <c r="BE161" i="1"/>
  <c r="AZ161" i="1"/>
  <c r="AB161" i="1"/>
  <c r="U161" i="1"/>
  <c r="AL161" i="1" s="1"/>
  <c r="P161" i="1"/>
  <c r="AG161" i="1" s="1"/>
  <c r="BK162" i="1"/>
  <c r="BD162" i="1"/>
  <c r="AY162" i="1"/>
  <c r="M163" i="1"/>
  <c r="AD159" i="1"/>
  <c r="W159" i="1"/>
  <c r="AN159" i="1" s="1"/>
  <c r="R159" i="1"/>
  <c r="AI159" i="1" s="1"/>
  <c r="BI220" i="1"/>
  <c r="BN220" i="1" s="1"/>
  <c r="CE220" i="1" s="1"/>
  <c r="BZ220" i="1" s="1"/>
  <c r="AW220" i="1"/>
  <c r="AB247" i="1"/>
  <c r="AG247" i="1" s="1"/>
  <c r="P247" i="1"/>
  <c r="BH264" i="1"/>
  <c r="AQ268" i="1"/>
  <c r="AV268" i="1" s="1"/>
  <c r="AV264" i="1"/>
  <c r="BK97" i="1"/>
  <c r="BP97" i="1" s="1"/>
  <c r="CG97" i="1" s="1"/>
  <c r="AY97" i="1"/>
  <c r="AA249" i="1"/>
  <c r="AF249" i="1" s="1"/>
  <c r="O249" i="1"/>
  <c r="J223" i="1"/>
  <c r="O223" i="1" s="1"/>
  <c r="AA219" i="1"/>
  <c r="O219" i="1"/>
  <c r="AX239" i="1"/>
  <c r="BJ239" i="1"/>
  <c r="BO239" i="1" s="1"/>
  <c r="CF239" i="1" s="1"/>
  <c r="CA239" i="1" s="1"/>
  <c r="AX237" i="1"/>
  <c r="AS241" i="1"/>
  <c r="AX241" i="1" s="1"/>
  <c r="BJ237" i="1"/>
  <c r="BJ90" i="1"/>
  <c r="BO90" i="1" s="1"/>
  <c r="CF90" i="1" s="1"/>
  <c r="CA90" i="1" s="1"/>
  <c r="AX90" i="1"/>
  <c r="Z90" i="1"/>
  <c r="AE90" i="1" s="1"/>
  <c r="N90" i="1"/>
  <c r="Z238" i="1"/>
  <c r="AE238" i="1" s="1"/>
  <c r="N238" i="1"/>
  <c r="I241" i="1"/>
  <c r="N241" i="1" s="1"/>
  <c r="Z237" i="1"/>
  <c r="N237" i="1"/>
  <c r="AA98" i="1"/>
  <c r="AF98" i="1" s="1"/>
  <c r="O98" i="1"/>
  <c r="AY248" i="1"/>
  <c r="BK248" i="1"/>
  <c r="BP248" i="1" s="1"/>
  <c r="CG248" i="1" s="1"/>
  <c r="N248" i="1"/>
  <c r="Z248" i="1"/>
  <c r="AE248" i="1" s="1"/>
  <c r="AC160" i="1"/>
  <c r="V160" i="1"/>
  <c r="AM160" i="1" s="1"/>
  <c r="Q160" i="1"/>
  <c r="AH160" i="1" s="1"/>
  <c r="BA162" i="1"/>
  <c r="AV162" i="1"/>
  <c r="BH162" i="1"/>
  <c r="Z160" i="1"/>
  <c r="S160" i="1"/>
  <c r="AJ160" i="1" s="1"/>
  <c r="N160" i="1"/>
  <c r="AE160" i="1" s="1"/>
  <c r="AR250" i="1"/>
  <c r="AW250" i="1" s="1"/>
  <c r="BI246" i="1"/>
  <c r="AW246" i="1"/>
  <c r="P267" i="1"/>
  <c r="AB267" i="1"/>
  <c r="AG267" i="1" s="1"/>
  <c r="BH220" i="1"/>
  <c r="BM220" i="1" s="1"/>
  <c r="CD220" i="1" s="1"/>
  <c r="BY220" i="1" s="1"/>
  <c r="AV220" i="1"/>
  <c r="BK219" i="1"/>
  <c r="AT223" i="1"/>
  <c r="AY223" i="1" s="1"/>
  <c r="AY219" i="1"/>
  <c r="BK88" i="1"/>
  <c r="BP88" i="1" s="1"/>
  <c r="CG88" i="1" s="1"/>
  <c r="CB88" i="1" s="1"/>
  <c r="AY88" i="1"/>
  <c r="AA220" i="1"/>
  <c r="AF220" i="1" s="1"/>
  <c r="O220" i="1"/>
  <c r="AZ239" i="1"/>
  <c r="BL239" i="1"/>
  <c r="BQ239" i="1" s="1"/>
  <c r="CH239" i="1" s="1"/>
  <c r="CC239" i="1" s="1"/>
  <c r="Q222" i="1"/>
  <c r="AC222" i="1"/>
  <c r="AH222" i="1" s="1"/>
  <c r="AD90" i="1"/>
  <c r="AI90" i="1" s="1"/>
  <c r="R90" i="1"/>
  <c r="R221" i="1"/>
  <c r="AD221" i="1"/>
  <c r="AI221" i="1" s="1"/>
  <c r="R264" i="1"/>
  <c r="AD264" i="1"/>
  <c r="M268" i="1"/>
  <c r="R268" i="1" s="1"/>
  <c r="AZ98" i="1"/>
  <c r="BL98" i="1"/>
  <c r="BQ98" i="1" s="1"/>
  <c r="CH98" i="1" s="1"/>
  <c r="AW267" i="1"/>
  <c r="BI267" i="1"/>
  <c r="BN267" i="1" s="1"/>
  <c r="CE267" i="1" s="1"/>
  <c r="AW265" i="1"/>
  <c r="BI265" i="1"/>
  <c r="BN265" i="1" s="1"/>
  <c r="CE265" i="1" s="1"/>
  <c r="AY264" i="1"/>
  <c r="AT268" i="1"/>
  <c r="AY268" i="1" s="1"/>
  <c r="BK264" i="1"/>
  <c r="AA221" i="1"/>
  <c r="AF221" i="1" s="1"/>
  <c r="O221" i="1"/>
  <c r="AA265" i="1"/>
  <c r="AF265" i="1" s="1"/>
  <c r="O265" i="1"/>
  <c r="AZ97" i="1"/>
  <c r="BL97" i="1"/>
  <c r="BQ97" i="1" s="1"/>
  <c r="CH97" i="1" s="1"/>
  <c r="AC246" i="1"/>
  <c r="Q246" i="1"/>
  <c r="L250" i="1"/>
  <c r="Q250" i="1" s="1"/>
  <c r="BJ247" i="1"/>
  <c r="BO247" i="1" s="1"/>
  <c r="CF247" i="1" s="1"/>
  <c r="AX247" i="1"/>
  <c r="Z97" i="1"/>
  <c r="AE97" i="1" s="1"/>
  <c r="N97" i="1"/>
  <c r="AB266" i="1"/>
  <c r="AG266" i="1" s="1"/>
  <c r="P266" i="1"/>
  <c r="R266" i="1"/>
  <c r="AD266" i="1"/>
  <c r="AI266" i="1" s="1"/>
  <c r="AV159" i="1"/>
  <c r="BH159" i="1"/>
  <c r="AQ163" i="1"/>
  <c r="BA159" i="1"/>
  <c r="AB238" i="1"/>
  <c r="AG238" i="1" s="1"/>
  <c r="P238" i="1"/>
  <c r="AB90" i="1"/>
  <c r="AG90" i="1" s="1"/>
  <c r="P90" i="1"/>
  <c r="BK240" i="1"/>
  <c r="BP240" i="1" s="1"/>
  <c r="CG240" i="1" s="1"/>
  <c r="CB240" i="1" s="1"/>
  <c r="AY240" i="1"/>
  <c r="Q237" i="1"/>
  <c r="L241" i="1"/>
  <c r="Q241" i="1" s="1"/>
  <c r="AC237" i="1"/>
  <c r="AD238" i="1"/>
  <c r="AI238" i="1" s="1"/>
  <c r="R238" i="1"/>
  <c r="BH266" i="1"/>
  <c r="BM266" i="1" s="1"/>
  <c r="CD266" i="1" s="1"/>
  <c r="AV266" i="1"/>
  <c r="I163" i="1"/>
  <c r="Z159" i="1"/>
  <c r="S159" i="1"/>
  <c r="AJ159" i="1" s="1"/>
  <c r="N159" i="1"/>
  <c r="AE159" i="1" s="1"/>
  <c r="S161" i="1"/>
  <c r="AJ161" i="1" s="1"/>
  <c r="N161" i="1"/>
  <c r="AE161" i="1" s="1"/>
  <c r="Z161" i="1"/>
  <c r="BI239" i="1"/>
  <c r="BN239" i="1" s="1"/>
  <c r="CE239" i="1" s="1"/>
  <c r="BZ239" i="1" s="1"/>
  <c r="AW239" i="1"/>
  <c r="BI240" i="1"/>
  <c r="BN240" i="1" s="1"/>
  <c r="CE240" i="1" s="1"/>
  <c r="BZ240" i="1" s="1"/>
  <c r="AW240" i="1"/>
  <c r="AR91" i="1"/>
  <c r="AW91" i="1" s="1"/>
  <c r="BI87" i="1"/>
  <c r="AW87" i="1"/>
  <c r="AV221" i="1"/>
  <c r="BH221" i="1"/>
  <c r="BM221" i="1" s="1"/>
  <c r="CD221" i="1" s="1"/>
  <c r="BY221" i="1" s="1"/>
  <c r="AQ241" i="1"/>
  <c r="AV241" i="1" s="1"/>
  <c r="AV237" i="1"/>
  <c r="BH237" i="1"/>
  <c r="AV90" i="1"/>
  <c r="BH90" i="1"/>
  <c r="BM90" i="1" s="1"/>
  <c r="CD90" i="1" s="1"/>
  <c r="BY90" i="1" s="1"/>
  <c r="AA96" i="1"/>
  <c r="O96" i="1"/>
  <c r="J100" i="1"/>
  <c r="O100" i="1" s="1"/>
  <c r="O240" i="1"/>
  <c r="AA240" i="1"/>
  <c r="AF240" i="1" s="1"/>
  <c r="AU268" i="1"/>
  <c r="AZ268" i="1" s="1"/>
  <c r="BL264" i="1"/>
  <c r="AZ264" i="1"/>
  <c r="AZ99" i="1"/>
  <c r="BL99" i="1"/>
  <c r="BQ99" i="1" s="1"/>
  <c r="CH99" i="1" s="1"/>
  <c r="AZ220" i="1"/>
  <c r="BL220" i="1"/>
  <c r="BQ220" i="1" s="1"/>
  <c r="CH220" i="1" s="1"/>
  <c r="CC220" i="1" s="1"/>
  <c r="Q238" i="1"/>
  <c r="AC238" i="1"/>
  <c r="AH238" i="1" s="1"/>
  <c r="AX99" i="1"/>
  <c r="BJ99" i="1"/>
  <c r="BO99" i="1" s="1"/>
  <c r="CF99" i="1" s="1"/>
  <c r="Z221" i="1"/>
  <c r="AE221" i="1" s="1"/>
  <c r="N221" i="1"/>
  <c r="R247" i="1"/>
  <c r="AD247" i="1"/>
  <c r="AI247" i="1" s="1"/>
  <c r="AD99" i="1"/>
  <c r="AI99" i="1" s="1"/>
  <c r="R99" i="1"/>
  <c r="AC248" i="1"/>
  <c r="AH248" i="1" s="1"/>
  <c r="Q248" i="1"/>
  <c r="AA162" i="1"/>
  <c r="T162" i="1"/>
  <c r="AK162" i="1" s="1"/>
  <c r="O162" i="1"/>
  <c r="AF162" i="1" s="1"/>
  <c r="DJ162" i="1" a="1"/>
  <c r="DJ162" i="1" s="1"/>
  <c r="AY160" i="1"/>
  <c r="BK160" i="1"/>
  <c r="BD160" i="1"/>
  <c r="BI238" i="1"/>
  <c r="BN238" i="1" s="1"/>
  <c r="CE238" i="1" s="1"/>
  <c r="BZ238" i="1" s="1"/>
  <c r="AW238" i="1"/>
  <c r="P265" i="1"/>
  <c r="AB265" i="1"/>
  <c r="AG265" i="1" s="1"/>
  <c r="AV97" i="1"/>
  <c r="BH97" i="1"/>
  <c r="BM97" i="1" s="1"/>
  <c r="CD97" i="1" s="1"/>
  <c r="BK265" i="1"/>
  <c r="BP265" i="1" s="1"/>
  <c r="CG265" i="1" s="1"/>
  <c r="AY265" i="1"/>
  <c r="AA267" i="1"/>
  <c r="AF267" i="1" s="1"/>
  <c r="O267" i="1"/>
  <c r="AC89" i="1"/>
  <c r="AH89" i="1" s="1"/>
  <c r="Q89" i="1"/>
  <c r="AX221" i="1"/>
  <c r="BJ221" i="1"/>
  <c r="BO221" i="1" s="1"/>
  <c r="CF221" i="1" s="1"/>
  <c r="CA221" i="1" s="1"/>
  <c r="AS91" i="1"/>
  <c r="AX91" i="1" s="1"/>
  <c r="AX87" i="1"/>
  <c r="BJ87" i="1"/>
  <c r="AX96" i="1"/>
  <c r="BJ96" i="1"/>
  <c r="AS100" i="1"/>
  <c r="AX100" i="1" s="1"/>
  <c r="Z240" i="1"/>
  <c r="AE240" i="1" s="1"/>
  <c r="N240" i="1"/>
  <c r="Z220" i="1"/>
  <c r="AE220" i="1" s="1"/>
  <c r="N220" i="1"/>
  <c r="Z99" i="1"/>
  <c r="AE99" i="1" s="1"/>
  <c r="N99" i="1"/>
  <c r="AA248" i="1"/>
  <c r="AF248" i="1" s="1"/>
  <c r="O248" i="1"/>
  <c r="AY266" i="1"/>
  <c r="BK266" i="1"/>
  <c r="BP266" i="1" s="1"/>
  <c r="CG266" i="1" s="1"/>
  <c r="AX98" i="1"/>
  <c r="BJ98" i="1"/>
  <c r="BO98" i="1" s="1"/>
  <c r="CF98" i="1" s="1"/>
  <c r="BK161" i="1"/>
  <c r="BD161" i="1"/>
  <c r="AY161" i="1"/>
  <c r="AR268" i="1"/>
  <c r="AW268" i="1" s="1"/>
  <c r="BI264" i="1"/>
  <c r="AW264" i="1"/>
  <c r="AV99" i="1"/>
  <c r="BH99" i="1"/>
  <c r="BM99" i="1" s="1"/>
  <c r="CD99" i="1" s="1"/>
  <c r="AV238" i="1"/>
  <c r="BH238" i="1"/>
  <c r="BM238" i="1" s="1"/>
  <c r="CD238" i="1" s="1"/>
  <c r="BY238" i="1" s="1"/>
  <c r="BK87" i="1"/>
  <c r="AT91" i="1"/>
  <c r="AY91" i="1" s="1"/>
  <c r="AY87" i="1"/>
  <c r="BK239" i="1"/>
  <c r="BP239" i="1" s="1"/>
  <c r="CG239" i="1" s="1"/>
  <c r="CB239" i="1" s="1"/>
  <c r="AY239" i="1"/>
  <c r="O88" i="1"/>
  <c r="AA88" i="1"/>
  <c r="AF88" i="1" s="1"/>
  <c r="AZ89" i="1"/>
  <c r="BL89" i="1"/>
  <c r="BQ89" i="1" s="1"/>
  <c r="CH89" i="1" s="1"/>
  <c r="CC89" i="1" s="1"/>
  <c r="Q99" i="1"/>
  <c r="AC99" i="1"/>
  <c r="AH99" i="1" s="1"/>
  <c r="AD222" i="1"/>
  <c r="AI222" i="1" s="1"/>
  <c r="R222" i="1"/>
  <c r="AD239" i="1"/>
  <c r="AI239" i="1" s="1"/>
  <c r="R239" i="1"/>
  <c r="AW98" i="1"/>
  <c r="BI98" i="1"/>
  <c r="BN98" i="1" s="1"/>
  <c r="CE98" i="1" s="1"/>
  <c r="BL266" i="1"/>
  <c r="BQ266" i="1" s="1"/>
  <c r="CH266" i="1" s="1"/>
  <c r="AZ266" i="1"/>
  <c r="BI249" i="1"/>
  <c r="BN249" i="1" s="1"/>
  <c r="CE249" i="1" s="1"/>
  <c r="AW249" i="1"/>
  <c r="AB89" i="1"/>
  <c r="AG89" i="1" s="1"/>
  <c r="P89" i="1"/>
  <c r="BK96" i="1"/>
  <c r="AT100" i="1"/>
  <c r="AY100" i="1" s="1"/>
  <c r="AY96" i="1"/>
  <c r="O239" i="1"/>
  <c r="AA239" i="1"/>
  <c r="AF239" i="1" s="1"/>
  <c r="AZ240" i="1"/>
  <c r="BL240" i="1"/>
  <c r="BQ240" i="1" s="1"/>
  <c r="CH240" i="1" s="1"/>
  <c r="CC240" i="1" s="1"/>
  <c r="BL247" i="1"/>
  <c r="BQ247" i="1" s="1"/>
  <c r="CH247" i="1" s="1"/>
  <c r="AZ247" i="1"/>
  <c r="L268" i="1"/>
  <c r="Q268" i="1" s="1"/>
  <c r="AC264" i="1"/>
  <c r="Q264" i="1"/>
  <c r="I100" i="1"/>
  <c r="N100" i="1" s="1"/>
  <c r="Z96" i="1"/>
  <c r="N96" i="1"/>
  <c r="Z265" i="1"/>
  <c r="AE265" i="1" s="1"/>
  <c r="N265" i="1"/>
  <c r="AB248" i="1"/>
  <c r="AG248" i="1" s="1"/>
  <c r="P248" i="1"/>
  <c r="J163" i="1"/>
  <c r="AA159" i="1"/>
  <c r="T159" i="1"/>
  <c r="AK159" i="1" s="1"/>
  <c r="O159" i="1"/>
  <c r="AF159" i="1" s="1"/>
  <c r="BI159" i="1"/>
  <c r="AR163" i="1"/>
  <c r="BB159" i="1"/>
  <c r="AW159" i="1"/>
  <c r="BC160" i="1"/>
  <c r="AX160" i="1"/>
  <c r="BJ160" i="1"/>
  <c r="AB96" i="1"/>
  <c r="P96" i="1"/>
  <c r="K100" i="1"/>
  <c r="P100" i="1" s="1"/>
  <c r="AB222" i="1"/>
  <c r="AG222" i="1" s="1"/>
  <c r="P222" i="1"/>
  <c r="BK90" i="1"/>
  <c r="BP90" i="1" s="1"/>
  <c r="CG90" i="1" s="1"/>
  <c r="CB90" i="1" s="1"/>
  <c r="AY90" i="1"/>
  <c r="AX238" i="1"/>
  <c r="BJ238" i="1"/>
  <c r="BO238" i="1" s="1"/>
  <c r="CF238" i="1" s="1"/>
  <c r="CA238" i="1" s="1"/>
  <c r="AD88" i="1"/>
  <c r="AI88" i="1" s="1"/>
  <c r="R88" i="1"/>
  <c r="BH248" i="1"/>
  <c r="BM248" i="1" s="1"/>
  <c r="CD248" i="1" s="1"/>
  <c r="AV248" i="1"/>
  <c r="BH160" i="1"/>
  <c r="BA160" i="1"/>
  <c r="AV160" i="1"/>
  <c r="AX161" i="1"/>
  <c r="BJ161" i="1"/>
  <c r="BC161" i="1"/>
  <c r="BI221" i="1"/>
  <c r="BN221" i="1" s="1"/>
  <c r="CE221" i="1" s="1"/>
  <c r="BZ221" i="1" s="1"/>
  <c r="AW221" i="1"/>
  <c r="BI90" i="1"/>
  <c r="BN90" i="1" s="1"/>
  <c r="CE90" i="1" s="1"/>
  <c r="BZ90" i="1" s="1"/>
  <c r="AW90" i="1"/>
  <c r="K91" i="1"/>
  <c r="P91" i="1" s="1"/>
  <c r="AB87" i="1"/>
  <c r="P87" i="1"/>
  <c r="AV239" i="1"/>
  <c r="BH239" i="1"/>
  <c r="BM239" i="1" s="1"/>
  <c r="CD239" i="1" s="1"/>
  <c r="BY239" i="1" s="1"/>
  <c r="AV87" i="1"/>
  <c r="AQ91" i="1"/>
  <c r="AV91" i="1" s="1"/>
  <c r="BH87" i="1"/>
  <c r="BK99" i="1"/>
  <c r="BP99" i="1" s="1"/>
  <c r="CG99" i="1" s="1"/>
  <c r="AY99" i="1"/>
  <c r="J250" i="1"/>
  <c r="O250" i="1" s="1"/>
  <c r="AA246" i="1"/>
  <c r="O246" i="1"/>
  <c r="O222" i="1"/>
  <c r="AA222" i="1"/>
  <c r="AF222" i="1" s="1"/>
  <c r="AU241" i="1"/>
  <c r="AZ241" i="1" s="1"/>
  <c r="AZ237" i="1"/>
  <c r="BL237" i="1"/>
  <c r="BL267" i="1"/>
  <c r="BQ267" i="1" s="1"/>
  <c r="CH267" i="1" s="1"/>
  <c r="AZ267" i="1"/>
  <c r="AZ88" i="1"/>
  <c r="BL88" i="1"/>
  <c r="BQ88" i="1" s="1"/>
  <c r="CH88" i="1" s="1"/>
  <c r="CC88" i="1" s="1"/>
  <c r="Q97" i="1"/>
  <c r="AC97" i="1"/>
  <c r="AH97" i="1" s="1"/>
  <c r="BJ249" i="1"/>
  <c r="BO249" i="1" s="1"/>
  <c r="CF249" i="1" s="1"/>
  <c r="AX249" i="1"/>
  <c r="Z239" i="1"/>
  <c r="AE239" i="1" s="1"/>
  <c r="N239" i="1"/>
  <c r="AD87" i="1"/>
  <c r="M91" i="1"/>
  <c r="R91" i="1" s="1"/>
  <c r="R87" i="1"/>
  <c r="AD267" i="1"/>
  <c r="AI267" i="1" s="1"/>
  <c r="R267" i="1"/>
  <c r="AC266" i="1"/>
  <c r="AH266" i="1" s="1"/>
  <c r="Q266" i="1"/>
  <c r="AB162" i="1"/>
  <c r="U162" i="1"/>
  <c r="AL162" i="1" s="1"/>
  <c r="P162" i="1"/>
  <c r="AG162" i="1" s="1"/>
  <c r="U159" i="1"/>
  <c r="AL159" i="1" s="1"/>
  <c r="P159" i="1"/>
  <c r="AG159" i="1" s="1"/>
  <c r="K163" i="1"/>
  <c r="AB159" i="1"/>
  <c r="AD160" i="1"/>
  <c r="W160" i="1"/>
  <c r="AN160" i="1" s="1"/>
  <c r="R160" i="1"/>
  <c r="AI160" i="1" s="1"/>
  <c r="W161" i="1"/>
  <c r="AN161" i="1" s="1"/>
  <c r="R161" i="1"/>
  <c r="AI161" i="1" s="1"/>
  <c r="AD161" i="1"/>
  <c r="BI88" i="1"/>
  <c r="BN88" i="1" s="1"/>
  <c r="CE88" i="1" s="1"/>
  <c r="BZ88" i="1" s="1"/>
  <c r="AW88" i="1"/>
  <c r="AQ100" i="1"/>
  <c r="AV100" i="1" s="1"/>
  <c r="AV96" i="1"/>
  <c r="BH96" i="1"/>
  <c r="BH265" i="1"/>
  <c r="BM265" i="1" s="1"/>
  <c r="CD265" i="1" s="1"/>
  <c r="AV265" i="1"/>
  <c r="AY247" i="1"/>
  <c r="BK247" i="1"/>
  <c r="BP247" i="1" s="1"/>
  <c r="CG247" i="1" s="1"/>
  <c r="O87" i="1"/>
  <c r="J91" i="1"/>
  <c r="O91" i="1" s="1"/>
  <c r="AA87" i="1"/>
  <c r="Q239" i="1"/>
  <c r="AC239" i="1"/>
  <c r="AH239" i="1" s="1"/>
  <c r="BJ89" i="1"/>
  <c r="BO89" i="1" s="1"/>
  <c r="CF89" i="1" s="1"/>
  <c r="CA89" i="1" s="1"/>
  <c r="AX89" i="1"/>
  <c r="AX240" i="1"/>
  <c r="BJ240" i="1"/>
  <c r="BO240" i="1" s="1"/>
  <c r="CF240" i="1" s="1"/>
  <c r="CA240" i="1" s="1"/>
  <c r="BJ246" i="1"/>
  <c r="AX246" i="1"/>
  <c r="AS250" i="1"/>
  <c r="AX250" i="1" s="1"/>
  <c r="Z222" i="1"/>
  <c r="AE222" i="1" s="1"/>
  <c r="N222" i="1"/>
  <c r="Z87" i="1"/>
  <c r="I91" i="1"/>
  <c r="N91" i="1" s="1"/>
  <c r="N87" i="1"/>
  <c r="N249" i="1"/>
  <c r="Z249" i="1"/>
  <c r="AE249" i="1" s="1"/>
  <c r="AA266" i="1"/>
  <c r="AF266" i="1" s="1"/>
  <c r="O266" i="1"/>
  <c r="Z98" i="1"/>
  <c r="AE98" i="1" s="1"/>
  <c r="N98" i="1"/>
  <c r="BJ266" i="1"/>
  <c r="BO266" i="1" s="1"/>
  <c r="CF266" i="1" s="1"/>
  <c r="AX266" i="1"/>
  <c r="DI21" i="1" a="1"/>
  <c r="DI21" i="1" s="1"/>
  <c r="DI22" i="1" a="1"/>
  <c r="DI22" i="1" s="1"/>
  <c r="DI23" i="1" a="1"/>
  <c r="DI23" i="1" s="1"/>
  <c r="DI20" i="1" a="1"/>
  <c r="DI20" i="1" s="1"/>
  <c r="DJ22" i="1" a="1"/>
  <c r="DJ22" i="1" s="1"/>
  <c r="DJ20" i="1" a="1"/>
  <c r="DJ20" i="1" s="1"/>
  <c r="DJ23" i="1" a="1"/>
  <c r="DJ23" i="1" s="1"/>
  <c r="DJ21" i="1" a="1"/>
  <c r="DJ21" i="1" s="1"/>
  <c r="DM22" i="1" a="1"/>
  <c r="DM22" i="1" s="1"/>
  <c r="DM20" i="1" a="1"/>
  <c r="DM20" i="1" s="1"/>
  <c r="DM23" i="1" a="1"/>
  <c r="DM23" i="1" s="1"/>
  <c r="DM21" i="1" a="1"/>
  <c r="DM21" i="1" s="1"/>
  <c r="Q159" i="1"/>
  <c r="AH159" i="1" s="1"/>
  <c r="L163" i="1"/>
  <c r="AC159" i="1"/>
  <c r="V159" i="1"/>
  <c r="AM159" i="1" s="1"/>
  <c r="BH161" i="1"/>
  <c r="BA161" i="1"/>
  <c r="AV161" i="1"/>
  <c r="AZ159" i="1"/>
  <c r="BL159" i="1"/>
  <c r="AU163" i="1"/>
  <c r="BE159" i="1"/>
  <c r="R162" i="1"/>
  <c r="AI162" i="1" s="1"/>
  <c r="AD162" i="1"/>
  <c r="W162" i="1"/>
  <c r="AN162" i="1" s="1"/>
  <c r="BJ159" i="1"/>
  <c r="AS163" i="1"/>
  <c r="BC159" i="1"/>
  <c r="AX159" i="1"/>
  <c r="AB99" i="1"/>
  <c r="AG99" i="1" s="1"/>
  <c r="P99" i="1"/>
  <c r="BH249" i="1"/>
  <c r="BM249" i="1" s="1"/>
  <c r="CD249" i="1" s="1"/>
  <c r="AV249" i="1"/>
  <c r="AV88" i="1"/>
  <c r="BH88" i="1"/>
  <c r="BM88" i="1" s="1"/>
  <c r="CD88" i="1" s="1"/>
  <c r="BY88" i="1" s="1"/>
  <c r="BK238" i="1"/>
  <c r="BP238" i="1" s="1"/>
  <c r="CG238" i="1" s="1"/>
  <c r="CB238" i="1" s="1"/>
  <c r="AY238" i="1"/>
  <c r="BK221" i="1"/>
  <c r="BP221" i="1" s="1"/>
  <c r="CG221" i="1" s="1"/>
  <c r="CB221" i="1" s="1"/>
  <c r="AY221" i="1"/>
  <c r="O238" i="1"/>
  <c r="AA238" i="1"/>
  <c r="AF238" i="1" s="1"/>
  <c r="AC90" i="1"/>
  <c r="AH90" i="1" s="1"/>
  <c r="Q90" i="1"/>
  <c r="AC267" i="1"/>
  <c r="AH267" i="1" s="1"/>
  <c r="Q267" i="1"/>
  <c r="AD240" i="1"/>
  <c r="AI240" i="1" s="1"/>
  <c r="R240" i="1"/>
  <c r="M100" i="1"/>
  <c r="R100" i="1" s="1"/>
  <c r="AD96" i="1"/>
  <c r="R96" i="1"/>
  <c r="BI266" i="1"/>
  <c r="BN266" i="1" s="1"/>
  <c r="CE266" i="1" s="1"/>
  <c r="AW266" i="1"/>
  <c r="BL248" i="1"/>
  <c r="BQ248" i="1" s="1"/>
  <c r="CH248" i="1" s="1"/>
  <c r="AZ248" i="1"/>
  <c r="AW97" i="1"/>
  <c r="BI97" i="1"/>
  <c r="BN97" i="1" s="1"/>
  <c r="CE97" i="1" s="1"/>
  <c r="AB239" i="1"/>
  <c r="AG239" i="1" s="1"/>
  <c r="P239" i="1"/>
  <c r="AY246" i="1"/>
  <c r="AT250" i="1"/>
  <c r="AY250" i="1" s="1"/>
  <c r="BK246" i="1"/>
  <c r="AA97" i="1"/>
  <c r="AF97" i="1" s="1"/>
  <c r="O97" i="1"/>
  <c r="AZ222" i="1"/>
  <c r="BL222" i="1"/>
  <c r="BQ222" i="1" s="1"/>
  <c r="CH222" i="1" s="1"/>
  <c r="CC222" i="1" s="1"/>
  <c r="BL265" i="1"/>
  <c r="BQ265" i="1" s="1"/>
  <c r="CH265" i="1" s="1"/>
  <c r="AZ265" i="1"/>
  <c r="AX97" i="1"/>
  <c r="BJ97" i="1"/>
  <c r="BO97" i="1" s="1"/>
  <c r="CF97" i="1" s="1"/>
  <c r="N246" i="1"/>
  <c r="I250" i="1"/>
  <c r="N250" i="1" s="1"/>
  <c r="Z246" i="1"/>
  <c r="N247" i="1"/>
  <c r="Z247" i="1"/>
  <c r="AE247" i="1" s="1"/>
  <c r="AD98" i="1"/>
  <c r="AI98" i="1" s="1"/>
  <c r="R98" i="1"/>
  <c r="AC161" i="1"/>
  <c r="V161" i="1"/>
  <c r="AM161" i="1" s="1"/>
  <c r="Q161" i="1"/>
  <c r="AH161" i="1" s="1"/>
  <c r="AB88" i="1"/>
  <c r="AG88" i="1" s="1"/>
  <c r="P88" i="1"/>
  <c r="AB246" i="1"/>
  <c r="P246" i="1"/>
  <c r="K250" i="1"/>
  <c r="P250" i="1" s="1"/>
  <c r="AB240" i="1"/>
  <c r="AG240" i="1" s="1"/>
  <c r="P240" i="1"/>
  <c r="Q219" i="1"/>
  <c r="L223" i="1"/>
  <c r="Q223" i="1" s="1"/>
  <c r="AC219" i="1"/>
  <c r="AX220" i="1"/>
  <c r="BJ220" i="1"/>
  <c r="BO220" i="1" s="1"/>
  <c r="CF220" i="1" s="1"/>
  <c r="CA220" i="1" s="1"/>
  <c r="AD220" i="1"/>
  <c r="AI220" i="1" s="1"/>
  <c r="R220" i="1"/>
  <c r="BI160" i="1"/>
  <c r="BB160" i="1"/>
  <c r="AW160" i="1"/>
  <c r="BL160" i="1"/>
  <c r="BE160" i="1"/>
  <c r="AZ160" i="1"/>
  <c r="N162" i="1"/>
  <c r="AE162" i="1" s="1"/>
  <c r="Z162" i="1"/>
  <c r="S162" i="1"/>
  <c r="AJ162" i="1" s="1"/>
  <c r="BJ162" i="1"/>
  <c r="BC162" i="1"/>
  <c r="AX162" i="1"/>
  <c r="DK159" i="1" a="1"/>
  <c r="DK159" i="1" s="1"/>
  <c r="BI89" i="1"/>
  <c r="BN89" i="1" s="1"/>
  <c r="CE89" i="1" s="1"/>
  <c r="BZ89" i="1" s="1"/>
  <c r="AW89" i="1"/>
  <c r="BI219" i="1"/>
  <c r="AR223" i="1"/>
  <c r="AW223" i="1" s="1"/>
  <c r="AW219" i="1"/>
  <c r="K223" i="1"/>
  <c r="P223" i="1" s="1"/>
  <c r="AB219" i="1"/>
  <c r="P219" i="1"/>
  <c r="AV89" i="1"/>
  <c r="BH89" i="1"/>
  <c r="BM89" i="1" s="1"/>
  <c r="CD89" i="1" s="1"/>
  <c r="BY89" i="1" s="1"/>
  <c r="AV222" i="1"/>
  <c r="BH222" i="1"/>
  <c r="BM222" i="1" s="1"/>
  <c r="CD222" i="1" s="1"/>
  <c r="BY222" i="1" s="1"/>
  <c r="AY249" i="1"/>
  <c r="BK249" i="1"/>
  <c r="BP249" i="1" s="1"/>
  <c r="CG249" i="1" s="1"/>
  <c r="J268" i="1"/>
  <c r="O268" i="1" s="1"/>
  <c r="AA264" i="1"/>
  <c r="O264" i="1"/>
  <c r="AU100" i="1"/>
  <c r="AZ100" i="1" s="1"/>
  <c r="AZ96" i="1"/>
  <c r="BL96" i="1"/>
  <c r="AU223" i="1"/>
  <c r="AZ223" i="1" s="1"/>
  <c r="BL219" i="1"/>
  <c r="AZ219" i="1"/>
  <c r="BL249" i="1"/>
  <c r="BQ249" i="1" s="1"/>
  <c r="CH249" i="1" s="1"/>
  <c r="AZ249" i="1"/>
  <c r="Q88" i="1"/>
  <c r="AC88" i="1"/>
  <c r="AH88" i="1" s="1"/>
  <c r="AC247" i="1"/>
  <c r="AH247" i="1" s="1"/>
  <c r="Q247" i="1"/>
  <c r="BJ267" i="1"/>
  <c r="BO267" i="1" s="1"/>
  <c r="CF267" i="1" s="1"/>
  <c r="AX267" i="1"/>
  <c r="AD97" i="1"/>
  <c r="AI97" i="1" s="1"/>
  <c r="R97" i="1"/>
  <c r="M223" i="1"/>
  <c r="R223" i="1" s="1"/>
  <c r="AD219" i="1"/>
  <c r="R219" i="1"/>
  <c r="R249" i="1"/>
  <c r="AD249" i="1"/>
  <c r="AI249" i="1" s="1"/>
  <c r="T160" i="1"/>
  <c r="AK160" i="1" s="1"/>
  <c r="O160" i="1"/>
  <c r="AF160" i="1" s="1"/>
  <c r="AA160" i="1"/>
  <c r="DJ160" i="1" a="1"/>
  <c r="DJ160" i="1" s="1"/>
  <c r="DJ159" i="1" a="1"/>
  <c r="DJ159" i="1" s="1"/>
  <c r="AB97" i="1"/>
  <c r="AG97" i="1" s="1"/>
  <c r="P97" i="1"/>
  <c r="AQ250" i="1"/>
  <c r="AV250" i="1" s="1"/>
  <c r="BH246" i="1"/>
  <c r="AV246" i="1"/>
  <c r="BH247" i="1"/>
  <c r="BM247" i="1" s="1"/>
  <c r="CD247" i="1" s="1"/>
  <c r="AV247" i="1"/>
  <c r="AA99" i="1"/>
  <c r="AF99" i="1" s="1"/>
  <c r="O99" i="1"/>
  <c r="O237" i="1"/>
  <c r="AA237" i="1"/>
  <c r="J241" i="1"/>
  <c r="O241" i="1" s="1"/>
  <c r="Q221" i="1"/>
  <c r="AC221" i="1"/>
  <c r="AH221" i="1" s="1"/>
  <c r="AS223" i="1"/>
  <c r="AX223" i="1" s="1"/>
  <c r="AX219" i="1"/>
  <c r="BJ219" i="1"/>
  <c r="AX222" i="1"/>
  <c r="BJ222" i="1"/>
  <c r="BO222" i="1" s="1"/>
  <c r="CF222" i="1" s="1"/>
  <c r="CA222" i="1" s="1"/>
  <c r="BJ264" i="1"/>
  <c r="AX264" i="1"/>
  <c r="AS268" i="1"/>
  <c r="AX268" i="1" s="1"/>
  <c r="Z88" i="1"/>
  <c r="AE88" i="1" s="1"/>
  <c r="N88" i="1"/>
  <c r="I223" i="1"/>
  <c r="N223" i="1" s="1"/>
  <c r="Z219" i="1"/>
  <c r="N219" i="1"/>
  <c r="Z267" i="1"/>
  <c r="AE267" i="1" s="1"/>
  <c r="N267" i="1"/>
  <c r="BK98" i="1"/>
  <c r="BP98" i="1" s="1"/>
  <c r="CG98" i="1" s="1"/>
  <c r="AY98" i="1"/>
  <c r="N266" i="1"/>
  <c r="Z266" i="1"/>
  <c r="AE266" i="1" s="1"/>
  <c r="BJ248" i="1"/>
  <c r="BO248" i="1" s="1"/>
  <c r="CF248" i="1" s="1"/>
  <c r="AX248" i="1"/>
  <c r="AC163" i="1" l="1"/>
  <c r="CB200" i="1" a="1"/>
  <c r="CB200" i="1" s="1"/>
  <c r="BD97" i="1" a="1"/>
  <c r="BD97" i="1" s="1"/>
  <c r="CB68" i="1" a="1"/>
  <c r="CB68" i="1" s="1"/>
  <c r="BY200" i="1" a="1"/>
  <c r="BY200" i="1" s="1"/>
  <c r="BA97" i="1" a="1"/>
  <c r="BA97" i="1" s="1"/>
  <c r="BY68" i="1" a="1"/>
  <c r="BY68" i="1" s="1"/>
  <c r="BJ223" i="1"/>
  <c r="BO223" i="1" s="1"/>
  <c r="BO219" i="1"/>
  <c r="CF219" i="1" s="1"/>
  <c r="CA219" i="1" s="1"/>
  <c r="CA223" i="1" s="1"/>
  <c r="CF223" i="1" s="1"/>
  <c r="BO162" i="1"/>
  <c r="BT162" i="1"/>
  <c r="AG246" i="1"/>
  <c r="AB250" i="1"/>
  <c r="AG250" i="1" s="1"/>
  <c r="BJ163" i="1"/>
  <c r="BT159" i="1"/>
  <c r="BO159" i="1"/>
  <c r="AB163" i="1"/>
  <c r="BT161" i="1"/>
  <c r="BO161" i="1"/>
  <c r="BM160" i="1"/>
  <c r="BR160" i="1"/>
  <c r="AB100" i="1"/>
  <c r="AG100" i="1" s="1"/>
  <c r="AG96" i="1"/>
  <c r="AC268" i="1"/>
  <c r="AH268" i="1" s="1"/>
  <c r="AH264" i="1"/>
  <c r="CB70" i="1" a="1"/>
  <c r="CB70" i="1" s="1"/>
  <c r="BO96" i="1"/>
  <c r="CF96" i="1" s="1"/>
  <c r="BJ100" i="1"/>
  <c r="BO100" i="1" s="1"/>
  <c r="BU160" i="1"/>
  <c r="BP160" i="1"/>
  <c r="BQ264" i="1"/>
  <c r="CH264" i="1" s="1"/>
  <c r="BL268" i="1"/>
  <c r="BQ268" i="1" s="1"/>
  <c r="Z241" i="1"/>
  <c r="AE241" i="1" s="1"/>
  <c r="AE237" i="1"/>
  <c r="BJ241" i="1"/>
  <c r="BO241" i="1" s="1"/>
  <c r="BO237" i="1"/>
  <c r="CF237" i="1" s="1"/>
  <c r="CA237" i="1" s="1"/>
  <c r="CA241" i="1" s="1"/>
  <c r="CF241" i="1" s="1"/>
  <c r="BV162" i="1"/>
  <c r="BQ162" i="1"/>
  <c r="BD163" i="1"/>
  <c r="AY163" i="1"/>
  <c r="AE264" i="1"/>
  <c r="Z268" i="1"/>
  <c r="AE268" i="1" s="1"/>
  <c r="BD96" i="1" a="1"/>
  <c r="BD96" i="1" s="1"/>
  <c r="BY199" i="1" a="1"/>
  <c r="BY199" i="1" s="1"/>
  <c r="BA96" i="1" a="1"/>
  <c r="BA96" i="1" s="1"/>
  <c r="BY67" i="1" a="1"/>
  <c r="BY67" i="1" s="1"/>
  <c r="CA199" i="1" a="1"/>
  <c r="CA199" i="1" s="1"/>
  <c r="CA67" i="1" a="1"/>
  <c r="CA67" i="1" s="1"/>
  <c r="BC96" i="1" a="1"/>
  <c r="BC96" i="1" s="1"/>
  <c r="BY202" i="1" a="1"/>
  <c r="BY202" i="1" s="1"/>
  <c r="BA99" i="1" a="1"/>
  <c r="BA99" i="1" s="1"/>
  <c r="BY70" i="1" a="1"/>
  <c r="BY70" i="1" s="1"/>
  <c r="BJ268" i="1"/>
  <c r="BO268" i="1" s="1"/>
  <c r="BO264" i="1"/>
  <c r="CF264" i="1" s="1"/>
  <c r="BM246" i="1"/>
  <c r="CD246" i="1" s="1"/>
  <c r="BH250" i="1"/>
  <c r="BM250" i="1" s="1"/>
  <c r="BL100" i="1"/>
  <c r="BQ100" i="1" s="1"/>
  <c r="BQ96" i="1"/>
  <c r="CH96" i="1" s="1"/>
  <c r="AF264" i="1"/>
  <c r="AA268" i="1"/>
  <c r="AF268" i="1" s="1"/>
  <c r="BS160" i="1"/>
  <c r="BN160" i="1"/>
  <c r="AC223" i="1"/>
  <c r="AH223" i="1" s="1"/>
  <c r="AH219" i="1"/>
  <c r="BK250" i="1"/>
  <c r="BP250" i="1" s="1"/>
  <c r="BP246" i="1"/>
  <c r="CG246" i="1" s="1"/>
  <c r="AI96" i="1"/>
  <c r="AD100" i="1"/>
  <c r="AI100" i="1" s="1"/>
  <c r="BE163" i="1"/>
  <c r="AZ163" i="1"/>
  <c r="V163" i="1"/>
  <c r="AM163" i="1" s="1"/>
  <c r="Q163" i="1"/>
  <c r="AH163" i="1" s="1"/>
  <c r="BH100" i="1"/>
  <c r="BM100" i="1" s="1"/>
  <c r="BM96" i="1"/>
  <c r="CD96" i="1" s="1"/>
  <c r="U163" i="1"/>
  <c r="AL163" i="1" s="1"/>
  <c r="P163" i="1"/>
  <c r="AG163" i="1" s="1"/>
  <c r="BQ237" i="1"/>
  <c r="CH237" i="1" s="1"/>
  <c r="CC237" i="1" s="1"/>
  <c r="CC241" i="1" s="1"/>
  <c r="CH241" i="1" s="1"/>
  <c r="BL241" i="1"/>
  <c r="BQ241" i="1" s="1"/>
  <c r="AB91" i="1"/>
  <c r="AG91" i="1" s="1"/>
  <c r="AG87" i="1"/>
  <c r="BT160" i="1"/>
  <c r="BO160" i="1"/>
  <c r="AE96" i="1"/>
  <c r="Z100" i="1"/>
  <c r="AE100" i="1" s="1"/>
  <c r="BK91" i="1"/>
  <c r="BP91" i="1" s="1"/>
  <c r="BP87" i="1"/>
  <c r="CG87" i="1" s="1"/>
  <c r="CB87" i="1" s="1"/>
  <c r="BE97" i="1" a="1"/>
  <c r="BE97" i="1" s="1"/>
  <c r="BB99" i="1" a="1"/>
  <c r="BB99" i="1" s="1"/>
  <c r="CB202" i="1" a="1"/>
  <c r="CB202" i="1" s="1"/>
  <c r="BM237" i="1"/>
  <c r="CD237" i="1" s="1"/>
  <c r="BY237" i="1" s="1"/>
  <c r="BY241" i="1" s="1"/>
  <c r="CD241" i="1" s="1"/>
  <c r="BH241" i="1"/>
  <c r="BM241" i="1" s="1"/>
  <c r="BA163" i="1"/>
  <c r="AV163" i="1"/>
  <c r="BK268" i="1"/>
  <c r="BP268" i="1" s="1"/>
  <c r="BP264" i="1"/>
  <c r="CG264" i="1" s="1"/>
  <c r="BN246" i="1"/>
  <c r="CE246" i="1" s="1"/>
  <c r="BI250" i="1"/>
  <c r="BN250" i="1" s="1"/>
  <c r="CC67" i="1" a="1"/>
  <c r="CC67" i="1" s="1"/>
  <c r="AD163" i="1"/>
  <c r="BU162" i="1"/>
  <c r="BP162" i="1"/>
  <c r="BK163" i="1"/>
  <c r="BU159" i="1"/>
  <c r="BP159" i="1"/>
  <c r="AG264" i="1"/>
  <c r="AB268" i="1"/>
  <c r="AG268" i="1" s="1"/>
  <c r="AH96" i="1"/>
  <c r="AC100" i="1"/>
  <c r="AH100" i="1" s="1"/>
  <c r="BI100" i="1"/>
  <c r="BN100" i="1" s="1"/>
  <c r="BN96" i="1"/>
  <c r="CE96" i="1" s="1"/>
  <c r="CA202" i="1" a="1"/>
  <c r="CA202" i="1" s="1"/>
  <c r="CA70" i="1" a="1"/>
  <c r="CA70" i="1" s="1"/>
  <c r="BC99" i="1" a="1"/>
  <c r="BC99" i="1" s="1"/>
  <c r="CA200" i="1" a="1"/>
  <c r="CA200" i="1" s="1"/>
  <c r="CA68" i="1" a="1"/>
  <c r="CA68" i="1" s="1"/>
  <c r="BC97" i="1" a="1"/>
  <c r="BC97" i="1" s="1"/>
  <c r="BZ199" i="1" a="1"/>
  <c r="BZ199" i="1" s="1"/>
  <c r="BB96" i="1" a="1"/>
  <c r="BB96" i="1" s="1"/>
  <c r="BZ67" i="1" a="1"/>
  <c r="BZ67" i="1" s="1"/>
  <c r="BZ68" i="1" a="1"/>
  <c r="BZ68" i="1" s="1"/>
  <c r="BZ200" i="1" a="1"/>
  <c r="BZ200" i="1" s="1"/>
  <c r="BB97" i="1" a="1"/>
  <c r="BB97" i="1" s="1"/>
  <c r="AF237" i="1"/>
  <c r="AA241" i="1"/>
  <c r="AF241" i="1" s="1"/>
  <c r="AD223" i="1"/>
  <c r="AI223" i="1" s="1"/>
  <c r="AI219" i="1"/>
  <c r="AB223" i="1"/>
  <c r="AG223" i="1" s="1"/>
  <c r="AG219" i="1"/>
  <c r="BN219" i="1"/>
  <c r="CE219" i="1" s="1"/>
  <c r="BZ219" i="1" s="1"/>
  <c r="BZ223" i="1" s="1"/>
  <c r="CE223" i="1" s="1"/>
  <c r="BI223" i="1"/>
  <c r="BN223" i="1" s="1"/>
  <c r="BQ160" i="1"/>
  <c r="BV160" i="1"/>
  <c r="AE246" i="1"/>
  <c r="Z250" i="1"/>
  <c r="AE250" i="1" s="1"/>
  <c r="BL163" i="1"/>
  <c r="BV159" i="1"/>
  <c r="BQ159" i="1"/>
  <c r="BR161" i="1"/>
  <c r="BM161" i="1"/>
  <c r="Z91" i="1"/>
  <c r="AE91" i="1" s="1"/>
  <c r="AE87" i="1"/>
  <c r="AF87" i="1"/>
  <c r="AA91" i="1"/>
  <c r="AF91" i="1" s="1"/>
  <c r="AD91" i="1"/>
  <c r="AI91" i="1" s="1"/>
  <c r="AI87" i="1"/>
  <c r="BB163" i="1"/>
  <c r="AW163" i="1"/>
  <c r="AA163" i="1"/>
  <c r="BK100" i="1"/>
  <c r="BP100" i="1" s="1"/>
  <c r="BP96" i="1"/>
  <c r="CG96" i="1" s="1"/>
  <c r="CC68" i="1" a="1"/>
  <c r="CC68" i="1" s="1"/>
  <c r="BZ202" i="1" a="1"/>
  <c r="BZ202" i="1" s="1"/>
  <c r="BD99" i="1" a="1"/>
  <c r="BD99" i="1" s="1"/>
  <c r="BO87" i="1"/>
  <c r="CF87" i="1" s="1"/>
  <c r="CA87" i="1" s="1"/>
  <c r="BJ91" i="1"/>
  <c r="BO91" i="1" s="1"/>
  <c r="AF96" i="1"/>
  <c r="AA100" i="1"/>
  <c r="AF100" i="1" s="1"/>
  <c r="Z163" i="1"/>
  <c r="BH163" i="1"/>
  <c r="BR159" i="1"/>
  <c r="BM159" i="1"/>
  <c r="AC250" i="1"/>
  <c r="AH250" i="1" s="1"/>
  <c r="AH246" i="1"/>
  <c r="BR162" i="1"/>
  <c r="BM162" i="1"/>
  <c r="BE96" i="1" a="1"/>
  <c r="BE96" i="1" s="1"/>
  <c r="AF219" i="1"/>
  <c r="AA223" i="1"/>
  <c r="AF223" i="1" s="1"/>
  <c r="BH268" i="1"/>
  <c r="BM268" i="1" s="1"/>
  <c r="BM264" i="1"/>
  <c r="CD264" i="1" s="1"/>
  <c r="R163" i="1"/>
  <c r="AI163" i="1" s="1"/>
  <c r="W163" i="1"/>
  <c r="AN163" i="1" s="1"/>
  <c r="AD241" i="1"/>
  <c r="AI241" i="1" s="1"/>
  <c r="AI237" i="1"/>
  <c r="BL91" i="1"/>
  <c r="BQ91" i="1" s="1"/>
  <c r="BQ87" i="1"/>
  <c r="CH87" i="1" s="1"/>
  <c r="CC87" i="1" s="1"/>
  <c r="BQ246" i="1"/>
  <c r="CH246" i="1" s="1"/>
  <c r="BL250" i="1"/>
  <c r="BQ250" i="1" s="1"/>
  <c r="BI241" i="1"/>
  <c r="BN241" i="1" s="1"/>
  <c r="BN237" i="1"/>
  <c r="CE237" i="1" s="1"/>
  <c r="BZ237" i="1" s="1"/>
  <c r="BZ241" i="1" s="1"/>
  <c r="CE241" i="1" s="1"/>
  <c r="AI246" i="1"/>
  <c r="AD250" i="1"/>
  <c r="AI250" i="1" s="1"/>
  <c r="BP237" i="1"/>
  <c r="CG237" i="1" s="1"/>
  <c r="CB237" i="1" s="1"/>
  <c r="CB241" i="1" s="1"/>
  <c r="CG241" i="1" s="1"/>
  <c r="BK241" i="1"/>
  <c r="BP241" i="1" s="1"/>
  <c r="CB199" i="1" a="1"/>
  <c r="CB199" i="1" s="1"/>
  <c r="CC202" i="1" a="1"/>
  <c r="CC202" i="1" s="1"/>
  <c r="BE99" i="1" a="1"/>
  <c r="BE99" i="1" s="1"/>
  <c r="CC70" i="1" a="1"/>
  <c r="CC70" i="1" s="1"/>
  <c r="Z223" i="1"/>
  <c r="AE223" i="1" s="1"/>
  <c r="AE219" i="1"/>
  <c r="BL223" i="1"/>
  <c r="BQ223" i="1" s="1"/>
  <c r="BQ219" i="1"/>
  <c r="CH219" i="1" s="1"/>
  <c r="CC219" i="1" s="1"/>
  <c r="CC223" i="1" s="1"/>
  <c r="CH223" i="1" s="1"/>
  <c r="AX163" i="1"/>
  <c r="BC163" i="1"/>
  <c r="BJ250" i="1"/>
  <c r="BO250" i="1" s="1"/>
  <c r="BO246" i="1"/>
  <c r="CF246" i="1" s="1"/>
  <c r="AF246" i="1"/>
  <c r="AA250" i="1"/>
  <c r="AF250" i="1" s="1"/>
  <c r="BH91" i="1"/>
  <c r="BM91" i="1" s="1"/>
  <c r="BM87" i="1"/>
  <c r="CD87" i="1" s="1"/>
  <c r="BY87" i="1" s="1"/>
  <c r="BN159" i="1"/>
  <c r="BI163" i="1"/>
  <c r="BS159" i="1"/>
  <c r="T163" i="1"/>
  <c r="AK163" i="1" s="1"/>
  <c r="O163" i="1"/>
  <c r="AF163" i="1" s="1"/>
  <c r="BI268" i="1"/>
  <c r="BN268" i="1" s="1"/>
  <c r="BN264" i="1"/>
  <c r="CE264" i="1" s="1"/>
  <c r="BP161" i="1"/>
  <c r="BU161" i="1"/>
  <c r="CC200" i="1" a="1"/>
  <c r="CC200" i="1" s="1"/>
  <c r="BZ70" i="1" a="1"/>
  <c r="BZ70" i="1" s="1"/>
  <c r="BN87" i="1"/>
  <c r="CE87" i="1" s="1"/>
  <c r="BZ87" i="1" s="1"/>
  <c r="BI91" i="1"/>
  <c r="BN91" i="1" s="1"/>
  <c r="N163" i="1"/>
  <c r="AE163" i="1" s="1"/>
  <c r="S163" i="1"/>
  <c r="AJ163" i="1" s="1"/>
  <c r="AH237" i="1"/>
  <c r="AC241" i="1"/>
  <c r="AH241" i="1" s="1"/>
  <c r="AD268" i="1"/>
  <c r="AI268" i="1" s="1"/>
  <c r="AI264" i="1"/>
  <c r="BK223" i="1"/>
  <c r="BP223" i="1" s="1"/>
  <c r="BP219" i="1"/>
  <c r="CG219" i="1" s="1"/>
  <c r="CB219" i="1" s="1"/>
  <c r="CB223" i="1" s="1"/>
  <c r="CG223" i="1" s="1"/>
  <c r="CC199" i="1" a="1"/>
  <c r="CC199" i="1" s="1"/>
  <c r="BV161" i="1"/>
  <c r="BQ161" i="1"/>
  <c r="BS161" i="1"/>
  <c r="BN161" i="1"/>
  <c r="BH223" i="1"/>
  <c r="BM223" i="1" s="1"/>
  <c r="BM219" i="1"/>
  <c r="CD219" i="1" s="1"/>
  <c r="BY219" i="1" s="1"/>
  <c r="BY223" i="1" s="1"/>
  <c r="CD223" i="1" s="1"/>
  <c r="AB241" i="1"/>
  <c r="AG241" i="1" s="1"/>
  <c r="AG237" i="1"/>
  <c r="AH87" i="1"/>
  <c r="AC91" i="1"/>
  <c r="AH91" i="1" s="1"/>
  <c r="BS162" i="1"/>
  <c r="BN162" i="1"/>
  <c r="CB67" i="1" a="1"/>
  <c r="CB67" i="1" s="1"/>
  <c r="CC91" i="1" l="1"/>
  <c r="CH91" i="1" s="1"/>
  <c r="BV163" i="1"/>
  <c r="BQ163" i="1"/>
  <c r="BP163" i="1"/>
  <c r="BU163" i="1"/>
  <c r="BS163" i="1"/>
  <c r="BN163" i="1"/>
  <c r="BY91" i="1"/>
  <c r="CD91" i="1" s="1"/>
  <c r="BZ91" i="1"/>
  <c r="CE91" i="1" s="1"/>
  <c r="BR163" i="1"/>
  <c r="BM163" i="1"/>
  <c r="BT163" i="1"/>
  <c r="BO163" i="1"/>
  <c r="CA91" i="1"/>
  <c r="CF91" i="1" s="1"/>
  <c r="CB91" i="1"/>
  <c r="CG91" i="1" s="1"/>
  <c r="DJ190" i="1" l="1" a="1"/>
  <c r="DJ190" i="1" s="1"/>
  <c r="DD190" i="1" s="1" a="1"/>
  <c r="DD190" i="1" s="1"/>
  <c r="BZ201" i="1" a="1"/>
  <c r="BZ201" i="1" s="1"/>
  <c r="DJ191" i="1" a="1"/>
  <c r="DJ191" i="1" s="1"/>
  <c r="DD191" i="1" s="1" a="1"/>
  <c r="DD191" i="1" s="1"/>
  <c r="DJ192" i="1" a="1"/>
  <c r="DJ192" i="1" s="1"/>
  <c r="DJ193" i="1" a="1"/>
  <c r="DJ193" i="1" s="1"/>
  <c r="DD193" i="1" s="1" a="1"/>
  <c r="DD193" i="1" s="1"/>
  <c r="DJ58" i="1" a="1"/>
  <c r="DJ58" i="1" s="1"/>
  <c r="DD58" i="1" s="1" a="1"/>
  <c r="DD58" i="1" s="1"/>
  <c r="DJ60" i="1" a="1"/>
  <c r="DJ60" i="1" s="1"/>
  <c r="BB98" i="1" a="1"/>
  <c r="BB98" i="1" s="1"/>
  <c r="BB100" i="1" s="1"/>
  <c r="DJ61" i="1" a="1"/>
  <c r="DJ61" i="1" s="1"/>
  <c r="DD61" i="1" s="1" a="1"/>
  <c r="DD61" i="1" s="1"/>
  <c r="BZ69" i="1" a="1"/>
  <c r="BZ69" i="1" s="1"/>
  <c r="DJ59" i="1" a="1"/>
  <c r="DJ59" i="1" s="1"/>
  <c r="DD59" i="1" s="1" a="1"/>
  <c r="DD59" i="1" s="1"/>
  <c r="DM191" i="1" a="1"/>
  <c r="DM191" i="1" s="1"/>
  <c r="DG191" i="1" s="1" a="1"/>
  <c r="DG191" i="1" s="1"/>
  <c r="DM192" i="1" a="1"/>
  <c r="DM192" i="1" s="1"/>
  <c r="DU264" i="1" a="1"/>
  <c r="DU264" i="1" s="1"/>
  <c r="DM193" i="1" a="1"/>
  <c r="DM193" i="1" s="1"/>
  <c r="DG193" i="1" s="1" a="1"/>
  <c r="DG193" i="1" s="1"/>
  <c r="CC201" i="1" a="1"/>
  <c r="CC201" i="1" s="1"/>
  <c r="CC69" i="1" a="1"/>
  <c r="CC69" i="1" s="1"/>
  <c r="DM58" i="1" a="1"/>
  <c r="DM58" i="1" s="1"/>
  <c r="DG58" i="1" s="1" a="1"/>
  <c r="DG58" i="1" s="1"/>
  <c r="DM190" i="1" a="1"/>
  <c r="DM190" i="1" s="1"/>
  <c r="DG190" i="1" s="1" a="1"/>
  <c r="DG190" i="1" s="1"/>
  <c r="DM59" i="1" a="1"/>
  <c r="DM59" i="1" s="1"/>
  <c r="DG59" i="1" s="1" a="1"/>
  <c r="DG59" i="1" s="1"/>
  <c r="DM97" i="1" a="1"/>
  <c r="DM97" i="1" s="1"/>
  <c r="DM61" i="1" a="1"/>
  <c r="DM61" i="1" s="1"/>
  <c r="DG61" i="1" s="1" a="1"/>
  <c r="DG61" i="1" s="1"/>
  <c r="BE98" i="1" a="1"/>
  <c r="BE98" i="1" s="1"/>
  <c r="BE100" i="1" s="1"/>
  <c r="DM60" i="1" a="1"/>
  <c r="DM60" i="1" s="1"/>
  <c r="DM98" i="1" a="1"/>
  <c r="DM98" i="1" s="1"/>
  <c r="DM96" i="1" a="1"/>
  <c r="DM96" i="1" s="1"/>
  <c r="DJ98" i="1" a="1"/>
  <c r="DJ98" i="1" s="1"/>
  <c r="DU265" i="1" a="1"/>
  <c r="DU265" i="1" s="1"/>
  <c r="DI193" i="1" l="1" a="1"/>
  <c r="DI193" i="1" s="1"/>
  <c r="DC193" i="1" s="1" a="1"/>
  <c r="DC193" i="1" s="1"/>
  <c r="BY201" i="1" a="1"/>
  <c r="BY201" i="1" s="1"/>
  <c r="DI190" i="1" a="1"/>
  <c r="DI190" i="1" s="1"/>
  <c r="DC190" i="1" s="1" a="1"/>
  <c r="DC190" i="1" s="1"/>
  <c r="DI191" i="1" a="1"/>
  <c r="DI191" i="1" s="1"/>
  <c r="DC191" i="1" s="1" a="1"/>
  <c r="DC191" i="1" s="1"/>
  <c r="DI192" i="1" a="1"/>
  <c r="DI192" i="1" s="1"/>
  <c r="DI61" i="1" a="1"/>
  <c r="DI61" i="1" s="1"/>
  <c r="DC61" i="1" s="1" a="1"/>
  <c r="DC61" i="1" s="1"/>
  <c r="BA98" i="1" a="1"/>
  <c r="BA98" i="1" s="1"/>
  <c r="BA100" i="1" s="1"/>
  <c r="DI58" i="1" a="1"/>
  <c r="DI58" i="1" s="1"/>
  <c r="DC58" i="1" s="1" a="1"/>
  <c r="DC58" i="1" s="1"/>
  <c r="BY69" i="1" a="1"/>
  <c r="BY69" i="1" s="1"/>
  <c r="DI59" i="1" a="1"/>
  <c r="DI59" i="1" s="1"/>
  <c r="DC59" i="1" s="1" a="1"/>
  <c r="DC59" i="1" s="1"/>
  <c r="DI60" i="1" a="1"/>
  <c r="DI60" i="1" s="1"/>
  <c r="DM99" i="1" a="1"/>
  <c r="DM99" i="1" s="1"/>
  <c r="DG60" i="1" a="1"/>
  <c r="DG60" i="1" s="1"/>
  <c r="CH69" i="1" s="1"/>
  <c r="CC71" i="1"/>
  <c r="DU266" i="1" a="1"/>
  <c r="DU266" i="1" s="1"/>
  <c r="DU267" i="1" a="1"/>
  <c r="DU267" i="1" s="1"/>
  <c r="DJ99" i="1" a="1"/>
  <c r="DJ99" i="1" s="1"/>
  <c r="DR267" i="1" a="1"/>
  <c r="DR267" i="1" s="1"/>
  <c r="DD369" i="1"/>
  <c r="DD295" i="1"/>
  <c r="CE191" i="1"/>
  <c r="CE200" i="1"/>
  <c r="DG147" i="1"/>
  <c r="DG109" i="1"/>
  <c r="CH59" i="1"/>
  <c r="CH68" i="1"/>
  <c r="DG192" i="1" a="1"/>
  <c r="DG192" i="1" s="1"/>
  <c r="CC203" i="1"/>
  <c r="DD147" i="1"/>
  <c r="DD109" i="1"/>
  <c r="CE59" i="1"/>
  <c r="CE68" i="1"/>
  <c r="DJ96" i="1" a="1"/>
  <c r="DJ96" i="1" s="1"/>
  <c r="DR264" i="1" a="1"/>
  <c r="DR264" i="1" s="1"/>
  <c r="DR265" i="1" a="1"/>
  <c r="DR265" i="1" s="1"/>
  <c r="DK190" i="1" a="1"/>
  <c r="DK190" i="1" s="1"/>
  <c r="DE190" i="1" s="1" a="1"/>
  <c r="DE190" i="1" s="1"/>
  <c r="DK191" i="1" a="1"/>
  <c r="DK191" i="1" s="1"/>
  <c r="DE191" i="1" s="1" a="1"/>
  <c r="DE191" i="1" s="1"/>
  <c r="DK193" i="1" a="1"/>
  <c r="DK193" i="1" s="1"/>
  <c r="DE193" i="1" s="1" a="1"/>
  <c r="DE193" i="1" s="1"/>
  <c r="CA201" i="1" a="1"/>
  <c r="CA201" i="1" s="1"/>
  <c r="DK60" i="1" a="1"/>
  <c r="DK60" i="1" s="1"/>
  <c r="DK58" i="1" a="1"/>
  <c r="DK58" i="1" s="1"/>
  <c r="DE58" i="1" s="1" a="1"/>
  <c r="DE58" i="1" s="1"/>
  <c r="DK59" i="1" a="1"/>
  <c r="DK59" i="1" s="1"/>
  <c r="DE59" i="1" s="1" a="1"/>
  <c r="DE59" i="1" s="1"/>
  <c r="DK192" i="1" a="1"/>
  <c r="DK192" i="1" s="1"/>
  <c r="DK61" i="1" a="1"/>
  <c r="DK61" i="1" s="1"/>
  <c r="DE61" i="1" s="1" a="1"/>
  <c r="DE61" i="1" s="1"/>
  <c r="BC98" i="1" a="1"/>
  <c r="BC98" i="1" s="1"/>
  <c r="BC100" i="1" s="1"/>
  <c r="CA69" i="1" a="1"/>
  <c r="CA69" i="1" s="1"/>
  <c r="DL191" i="1" a="1"/>
  <c r="DL191" i="1" s="1"/>
  <c r="DF191" i="1" s="1" a="1"/>
  <c r="DF191" i="1" s="1"/>
  <c r="DL192" i="1" a="1"/>
  <c r="DL192" i="1" s="1"/>
  <c r="DL193" i="1" a="1"/>
  <c r="DL193" i="1" s="1"/>
  <c r="DF193" i="1" s="1" a="1"/>
  <c r="DF193" i="1" s="1"/>
  <c r="DL190" i="1" a="1"/>
  <c r="DL190" i="1" s="1"/>
  <c r="DF190" i="1" s="1" a="1"/>
  <c r="DF190" i="1" s="1"/>
  <c r="DL60" i="1" a="1"/>
  <c r="DL60" i="1" s="1"/>
  <c r="DL99" i="1" a="1"/>
  <c r="DL99" i="1" s="1"/>
  <c r="DL59" i="1" a="1"/>
  <c r="DL59" i="1" s="1"/>
  <c r="DF59" i="1" s="1" a="1"/>
  <c r="DF59" i="1" s="1"/>
  <c r="BD98" i="1" a="1"/>
  <c r="BD98" i="1" s="1"/>
  <c r="BD100" i="1" s="1"/>
  <c r="CB201" i="1" a="1"/>
  <c r="CB201" i="1" s="1"/>
  <c r="CB69" i="1" a="1"/>
  <c r="CB69" i="1" s="1"/>
  <c r="DL61" i="1" a="1"/>
  <c r="DL61" i="1" s="1"/>
  <c r="DF61" i="1" s="1" a="1"/>
  <c r="DF61" i="1" s="1"/>
  <c r="DL58" i="1" a="1"/>
  <c r="DL58" i="1" s="1"/>
  <c r="DF58" i="1" s="1" a="1"/>
  <c r="DF58" i="1" s="1"/>
  <c r="DM100" i="1"/>
  <c r="DG149" i="1"/>
  <c r="DG111" i="1"/>
  <c r="CH61" i="1"/>
  <c r="CH70" i="1"/>
  <c r="DG368" i="1"/>
  <c r="DG294" i="1"/>
  <c r="DG194" i="1"/>
  <c r="CH190" i="1"/>
  <c r="CH199" i="1"/>
  <c r="DG371" i="1"/>
  <c r="DG297" i="1"/>
  <c r="CH193" i="1"/>
  <c r="CH202" i="1"/>
  <c r="DD60" i="1" a="1"/>
  <c r="DD60" i="1" s="1"/>
  <c r="CE69" i="1" s="1"/>
  <c r="BZ71" i="1"/>
  <c r="DJ97" i="1" a="1"/>
  <c r="DJ97" i="1" s="1"/>
  <c r="DD146" i="1"/>
  <c r="DD108" i="1"/>
  <c r="CE58" i="1"/>
  <c r="CE67" i="1"/>
  <c r="DR266" i="1" a="1"/>
  <c r="DR266" i="1" s="1"/>
  <c r="DD192" i="1" a="1"/>
  <c r="DD192" i="1" s="1"/>
  <c r="CE201" i="1" s="1"/>
  <c r="BZ203" i="1"/>
  <c r="DG146" i="1"/>
  <c r="DG108" i="1"/>
  <c r="DG62" i="1"/>
  <c r="CH58" i="1"/>
  <c r="CH67" i="1"/>
  <c r="DG369" i="1"/>
  <c r="DG295" i="1"/>
  <c r="CH191" i="1"/>
  <c r="CH200" i="1"/>
  <c r="DD149" i="1"/>
  <c r="DD111" i="1"/>
  <c r="CE61" i="1"/>
  <c r="CE70" i="1"/>
  <c r="DD371" i="1"/>
  <c r="DD297" i="1"/>
  <c r="CE193" i="1"/>
  <c r="CE202" i="1"/>
  <c r="DD368" i="1"/>
  <c r="DD294" i="1"/>
  <c r="CE190" i="1"/>
  <c r="CE199" i="1"/>
  <c r="DK97" i="1" a="1"/>
  <c r="DK97" i="1" s="1"/>
  <c r="DT266" i="1" a="1"/>
  <c r="DT266" i="1" s="1"/>
  <c r="DQ265" i="1" a="1"/>
  <c r="DQ265" i="1" s="1"/>
  <c r="DU268" i="1" l="1"/>
  <c r="DD194" i="1"/>
  <c r="CJ202" i="1"/>
  <c r="CE184" i="1"/>
  <c r="CE175" i="1"/>
  <c r="CU201" i="1" s="1"/>
  <c r="CJ193" i="1"/>
  <c r="CE211" i="1" s="1"/>
  <c r="BZ267" i="1"/>
  <c r="CJ70" i="1"/>
  <c r="CJ61" i="1"/>
  <c r="CE79" i="1" s="1"/>
  <c r="DD14" i="1" a="1"/>
  <c r="DD14" i="1" s="1"/>
  <c r="CE14" i="1" s="1"/>
  <c r="BZ99" i="1"/>
  <c r="DD23" i="1" a="1"/>
  <c r="DD23" i="1" s="1"/>
  <c r="CE23" i="1" s="1"/>
  <c r="BZ23" i="1" s="1"/>
  <c r="DD162" i="1" a="1"/>
  <c r="DD162" i="1" s="1"/>
  <c r="CE162" i="1" s="1"/>
  <c r="BZ162" i="1" s="1"/>
  <c r="CJ162" i="1" s="1"/>
  <c r="CM200" i="1"/>
  <c r="CH182" i="1"/>
  <c r="CH173" i="1"/>
  <c r="CM191" i="1"/>
  <c r="CH209" i="1" s="1"/>
  <c r="CC265" i="1"/>
  <c r="DD62" i="1"/>
  <c r="CH297" i="1"/>
  <c r="CH306" i="1"/>
  <c r="CM70" i="1"/>
  <c r="CM61" i="1"/>
  <c r="CH79" i="1" s="1"/>
  <c r="DG14" i="1" a="1"/>
  <c r="DG14" i="1" s="1"/>
  <c r="CH14" i="1" s="1"/>
  <c r="DG23" i="1" a="1"/>
  <c r="DG23" i="1" s="1"/>
  <c r="CH23" i="1" s="1"/>
  <c r="CC23" i="1" s="1"/>
  <c r="CC99" i="1"/>
  <c r="DG162" i="1" a="1"/>
  <c r="DG162" i="1" s="1"/>
  <c r="CH162" i="1" s="1"/>
  <c r="CC162" i="1" s="1"/>
  <c r="CM162" i="1" s="1"/>
  <c r="DF146" i="1"/>
  <c r="DF108" i="1"/>
  <c r="CG58" i="1"/>
  <c r="CG67" i="1"/>
  <c r="DL98" i="1" a="1"/>
  <c r="DL98" i="1" s="1"/>
  <c r="DT265" i="1" a="1"/>
  <c r="DT265" i="1" s="1"/>
  <c r="DK99" i="1" a="1"/>
  <c r="DK99" i="1" s="1"/>
  <c r="DK96" i="1" a="1"/>
  <c r="DK96" i="1" s="1"/>
  <c r="DS264" i="1" a="1"/>
  <c r="DS264" i="1" s="1"/>
  <c r="DS267" i="1" a="1"/>
  <c r="DS267" i="1" s="1"/>
  <c r="DR268" i="1"/>
  <c r="CE109" i="1"/>
  <c r="CE118" i="1"/>
  <c r="DG370" i="1"/>
  <c r="DG372" i="1" s="1"/>
  <c r="DG296" i="1"/>
  <c r="DG298" i="1" s="1"/>
  <c r="CH192" i="1"/>
  <c r="DI96" i="1" a="1"/>
  <c r="DI96" i="1" s="1"/>
  <c r="DI99" i="1" a="1"/>
  <c r="DI99" i="1" s="1"/>
  <c r="DC369" i="1"/>
  <c r="DC295" i="1"/>
  <c r="CD191" i="1"/>
  <c r="CD200" i="1"/>
  <c r="DC371" i="1"/>
  <c r="DC297" i="1"/>
  <c r="CD193" i="1"/>
  <c r="CD202" i="1"/>
  <c r="CE303" i="1"/>
  <c r="CE294" i="1"/>
  <c r="CE306" i="1"/>
  <c r="CE297" i="1"/>
  <c r="CE120" i="1"/>
  <c r="CE111" i="1"/>
  <c r="CH304" i="1"/>
  <c r="CH295" i="1"/>
  <c r="CM67" i="1"/>
  <c r="CM58" i="1"/>
  <c r="DG11" i="1" a="1"/>
  <c r="DG11" i="1" s="1"/>
  <c r="CH11" i="1" s="1"/>
  <c r="DG20" i="1" a="1"/>
  <c r="DG20" i="1" s="1"/>
  <c r="CH20" i="1" s="1"/>
  <c r="CC20" i="1" s="1"/>
  <c r="CC96" i="1"/>
  <c r="DG159" i="1" a="1"/>
  <c r="DG159" i="1" s="1"/>
  <c r="CH159" i="1" s="1"/>
  <c r="CC159" i="1" s="1"/>
  <c r="DD148" i="1"/>
  <c r="DD150" i="1" s="1"/>
  <c r="DD110" i="1"/>
  <c r="CE60" i="1"/>
  <c r="CE62" i="1" s="1"/>
  <c r="CE71" i="1" s="1"/>
  <c r="CH303" i="1"/>
  <c r="CH294" i="1"/>
  <c r="CH111" i="1"/>
  <c r="CH120" i="1"/>
  <c r="DF149" i="1"/>
  <c r="DF111" i="1"/>
  <c r="CG61" i="1"/>
  <c r="CG70" i="1"/>
  <c r="DF147" i="1"/>
  <c r="DF109" i="1"/>
  <c r="CG59" i="1"/>
  <c r="CG68" i="1"/>
  <c r="DF371" i="1"/>
  <c r="DF297" i="1"/>
  <c r="CG193" i="1"/>
  <c r="CG202" i="1"/>
  <c r="DF369" i="1"/>
  <c r="DF295" i="1"/>
  <c r="CG191" i="1"/>
  <c r="CG200" i="1"/>
  <c r="DE149" i="1"/>
  <c r="DE111" i="1"/>
  <c r="CF61" i="1"/>
  <c r="CF70" i="1"/>
  <c r="DE147" i="1"/>
  <c r="DE109" i="1"/>
  <c r="CF59" i="1"/>
  <c r="CF68" i="1"/>
  <c r="DK98" i="1" a="1"/>
  <c r="DK98" i="1" s="1"/>
  <c r="DS265" i="1" a="1"/>
  <c r="DS265" i="1" s="1"/>
  <c r="DE368" i="1"/>
  <c r="DE294" i="1"/>
  <c r="CF190" i="1"/>
  <c r="CF199" i="1"/>
  <c r="DJ100" i="1"/>
  <c r="DI98" i="1" a="1"/>
  <c r="DI98" i="1" s="1"/>
  <c r="DQ267" i="1" a="1"/>
  <c r="DQ267" i="1" s="1"/>
  <c r="DQ264" i="1" a="1"/>
  <c r="DQ264" i="1" s="1"/>
  <c r="CJ67" i="1"/>
  <c r="CJ58" i="1"/>
  <c r="DD11" i="1" a="1"/>
  <c r="DD11" i="1" s="1"/>
  <c r="CE11" i="1" s="1"/>
  <c r="DD20" i="1" a="1"/>
  <c r="DD20" i="1" s="1"/>
  <c r="CE20" i="1" s="1"/>
  <c r="BZ20" i="1" s="1"/>
  <c r="DD159" i="1" a="1"/>
  <c r="DD159" i="1" s="1"/>
  <c r="CE159" i="1" s="1"/>
  <c r="BZ159" i="1" s="1"/>
  <c r="BZ96" i="1"/>
  <c r="DF60" i="1" a="1"/>
  <c r="DF60" i="1" s="1"/>
  <c r="CB71" i="1"/>
  <c r="DL96" i="1" a="1"/>
  <c r="DL96" i="1" s="1"/>
  <c r="DT264" i="1" a="1"/>
  <c r="DT264" i="1" s="1"/>
  <c r="DT267" i="1" a="1"/>
  <c r="DT267" i="1" s="1"/>
  <c r="DE146" i="1"/>
  <c r="DE108" i="1"/>
  <c r="CF58" i="1"/>
  <c r="CF67" i="1"/>
  <c r="DE192" i="1" a="1"/>
  <c r="DE192" i="1" s="1"/>
  <c r="DE194" i="1" s="1"/>
  <c r="CA203" i="1"/>
  <c r="DS266" i="1" a="1"/>
  <c r="DS266" i="1" s="1"/>
  <c r="CX199" i="1"/>
  <c r="CM68" i="1"/>
  <c r="CM59" i="1"/>
  <c r="CH77" i="1" s="1"/>
  <c r="DG12" i="1" a="1"/>
  <c r="DG12" i="1" s="1"/>
  <c r="CH12" i="1" s="1"/>
  <c r="DG21" i="1" a="1"/>
  <c r="DG21" i="1" s="1"/>
  <c r="CH21" i="1" s="1"/>
  <c r="CC21" i="1" s="1"/>
  <c r="CC97" i="1"/>
  <c r="DG160" i="1" a="1"/>
  <c r="DG160" i="1" s="1"/>
  <c r="CH160" i="1" s="1"/>
  <c r="CC160" i="1" s="1"/>
  <c r="CM160" i="1" s="1"/>
  <c r="CJ200" i="1"/>
  <c r="CE182" i="1"/>
  <c r="CE173" i="1"/>
  <c r="CU199" i="1" s="1"/>
  <c r="CJ191" i="1"/>
  <c r="CE209" i="1" s="1"/>
  <c r="BZ265" i="1"/>
  <c r="DC147" i="1"/>
  <c r="DC109" i="1"/>
  <c r="CD59" i="1"/>
  <c r="CD68" i="1"/>
  <c r="DC146" i="1"/>
  <c r="DC108" i="1"/>
  <c r="CD58" i="1"/>
  <c r="CD67" i="1"/>
  <c r="DC149" i="1"/>
  <c r="DC111" i="1"/>
  <c r="CD61" i="1"/>
  <c r="CD70" i="1"/>
  <c r="DC368" i="1"/>
  <c r="DC294" i="1"/>
  <c r="CD190" i="1"/>
  <c r="CD199" i="1"/>
  <c r="DQ266" i="1" a="1"/>
  <c r="DQ266" i="1" s="1"/>
  <c r="CJ199" i="1"/>
  <c r="CE181" i="1"/>
  <c r="CE172" i="1"/>
  <c r="CU198" i="1" s="1"/>
  <c r="CJ190" i="1"/>
  <c r="BZ264" i="1"/>
  <c r="CH108" i="1"/>
  <c r="CH117" i="1"/>
  <c r="DD370" i="1"/>
  <c r="DD372" i="1" s="1"/>
  <c r="DD296" i="1"/>
  <c r="CE192" i="1"/>
  <c r="DD112" i="1"/>
  <c r="CE108" i="1"/>
  <c r="CE117" i="1"/>
  <c r="CM202" i="1"/>
  <c r="CH184" i="1"/>
  <c r="CH175" i="1"/>
  <c r="CX201" i="1" s="1"/>
  <c r="CM193" i="1"/>
  <c r="CH211" i="1" s="1"/>
  <c r="CC267" i="1"/>
  <c r="CH194" i="1"/>
  <c r="CH181" i="1"/>
  <c r="CM199" i="1"/>
  <c r="CH172" i="1"/>
  <c r="CX198" i="1" s="1"/>
  <c r="CM190" i="1"/>
  <c r="CC264" i="1"/>
  <c r="DF192" i="1" a="1"/>
  <c r="DF192" i="1" s="1"/>
  <c r="DF194" i="1" s="1"/>
  <c r="CB203" i="1"/>
  <c r="DL97" i="1" a="1"/>
  <c r="DL97" i="1" s="1"/>
  <c r="DF368" i="1"/>
  <c r="DF294" i="1"/>
  <c r="CG190" i="1"/>
  <c r="CG199" i="1"/>
  <c r="DE60" i="1" a="1"/>
  <c r="DE60" i="1" s="1"/>
  <c r="DE62" i="1" s="1"/>
  <c r="CA71" i="1"/>
  <c r="DE371" i="1"/>
  <c r="DE297" i="1"/>
  <c r="CF193" i="1"/>
  <c r="CF202" i="1"/>
  <c r="DE369" i="1"/>
  <c r="DE295" i="1"/>
  <c r="CF191" i="1"/>
  <c r="CF200" i="1"/>
  <c r="CJ68" i="1"/>
  <c r="CJ59" i="1"/>
  <c r="CE77" i="1" s="1"/>
  <c r="DD12" i="1" a="1"/>
  <c r="DD12" i="1" s="1"/>
  <c r="CE12" i="1" s="1"/>
  <c r="DD21" i="1" a="1"/>
  <c r="DD21" i="1" s="1"/>
  <c r="CE21" i="1" s="1"/>
  <c r="BZ21" i="1" s="1"/>
  <c r="BZ97" i="1"/>
  <c r="DD160" i="1" a="1"/>
  <c r="DD160" i="1" s="1"/>
  <c r="CE160" i="1" s="1"/>
  <c r="BZ160" i="1" s="1"/>
  <c r="CJ160" i="1" s="1"/>
  <c r="CH201" i="1"/>
  <c r="CH109" i="1"/>
  <c r="CH118" i="1"/>
  <c r="CE304" i="1"/>
  <c r="CE295" i="1"/>
  <c r="DG148" i="1"/>
  <c r="DG150" i="1" s="1"/>
  <c r="DG110" i="1"/>
  <c r="DG112" i="1" s="1"/>
  <c r="CH60" i="1"/>
  <c r="DC60" i="1" a="1"/>
  <c r="DC60" i="1" s="1"/>
  <c r="CD69" i="1" s="1"/>
  <c r="BY71" i="1"/>
  <c r="DI97" i="1" a="1"/>
  <c r="DI97" i="1" s="1"/>
  <c r="DC192" i="1" a="1"/>
  <c r="DC192" i="1" s="1"/>
  <c r="DC194" i="1" s="1"/>
  <c r="BY203" i="1"/>
  <c r="CH203" i="1" l="1"/>
  <c r="CJ21" i="1"/>
  <c r="CF69" i="1"/>
  <c r="CJ23" i="1"/>
  <c r="CD201" i="1"/>
  <c r="CE286" i="1"/>
  <c r="DA199" i="1" s="1"/>
  <c r="CJ304" i="1"/>
  <c r="CE277" i="1"/>
  <c r="CE369" i="1"/>
  <c r="BZ369" i="1" s="1"/>
  <c r="CJ295" i="1"/>
  <c r="CE313" i="1" s="1"/>
  <c r="BZ12" i="1"/>
  <c r="CG201" i="1"/>
  <c r="CE296" i="1"/>
  <c r="CE305" i="1"/>
  <c r="CJ172" i="1"/>
  <c r="BZ246" i="1"/>
  <c r="CD108" i="1"/>
  <c r="CD117" i="1"/>
  <c r="CD109" i="1"/>
  <c r="CD118" i="1"/>
  <c r="CJ173" i="1"/>
  <c r="BZ247" i="1"/>
  <c r="CU265" i="1" s="1"/>
  <c r="CK67" i="1"/>
  <c r="CK58" i="1"/>
  <c r="DE11" i="1" a="1"/>
  <c r="DE11" i="1" s="1"/>
  <c r="CF11" i="1" s="1"/>
  <c r="DE20" i="1" a="1"/>
  <c r="DE20" i="1" s="1"/>
  <c r="CF20" i="1" s="1"/>
  <c r="CA20" i="1" s="1"/>
  <c r="CA96" i="1"/>
  <c r="DE159" i="1" a="1"/>
  <c r="DE159" i="1" s="1"/>
  <c r="CF159" i="1" s="1"/>
  <c r="CA159" i="1" s="1"/>
  <c r="DF148" i="1"/>
  <c r="DF150" i="1" s="1"/>
  <c r="DF110" i="1"/>
  <c r="CG60" i="1"/>
  <c r="CU264" i="1"/>
  <c r="CE76" i="1"/>
  <c r="CK199" i="1"/>
  <c r="CF181" i="1"/>
  <c r="CF172" i="1"/>
  <c r="CV198" i="1" s="1"/>
  <c r="CK190" i="1"/>
  <c r="CA264" i="1"/>
  <c r="CF118" i="1"/>
  <c r="CF109" i="1"/>
  <c r="CF120" i="1"/>
  <c r="CF111" i="1"/>
  <c r="CG304" i="1"/>
  <c r="CG295" i="1"/>
  <c r="CG297" i="1"/>
  <c r="CG306" i="1"/>
  <c r="CG109" i="1"/>
  <c r="CG118" i="1"/>
  <c r="CG120" i="1"/>
  <c r="CG111" i="1"/>
  <c r="CM303" i="1"/>
  <c r="CH285" i="1"/>
  <c r="DD198" i="1" s="1"/>
  <c r="CH276" i="1"/>
  <c r="CH368" i="1"/>
  <c r="CC368" i="1" s="1"/>
  <c r="CM294" i="1"/>
  <c r="CE119" i="1"/>
  <c r="CE110" i="1"/>
  <c r="CE112" i="1" s="1"/>
  <c r="CM159" i="1"/>
  <c r="CH76" i="1"/>
  <c r="CD297" i="1"/>
  <c r="CD306" i="1"/>
  <c r="CD295" i="1"/>
  <c r="CD304" i="1"/>
  <c r="CH183" i="1"/>
  <c r="CH185" i="1" s="1"/>
  <c r="CM201" i="1"/>
  <c r="CM203" i="1" s="1"/>
  <c r="CH174" i="1"/>
  <c r="CX200" i="1" s="1"/>
  <c r="CM192" i="1"/>
  <c r="CH210" i="1" s="1"/>
  <c r="CC266" i="1"/>
  <c r="CC268" i="1" s="1"/>
  <c r="CH268" i="1" s="1"/>
  <c r="CJ118" i="1"/>
  <c r="CE147" i="1"/>
  <c r="BZ147" i="1" s="1"/>
  <c r="CJ109" i="1"/>
  <c r="CE127" i="1" s="1"/>
  <c r="DK100" i="1"/>
  <c r="CC14" i="1"/>
  <c r="CM173" i="1"/>
  <c r="CC247" i="1"/>
  <c r="CX265" i="1" s="1"/>
  <c r="CM69" i="1"/>
  <c r="CM71" i="1" s="1"/>
  <c r="CM60" i="1"/>
  <c r="CH78" i="1" s="1"/>
  <c r="DG13" i="1" a="1"/>
  <c r="DG13" i="1" s="1"/>
  <c r="CH13" i="1" s="1"/>
  <c r="CC98" i="1"/>
  <c r="DG22" i="1" a="1"/>
  <c r="DG22" i="1" s="1"/>
  <c r="CH22" i="1" s="1"/>
  <c r="CC22" i="1" s="1"/>
  <c r="DG161" i="1" a="1"/>
  <c r="DG161" i="1" s="1"/>
  <c r="CH161" i="1" s="1"/>
  <c r="CC161" i="1" s="1"/>
  <c r="CM161" i="1" s="1"/>
  <c r="CL199" i="1"/>
  <c r="CG181" i="1"/>
  <c r="CG172" i="1"/>
  <c r="CL190" i="1"/>
  <c r="CB264" i="1"/>
  <c r="CC255" i="1"/>
  <c r="CS198" i="1"/>
  <c r="CM181" i="1"/>
  <c r="CM175" i="1"/>
  <c r="CC249" i="1"/>
  <c r="CX267" i="1" s="1"/>
  <c r="CJ117" i="1"/>
  <c r="CE146" i="1"/>
  <c r="BZ146" i="1" s="1"/>
  <c r="CJ108" i="1"/>
  <c r="BZ255" i="1"/>
  <c r="CJ181" i="1"/>
  <c r="CP198" i="1"/>
  <c r="CD181" i="1"/>
  <c r="CI199" i="1"/>
  <c r="CD172" i="1"/>
  <c r="CT198" i="1" s="1"/>
  <c r="CI190" i="1"/>
  <c r="BY264" i="1"/>
  <c r="BZ256" i="1"/>
  <c r="CJ182" i="1"/>
  <c r="CP199" i="1"/>
  <c r="CM21" i="1"/>
  <c r="CF201" i="1"/>
  <c r="DT268" i="1"/>
  <c r="CG69" i="1"/>
  <c r="CJ159" i="1"/>
  <c r="CC100" i="1"/>
  <c r="CM304" i="1"/>
  <c r="CH286" i="1"/>
  <c r="DD199" i="1" s="1"/>
  <c r="CH277" i="1"/>
  <c r="CH369" i="1"/>
  <c r="CC369" i="1" s="1"/>
  <c r="CM295" i="1"/>
  <c r="CH313" i="1" s="1"/>
  <c r="CE279" i="1"/>
  <c r="DF201" i="1" s="1"/>
  <c r="CJ306" i="1"/>
  <c r="CE288" i="1"/>
  <c r="DA201" i="1" s="1"/>
  <c r="CE371" i="1"/>
  <c r="BZ371" i="1" s="1"/>
  <c r="CJ297" i="1"/>
  <c r="CE315" i="1" s="1"/>
  <c r="DD298" i="1"/>
  <c r="CH305" i="1"/>
  <c r="CH296" i="1"/>
  <c r="CL67" i="1"/>
  <c r="CG62" i="1"/>
  <c r="CL58" i="1"/>
  <c r="DF11" i="1" a="1"/>
  <c r="DF11" i="1" s="1"/>
  <c r="CG11" i="1" s="1"/>
  <c r="DF20" i="1" a="1"/>
  <c r="DF20" i="1" s="1"/>
  <c r="CG20" i="1" s="1"/>
  <c r="CB20" i="1" s="1"/>
  <c r="CB96" i="1"/>
  <c r="DF159" i="1" a="1"/>
  <c r="DF159" i="1" s="1"/>
  <c r="CG159" i="1" s="1"/>
  <c r="CB159" i="1" s="1"/>
  <c r="CC256" i="1"/>
  <c r="CM182" i="1"/>
  <c r="CS199" i="1"/>
  <c r="CJ175" i="1"/>
  <c r="BZ249" i="1"/>
  <c r="CU267" i="1" s="1"/>
  <c r="CH119" i="1"/>
  <c r="CH110" i="1"/>
  <c r="CK200" i="1"/>
  <c r="CF182" i="1"/>
  <c r="CF173" i="1"/>
  <c r="CV199" i="1" s="1"/>
  <c r="CK191" i="1"/>
  <c r="CF209" i="1" s="1"/>
  <c r="CA265" i="1"/>
  <c r="CK202" i="1"/>
  <c r="CF184" i="1"/>
  <c r="CF175" i="1"/>
  <c r="CV201" i="1" s="1"/>
  <c r="CK193" i="1"/>
  <c r="CF211" i="1" s="1"/>
  <c r="CA267" i="1"/>
  <c r="DE148" i="1"/>
  <c r="DE150" i="1" s="1"/>
  <c r="DE110" i="1"/>
  <c r="DE112" i="1" s="1"/>
  <c r="CF60" i="1"/>
  <c r="CF62" i="1" s="1"/>
  <c r="CF71" i="1" s="1"/>
  <c r="CM194" i="1"/>
  <c r="CH212" i="1" s="1"/>
  <c r="CH208" i="1"/>
  <c r="CC258" i="1"/>
  <c r="CS201" i="1"/>
  <c r="CM184" i="1"/>
  <c r="CE208" i="1"/>
  <c r="CI70" i="1"/>
  <c r="CI61" i="1"/>
  <c r="CD79" i="1" s="1"/>
  <c r="DC14" i="1" a="1"/>
  <c r="DC14" i="1" s="1"/>
  <c r="CD14" i="1" s="1"/>
  <c r="DC23" i="1" a="1"/>
  <c r="DC23" i="1" s="1"/>
  <c r="CD23" i="1" s="1"/>
  <c r="BY23" i="1" s="1"/>
  <c r="BY99" i="1"/>
  <c r="DC162" i="1" a="1"/>
  <c r="DC162" i="1" s="1"/>
  <c r="CD162" i="1" s="1"/>
  <c r="BY162" i="1" s="1"/>
  <c r="CI162" i="1" s="1"/>
  <c r="CI67" i="1"/>
  <c r="CI58" i="1"/>
  <c r="DC11" i="1" a="1"/>
  <c r="DC11" i="1" s="1"/>
  <c r="CD11" i="1" s="1"/>
  <c r="DC20" i="1" a="1"/>
  <c r="DC20" i="1" s="1"/>
  <c r="CD20" i="1" s="1"/>
  <c r="BY20" i="1" s="1"/>
  <c r="BY96" i="1"/>
  <c r="DC159" i="1" a="1"/>
  <c r="DC159" i="1" s="1"/>
  <c r="CD159" i="1" s="1"/>
  <c r="BY159" i="1" s="1"/>
  <c r="CC12" i="1"/>
  <c r="DE370" i="1"/>
  <c r="DE296" i="1"/>
  <c r="DE298" i="1" s="1"/>
  <c r="CF192" i="1"/>
  <c r="CF117" i="1"/>
  <c r="CF108" i="1"/>
  <c r="DL100" i="1"/>
  <c r="CJ20" i="1"/>
  <c r="CF294" i="1"/>
  <c r="CF303" i="1"/>
  <c r="CM20" i="1"/>
  <c r="CH62" i="1"/>
  <c r="CH71" i="1" s="1"/>
  <c r="DF62" i="1"/>
  <c r="CM306" i="1"/>
  <c r="CH288" i="1"/>
  <c r="CH279" i="1"/>
  <c r="DI201" i="1" s="1"/>
  <c r="CH371" i="1"/>
  <c r="CC371" i="1" s="1"/>
  <c r="CM297" i="1"/>
  <c r="CH315" i="1" s="1"/>
  <c r="BZ14" i="1"/>
  <c r="BZ258" i="1"/>
  <c r="CJ184" i="1"/>
  <c r="CP201" i="1"/>
  <c r="DC370" i="1"/>
  <c r="DC372" i="1" s="1"/>
  <c r="DC296" i="1"/>
  <c r="DC298" i="1" s="1"/>
  <c r="CD192" i="1"/>
  <c r="DC148" i="1"/>
  <c r="DC150" i="1" s="1"/>
  <c r="DC110" i="1"/>
  <c r="DC112" i="1" s="1"/>
  <c r="CD60" i="1"/>
  <c r="CD62" i="1" s="1"/>
  <c r="CD71" i="1" s="1"/>
  <c r="CM118" i="1"/>
  <c r="CH147" i="1"/>
  <c r="CC147" i="1" s="1"/>
  <c r="CM109" i="1"/>
  <c r="CH127" i="1" s="1"/>
  <c r="CF295" i="1"/>
  <c r="CF304" i="1"/>
  <c r="CF306" i="1"/>
  <c r="CF297" i="1"/>
  <c r="CG303" i="1"/>
  <c r="CG294" i="1"/>
  <c r="DF370" i="1"/>
  <c r="DF372" i="1" s="1"/>
  <c r="DF296" i="1"/>
  <c r="CG192" i="1"/>
  <c r="CM172" i="1"/>
  <c r="CC246" i="1"/>
  <c r="CX264" i="1" s="1"/>
  <c r="CJ201" i="1"/>
  <c r="CJ203" i="1" s="1"/>
  <c r="CE174" i="1"/>
  <c r="CE176" i="1" s="1"/>
  <c r="CE183" i="1"/>
  <c r="CE185" i="1" s="1"/>
  <c r="CJ192" i="1"/>
  <c r="CE210" i="1" s="1"/>
  <c r="BZ266" i="1"/>
  <c r="BZ268" i="1" s="1"/>
  <c r="CH112" i="1"/>
  <c r="CM117" i="1"/>
  <c r="CH146" i="1"/>
  <c r="CC146" i="1" s="1"/>
  <c r="CM108" i="1"/>
  <c r="CE194" i="1"/>
  <c r="CE203" i="1" s="1"/>
  <c r="CD294" i="1"/>
  <c r="CD303" i="1"/>
  <c r="CD111" i="1"/>
  <c r="CD120" i="1"/>
  <c r="DC62" i="1"/>
  <c r="CI68" i="1"/>
  <c r="CI59" i="1"/>
  <c r="CD77" i="1" s="1"/>
  <c r="DC12" i="1" a="1"/>
  <c r="DC12" i="1" s="1"/>
  <c r="CD12" i="1" s="1"/>
  <c r="BY97" i="1"/>
  <c r="DC21" i="1" a="1"/>
  <c r="DC21" i="1" s="1"/>
  <c r="CD21" i="1" s="1"/>
  <c r="BY21" i="1" s="1"/>
  <c r="DC160" i="1" a="1"/>
  <c r="DC160" i="1" s="1"/>
  <c r="CD160" i="1" s="1"/>
  <c r="BY160" i="1" s="1"/>
  <c r="CI160" i="1" s="1"/>
  <c r="BZ11" i="1"/>
  <c r="DQ268" i="1"/>
  <c r="DE372" i="1"/>
  <c r="CK68" i="1"/>
  <c r="CK59" i="1"/>
  <c r="CF77" i="1" s="1"/>
  <c r="DE12" i="1" a="1"/>
  <c r="DE12" i="1" s="1"/>
  <c r="CF12" i="1" s="1"/>
  <c r="CA97" i="1"/>
  <c r="DE21" i="1" a="1"/>
  <c r="DE21" i="1" s="1"/>
  <c r="CF21" i="1" s="1"/>
  <c r="CA21" i="1" s="1"/>
  <c r="DE160" i="1" a="1"/>
  <c r="DE160" i="1" s="1"/>
  <c r="CF160" i="1" s="1"/>
  <c r="CA160" i="1" s="1"/>
  <c r="CK160" i="1" s="1"/>
  <c r="CK70" i="1"/>
  <c r="CK61" i="1"/>
  <c r="CF79" i="1" s="1"/>
  <c r="DE14" i="1" a="1"/>
  <c r="DE14" i="1" s="1"/>
  <c r="CF14" i="1" s="1"/>
  <c r="DE23" i="1" a="1"/>
  <c r="DE23" i="1" s="1"/>
  <c r="CF23" i="1" s="1"/>
  <c r="CA23" i="1" s="1"/>
  <c r="CA99" i="1"/>
  <c r="DE162" i="1" a="1"/>
  <c r="DE162" i="1" s="1"/>
  <c r="CF162" i="1" s="1"/>
  <c r="CA162" i="1" s="1"/>
  <c r="CK162" i="1" s="1"/>
  <c r="CG182" i="1"/>
  <c r="CG173" i="1"/>
  <c r="CL200" i="1"/>
  <c r="CL191" i="1"/>
  <c r="CG209" i="1" s="1"/>
  <c r="CB265" i="1"/>
  <c r="CG175" i="1"/>
  <c r="CL202" i="1"/>
  <c r="CG184" i="1"/>
  <c r="CL193" i="1"/>
  <c r="CG211" i="1" s="1"/>
  <c r="CB267" i="1"/>
  <c r="CL68" i="1"/>
  <c r="CL59" i="1"/>
  <c r="CG77" i="1" s="1"/>
  <c r="DF12" i="1" a="1"/>
  <c r="DF12" i="1" s="1"/>
  <c r="CG12" i="1" s="1"/>
  <c r="CB97" i="1"/>
  <c r="DF21" i="1" a="1"/>
  <c r="DF21" i="1" s="1"/>
  <c r="CG21" i="1" s="1"/>
  <c r="CB21" i="1" s="1"/>
  <c r="DF160" i="1" a="1"/>
  <c r="DF160" i="1" s="1"/>
  <c r="CG160" i="1" s="1"/>
  <c r="CB160" i="1" s="1"/>
  <c r="CL160" i="1" s="1"/>
  <c r="CL70" i="1"/>
  <c r="CL61" i="1"/>
  <c r="CG79" i="1" s="1"/>
  <c r="DF14" i="1" a="1"/>
  <c r="DF14" i="1" s="1"/>
  <c r="CG14" i="1" s="1"/>
  <c r="DF23" i="1" a="1"/>
  <c r="DF23" i="1" s="1"/>
  <c r="CG23" i="1" s="1"/>
  <c r="CB23" i="1" s="1"/>
  <c r="CB99" i="1"/>
  <c r="DF162" i="1" a="1"/>
  <c r="DF162" i="1" s="1"/>
  <c r="CG162" i="1" s="1"/>
  <c r="CB162" i="1" s="1"/>
  <c r="CL162" i="1" s="1"/>
  <c r="CM120" i="1"/>
  <c r="CH149" i="1"/>
  <c r="CC149" i="1" s="1"/>
  <c r="CM111" i="1"/>
  <c r="CH129" i="1" s="1"/>
  <c r="CU200" i="1"/>
  <c r="CJ69" i="1"/>
  <c r="CJ71" i="1" s="1"/>
  <c r="CJ60" i="1"/>
  <c r="CE78" i="1" s="1"/>
  <c r="DD13" i="1" a="1"/>
  <c r="DD13" i="1" s="1"/>
  <c r="CE13" i="1" s="1"/>
  <c r="BZ98" i="1"/>
  <c r="BZ100" i="1" s="1"/>
  <c r="CE100" i="1" s="1"/>
  <c r="DD22" i="1" a="1"/>
  <c r="DD22" i="1" s="1"/>
  <c r="CE22" i="1" s="1"/>
  <c r="BZ22" i="1" s="1"/>
  <c r="DD161" i="1" a="1"/>
  <c r="DD161" i="1" s="1"/>
  <c r="CE161" i="1" s="1"/>
  <c r="BZ161" i="1" s="1"/>
  <c r="CJ161" i="1" s="1"/>
  <c r="CC11" i="1"/>
  <c r="DI198" i="1"/>
  <c r="CJ120" i="1"/>
  <c r="CE149" i="1"/>
  <c r="BZ149" i="1" s="1"/>
  <c r="CJ111" i="1"/>
  <c r="CE129" i="1" s="1"/>
  <c r="CE298" i="1"/>
  <c r="CJ303" i="1"/>
  <c r="CE285" i="1"/>
  <c r="CE276" i="1"/>
  <c r="CE368" i="1"/>
  <c r="BZ368" i="1" s="1"/>
  <c r="CJ294" i="1"/>
  <c r="CI202" i="1"/>
  <c r="CD184" i="1"/>
  <c r="CD175" i="1"/>
  <c r="CI193" i="1"/>
  <c r="CD211" i="1" s="1"/>
  <c r="BY267" i="1"/>
  <c r="CI200" i="1"/>
  <c r="CD182" i="1"/>
  <c r="CD173" i="1"/>
  <c r="CT199" i="1" s="1"/>
  <c r="CI191" i="1"/>
  <c r="CD209" i="1" s="1"/>
  <c r="BY265" i="1"/>
  <c r="DI100" i="1"/>
  <c r="DS268" i="1"/>
  <c r="DF112" i="1"/>
  <c r="CG117" i="1"/>
  <c r="CG108" i="1"/>
  <c r="CM23" i="1"/>
  <c r="CM22" i="1" l="1"/>
  <c r="CE307" i="1"/>
  <c r="CH121" i="1"/>
  <c r="CH176" i="1"/>
  <c r="CC24" i="1"/>
  <c r="CI21" i="1"/>
  <c r="CE268" i="1"/>
  <c r="CI23" i="1"/>
  <c r="CM62" i="1"/>
  <c r="CH80" i="1" s="1"/>
  <c r="CL23" i="1"/>
  <c r="CG71" i="1"/>
  <c r="CE121" i="1"/>
  <c r="CJ22" i="1"/>
  <c r="CL21" i="1"/>
  <c r="CE359" i="1"/>
  <c r="BZ359" i="1" s="1"/>
  <c r="DA264" i="1" s="1"/>
  <c r="CJ285" i="1"/>
  <c r="BZ13" i="1"/>
  <c r="CL175" i="1"/>
  <c r="CB249" i="1"/>
  <c r="CW267" i="1" s="1"/>
  <c r="CL173" i="1"/>
  <c r="CB247" i="1"/>
  <c r="CK23" i="1"/>
  <c r="BY12" i="1"/>
  <c r="CH126" i="1"/>
  <c r="CL201" i="1"/>
  <c r="CL203" i="1" s="1"/>
  <c r="CG183" i="1"/>
  <c r="CG185" i="1" s="1"/>
  <c r="CG174" i="1"/>
  <c r="CW200" i="1" s="1"/>
  <c r="CL192" i="1"/>
  <c r="CG210" i="1" s="1"/>
  <c r="CB266" i="1"/>
  <c r="CD183" i="1"/>
  <c r="CI201" i="1"/>
  <c r="CD174" i="1"/>
  <c r="CT200" i="1" s="1"/>
  <c r="CI192" i="1"/>
  <c r="CD210" i="1" s="1"/>
  <c r="BY266" i="1"/>
  <c r="CH362" i="1"/>
  <c r="CC362" i="1" s="1"/>
  <c r="CM288" i="1"/>
  <c r="BZ24" i="1"/>
  <c r="CM12" i="1"/>
  <c r="CI20" i="1"/>
  <c r="DD201" i="1"/>
  <c r="CA256" i="1"/>
  <c r="CK182" i="1"/>
  <c r="CQ199" i="1"/>
  <c r="CM119" i="1"/>
  <c r="CH148" i="1"/>
  <c r="CC148" i="1" s="1"/>
  <c r="CC150" i="1" s="1"/>
  <c r="CH150" i="1" s="1"/>
  <c r="CM110" i="1"/>
  <c r="CH128" i="1" s="1"/>
  <c r="CM305" i="1"/>
  <c r="CH278" i="1"/>
  <c r="DI200" i="1" s="1"/>
  <c r="CH287" i="1"/>
  <c r="CH289" i="1" s="1"/>
  <c r="CH370" i="1"/>
  <c r="CC370" i="1" s="1"/>
  <c r="CC372" i="1" s="1"/>
  <c r="CM296" i="1"/>
  <c r="CH314" i="1" s="1"/>
  <c r="BZ163" i="1"/>
  <c r="CP265" i="1"/>
  <c r="CD208" i="1"/>
  <c r="CD194" i="1"/>
  <c r="CD203" i="1" s="1"/>
  <c r="CP264" i="1"/>
  <c r="CS264" i="1"/>
  <c r="CG208" i="1"/>
  <c r="CG194" i="1"/>
  <c r="CG203" i="1" s="1"/>
  <c r="CC13" i="1"/>
  <c r="CM14" i="1"/>
  <c r="CC163" i="1"/>
  <c r="CH298" i="1"/>
  <c r="CH307" i="1" s="1"/>
  <c r="CL118" i="1"/>
  <c r="CG147" i="1"/>
  <c r="CB147" i="1" s="1"/>
  <c r="CL109" i="1"/>
  <c r="CG127" i="1" s="1"/>
  <c r="CA255" i="1"/>
  <c r="CQ198" i="1"/>
  <c r="CK181" i="1"/>
  <c r="CJ62" i="1"/>
  <c r="CE80" i="1" s="1"/>
  <c r="CL69" i="1"/>
  <c r="CL71" i="1" s="1"/>
  <c r="CL60" i="1"/>
  <c r="CG78" i="1" s="1"/>
  <c r="DF13" i="1" a="1"/>
  <c r="DF13" i="1" s="1"/>
  <c r="CG13" i="1" s="1"/>
  <c r="DF22" i="1" a="1"/>
  <c r="DF22" i="1" s="1"/>
  <c r="CG22" i="1" s="1"/>
  <c r="CB22" i="1" s="1"/>
  <c r="CB24" i="1" s="1"/>
  <c r="CB98" i="1"/>
  <c r="DF161" i="1" a="1"/>
  <c r="DF161" i="1" s="1"/>
  <c r="CG161" i="1" s="1"/>
  <c r="CB161" i="1" s="1"/>
  <c r="CL161" i="1" s="1"/>
  <c r="CI173" i="1"/>
  <c r="BY247" i="1"/>
  <c r="CT265" i="1" s="1"/>
  <c r="CE312" i="1"/>
  <c r="CB256" i="1"/>
  <c r="CR199" i="1"/>
  <c r="CL182" i="1"/>
  <c r="CA14" i="1"/>
  <c r="CA12" i="1"/>
  <c r="BZ15" i="1"/>
  <c r="CJ11" i="1"/>
  <c r="CI303" i="1"/>
  <c r="CD276" i="1"/>
  <c r="CD285" i="1"/>
  <c r="CZ198" i="1" s="1"/>
  <c r="CD368" i="1"/>
  <c r="BY368" i="1" s="1"/>
  <c r="CI294" i="1"/>
  <c r="CG305" i="1"/>
  <c r="CG296" i="1"/>
  <c r="DF298" i="1"/>
  <c r="CK304" i="1"/>
  <c r="CF277" i="1"/>
  <c r="CF286" i="1"/>
  <c r="DB199" i="1" s="1"/>
  <c r="CF369" i="1"/>
  <c r="CA369" i="1" s="1"/>
  <c r="CK295" i="1"/>
  <c r="CF313" i="1" s="1"/>
  <c r="CI69" i="1"/>
  <c r="CI71" i="1" s="1"/>
  <c r="CI60" i="1"/>
  <c r="CD78" i="1" s="1"/>
  <c r="DC13" i="1" a="1"/>
  <c r="DC13" i="1" s="1"/>
  <c r="CD13" i="1" s="1"/>
  <c r="DC22" i="1" a="1"/>
  <c r="DC22" i="1" s="1"/>
  <c r="CD22" i="1" s="1"/>
  <c r="BY22" i="1" s="1"/>
  <c r="BY98" i="1"/>
  <c r="BY100" i="1" s="1"/>
  <c r="CD100" i="1" s="1"/>
  <c r="DC161" i="1" a="1"/>
  <c r="DC161" i="1" s="1"/>
  <c r="CD161" i="1" s="1"/>
  <c r="BY161" i="1" s="1"/>
  <c r="CI161" i="1" s="1"/>
  <c r="CD296" i="1"/>
  <c r="CD305" i="1"/>
  <c r="CK303" i="1"/>
  <c r="CF285" i="1"/>
  <c r="CF276" i="1"/>
  <c r="DG198" i="1" s="1"/>
  <c r="CF368" i="1"/>
  <c r="CA368" i="1" s="1"/>
  <c r="CK294" i="1"/>
  <c r="CK201" i="1"/>
  <c r="CK203" i="1" s="1"/>
  <c r="CF183" i="1"/>
  <c r="CF174" i="1"/>
  <c r="CK192" i="1"/>
  <c r="CF210" i="1" s="1"/>
  <c r="CA266" i="1"/>
  <c r="CA268" i="1" s="1"/>
  <c r="BY11" i="1"/>
  <c r="CJ194" i="1"/>
  <c r="CE212" i="1" s="1"/>
  <c r="CK69" i="1"/>
  <c r="CK71" i="1" s="1"/>
  <c r="CK60" i="1"/>
  <c r="CF78" i="1" s="1"/>
  <c r="DE13" i="1" a="1"/>
  <c r="DE13" i="1" s="1"/>
  <c r="CF13" i="1" s="1"/>
  <c r="DE22" i="1" a="1"/>
  <c r="DE22" i="1" s="1"/>
  <c r="CF22" i="1" s="1"/>
  <c r="CA22" i="1" s="1"/>
  <c r="CA24" i="1" s="1"/>
  <c r="CA98" i="1"/>
  <c r="DE161" i="1" a="1"/>
  <c r="DE161" i="1" s="1"/>
  <c r="CF161" i="1" s="1"/>
  <c r="CA161" i="1" s="1"/>
  <c r="CK161" i="1" s="1"/>
  <c r="CL20" i="1"/>
  <c r="CE362" i="1"/>
  <c r="BZ362" i="1" s="1"/>
  <c r="DA267" i="1" s="1"/>
  <c r="CJ288" i="1"/>
  <c r="CD176" i="1"/>
  <c r="CI172" i="1"/>
  <c r="BY246" i="1"/>
  <c r="CT264" i="1" s="1"/>
  <c r="CG176" i="1"/>
  <c r="CL172" i="1"/>
  <c r="CB246" i="1"/>
  <c r="CM174" i="1"/>
  <c r="CM176" i="1" s="1"/>
  <c r="CC248" i="1"/>
  <c r="CC250" i="1" s="1"/>
  <c r="CH250" i="1" s="1"/>
  <c r="CI304" i="1"/>
  <c r="CD286" i="1"/>
  <c r="CZ199" i="1" s="1"/>
  <c r="CD277" i="1"/>
  <c r="DE199" i="1" s="1"/>
  <c r="CD369" i="1"/>
  <c r="BY369" i="1" s="1"/>
  <c r="CI295" i="1"/>
  <c r="CD313" i="1" s="1"/>
  <c r="CJ119" i="1"/>
  <c r="CJ121" i="1" s="1"/>
  <c r="CE148" i="1"/>
  <c r="BZ148" i="1" s="1"/>
  <c r="BZ150" i="1" s="1"/>
  <c r="CE150" i="1" s="1"/>
  <c r="CJ110" i="1"/>
  <c r="CE128" i="1" s="1"/>
  <c r="CH350" i="1"/>
  <c r="CC350" i="1" s="1"/>
  <c r="DI264" i="1" s="1"/>
  <c r="CM276" i="1"/>
  <c r="CL120" i="1"/>
  <c r="CG149" i="1"/>
  <c r="CB149" i="1" s="1"/>
  <c r="CL111" i="1"/>
  <c r="CG129" i="1" s="1"/>
  <c r="CK120" i="1"/>
  <c r="CF149" i="1"/>
  <c r="CA149" i="1" s="1"/>
  <c r="CK111" i="1"/>
  <c r="CF129" i="1" s="1"/>
  <c r="CF194" i="1"/>
  <c r="CF203" i="1" s="1"/>
  <c r="CG119" i="1"/>
  <c r="CG110" i="1"/>
  <c r="CG112" i="1" s="1"/>
  <c r="CK20" i="1"/>
  <c r="CI118" i="1"/>
  <c r="CD147" i="1"/>
  <c r="BY147" i="1" s="1"/>
  <c r="CI109" i="1"/>
  <c r="CD127" i="1" s="1"/>
  <c r="CJ12" i="1"/>
  <c r="CE351" i="1"/>
  <c r="BZ351" i="1" s="1"/>
  <c r="DF265" i="1" s="1"/>
  <c r="CJ277" i="1"/>
  <c r="DF199" i="1"/>
  <c r="CL117" i="1"/>
  <c r="CG146" i="1"/>
  <c r="CB146" i="1" s="1"/>
  <c r="CL108" i="1"/>
  <c r="BY256" i="1"/>
  <c r="CI182" i="1"/>
  <c r="CO199" i="1"/>
  <c r="CI175" i="1"/>
  <c r="BY249" i="1"/>
  <c r="CT267" i="1" s="1"/>
  <c r="CW265" i="1"/>
  <c r="CB258" i="1"/>
  <c r="CR201" i="1"/>
  <c r="CL184" i="1"/>
  <c r="CM121" i="1"/>
  <c r="BZ257" i="1"/>
  <c r="CJ183" i="1"/>
  <c r="CJ185" i="1" s="1"/>
  <c r="CP200" i="1"/>
  <c r="CK306" i="1"/>
  <c r="CF288" i="1"/>
  <c r="DB201" i="1" s="1"/>
  <c r="CF279" i="1"/>
  <c r="CF371" i="1"/>
  <c r="CA371" i="1" s="1"/>
  <c r="CK297" i="1"/>
  <c r="CF315" i="1" s="1"/>
  <c r="CD119" i="1"/>
  <c r="CD110" i="1"/>
  <c r="CD112" i="1" s="1"/>
  <c r="CP267" i="1"/>
  <c r="CH24" i="1"/>
  <c r="CK117" i="1"/>
  <c r="CF146" i="1"/>
  <c r="CA146" i="1" s="1"/>
  <c r="CK108" i="1"/>
  <c r="CF305" i="1"/>
  <c r="CF296" i="1"/>
  <c r="BY163" i="1"/>
  <c r="CI159" i="1"/>
  <c r="CI62" i="1"/>
  <c r="CD80" i="1" s="1"/>
  <c r="CD76" i="1"/>
  <c r="BY14" i="1"/>
  <c r="CT201" i="1"/>
  <c r="CS267" i="1"/>
  <c r="DD267" i="1"/>
  <c r="CF119" i="1"/>
  <c r="CF110" i="1"/>
  <c r="CF112" i="1" s="1"/>
  <c r="CK175" i="1"/>
  <c r="CA249" i="1"/>
  <c r="CV267" i="1" s="1"/>
  <c r="CS265" i="1"/>
  <c r="CB11" i="1"/>
  <c r="CH351" i="1"/>
  <c r="CC351" i="1" s="1"/>
  <c r="DI265" i="1" s="1"/>
  <c r="CM277" i="1"/>
  <c r="CH100" i="1"/>
  <c r="CI203" i="1"/>
  <c r="DA198" i="1"/>
  <c r="CB255" i="1"/>
  <c r="CL181" i="1"/>
  <c r="CR198" i="1"/>
  <c r="CH359" i="1"/>
  <c r="CC359" i="1" s="1"/>
  <c r="DD264" i="1" s="1"/>
  <c r="CM285" i="1"/>
  <c r="CL306" i="1"/>
  <c r="CG279" i="1"/>
  <c r="CG288" i="1"/>
  <c r="DC201" i="1" s="1"/>
  <c r="CG371" i="1"/>
  <c r="CB371" i="1" s="1"/>
  <c r="CL297" i="1"/>
  <c r="CG315" i="1" s="1"/>
  <c r="CF208" i="1"/>
  <c r="CA11" i="1"/>
  <c r="DI199" i="1"/>
  <c r="BY258" i="1"/>
  <c r="CO201" i="1"/>
  <c r="CI184" i="1"/>
  <c r="CE350" i="1"/>
  <c r="BZ350" i="1" s="1"/>
  <c r="DF264" i="1" s="1"/>
  <c r="CJ276" i="1"/>
  <c r="CM11" i="1"/>
  <c r="CC15" i="1"/>
  <c r="CB14" i="1"/>
  <c r="CW201" i="1"/>
  <c r="CB12" i="1"/>
  <c r="CW199" i="1"/>
  <c r="CK21" i="1"/>
  <c r="CI120" i="1"/>
  <c r="CD149" i="1"/>
  <c r="BY149" i="1" s="1"/>
  <c r="CI111" i="1"/>
  <c r="CD129" i="1" s="1"/>
  <c r="CJ174" i="1"/>
  <c r="CJ176" i="1" s="1"/>
  <c r="BZ248" i="1"/>
  <c r="CU266" i="1" s="1"/>
  <c r="CG298" i="1"/>
  <c r="CL303" i="1"/>
  <c r="CG285" i="1"/>
  <c r="DC198" i="1" s="1"/>
  <c r="CG276" i="1"/>
  <c r="DH198" i="1" s="1"/>
  <c r="CG368" i="1"/>
  <c r="CB368" i="1" s="1"/>
  <c r="CL294" i="1"/>
  <c r="CJ14" i="1"/>
  <c r="CH353" i="1"/>
  <c r="CC353" i="1" s="1"/>
  <c r="DI267" i="1" s="1"/>
  <c r="CM279" i="1"/>
  <c r="CA258" i="1"/>
  <c r="CQ201" i="1"/>
  <c r="CK184" i="1"/>
  <c r="CK173" i="1"/>
  <c r="CA247" i="1"/>
  <c r="CV265" i="1" s="1"/>
  <c r="CB163" i="1"/>
  <c r="CL159" i="1"/>
  <c r="CL62" i="1"/>
  <c r="CG80" i="1" s="1"/>
  <c r="CG76" i="1"/>
  <c r="CW198" i="1"/>
  <c r="CE353" i="1"/>
  <c r="BZ353" i="1" s="1"/>
  <c r="DF267" i="1" s="1"/>
  <c r="CJ279" i="1"/>
  <c r="CH360" i="1"/>
  <c r="CC360" i="1" s="1"/>
  <c r="DD265" i="1" s="1"/>
  <c r="CM286" i="1"/>
  <c r="BY268" i="1"/>
  <c r="CD268" i="1" s="1"/>
  <c r="CD185" i="1"/>
  <c r="BY255" i="1"/>
  <c r="CI181" i="1"/>
  <c r="CO198" i="1"/>
  <c r="CE126" i="1"/>
  <c r="CB268" i="1"/>
  <c r="CG268" i="1" s="1"/>
  <c r="CC257" i="1"/>
  <c r="CS200" i="1"/>
  <c r="CM183" i="1"/>
  <c r="CM185" i="1" s="1"/>
  <c r="CI306" i="1"/>
  <c r="CD288" i="1"/>
  <c r="CZ201" i="1" s="1"/>
  <c r="CD279" i="1"/>
  <c r="DE201" i="1" s="1"/>
  <c r="CD371" i="1"/>
  <c r="BY371" i="1" s="1"/>
  <c r="CI297" i="1"/>
  <c r="CD315" i="1" s="1"/>
  <c r="CM298" i="1"/>
  <c r="CH316" i="1" s="1"/>
  <c r="CH312" i="1"/>
  <c r="CM307" i="1"/>
  <c r="CL304" i="1"/>
  <c r="CG286" i="1"/>
  <c r="CG277" i="1"/>
  <c r="CG369" i="1"/>
  <c r="CB369" i="1" s="1"/>
  <c r="CL295" i="1"/>
  <c r="CG313" i="1" s="1"/>
  <c r="CK118" i="1"/>
  <c r="CF147" i="1"/>
  <c r="CA147" i="1" s="1"/>
  <c r="CK109" i="1"/>
  <c r="CF127" i="1" s="1"/>
  <c r="CF176" i="1"/>
  <c r="CK172" i="1"/>
  <c r="CA246" i="1"/>
  <c r="CV264" i="1" s="1"/>
  <c r="CK159" i="1"/>
  <c r="CA163" i="1"/>
  <c r="CK62" i="1"/>
  <c r="CF80" i="1" s="1"/>
  <c r="CF76" i="1"/>
  <c r="CI117" i="1"/>
  <c r="CD146" i="1"/>
  <c r="BY146" i="1" s="1"/>
  <c r="CI108" i="1"/>
  <c r="CJ305" i="1"/>
  <c r="CJ307" i="1" s="1"/>
  <c r="CE287" i="1"/>
  <c r="DA200" i="1" s="1"/>
  <c r="CE278" i="1"/>
  <c r="CE370" i="1"/>
  <c r="BZ370" i="1" s="1"/>
  <c r="BZ372" i="1" s="1"/>
  <c r="CE372" i="1" s="1"/>
  <c r="CJ296" i="1"/>
  <c r="CE314" i="1" s="1"/>
  <c r="CE360" i="1"/>
  <c r="BZ360" i="1" s="1"/>
  <c r="DA265" i="1" s="1"/>
  <c r="CJ286" i="1"/>
  <c r="DF198" i="1"/>
  <c r="CM24" i="1" l="1"/>
  <c r="DD200" i="1"/>
  <c r="CG307" i="1"/>
  <c r="CK194" i="1"/>
  <c r="CF212" i="1" s="1"/>
  <c r="BZ250" i="1"/>
  <c r="CE250" i="1" s="1"/>
  <c r="CX266" i="1"/>
  <c r="CJ112" i="1"/>
  <c r="CE130" i="1" s="1"/>
  <c r="CG121" i="1"/>
  <c r="CH280" i="1"/>
  <c r="CF121" i="1"/>
  <c r="CL194" i="1"/>
  <c r="CG212" i="1" s="1"/>
  <c r="CH372" i="1"/>
  <c r="CD121" i="1"/>
  <c r="CK22" i="1"/>
  <c r="CI22" i="1"/>
  <c r="CL22" i="1"/>
  <c r="CG360" i="1"/>
  <c r="CB360" i="1" s="1"/>
  <c r="DC265" i="1" s="1"/>
  <c r="CL286" i="1"/>
  <c r="CD362" i="1"/>
  <c r="BY362" i="1" s="1"/>
  <c r="CI288" i="1"/>
  <c r="CG359" i="1"/>
  <c r="CB359" i="1" s="1"/>
  <c r="CL285" i="1"/>
  <c r="CG353" i="1"/>
  <c r="CB353" i="1" s="1"/>
  <c r="DH267" i="1" s="1"/>
  <c r="CL279" i="1"/>
  <c r="DH201" i="1"/>
  <c r="CR264" i="1"/>
  <c r="CI14" i="1"/>
  <c r="CF126" i="1"/>
  <c r="CI119" i="1"/>
  <c r="CI121" i="1" s="1"/>
  <c r="CD148" i="1"/>
  <c r="BY148" i="1" s="1"/>
  <c r="BY150" i="1" s="1"/>
  <c r="CD150" i="1" s="1"/>
  <c r="CI110" i="1"/>
  <c r="CD128" i="1" s="1"/>
  <c r="CF353" i="1"/>
  <c r="CA353" i="1" s="1"/>
  <c r="DG267" i="1" s="1"/>
  <c r="CK279" i="1"/>
  <c r="DG201" i="1"/>
  <c r="CR267" i="1"/>
  <c r="CF24" i="1"/>
  <c r="CK24" i="1"/>
  <c r="CF268" i="1"/>
  <c r="CD360" i="1"/>
  <c r="BY360" i="1" s="1"/>
  <c r="CZ265" i="1" s="1"/>
  <c r="CI286" i="1"/>
  <c r="CF312" i="1"/>
  <c r="CF359" i="1"/>
  <c r="CA359" i="1" s="1"/>
  <c r="DB264" i="1" s="1"/>
  <c r="CK285" i="1"/>
  <c r="CD359" i="1"/>
  <c r="BY359" i="1" s="1"/>
  <c r="CI285" i="1"/>
  <c r="CK12" i="1"/>
  <c r="DB198" i="1"/>
  <c r="CM13" i="1"/>
  <c r="CH361" i="1"/>
  <c r="CC361" i="1" s="1"/>
  <c r="DD266" i="1" s="1"/>
  <c r="CM287" i="1"/>
  <c r="CM289" i="1" s="1"/>
  <c r="CW264" i="1"/>
  <c r="CQ265" i="1"/>
  <c r="CJ24" i="1"/>
  <c r="CE24" i="1"/>
  <c r="BY257" i="1"/>
  <c r="BY259" i="1" s="1"/>
  <c r="CD259" i="1" s="1"/>
  <c r="CI183" i="1"/>
  <c r="CI185" i="1" s="1"/>
  <c r="CO200" i="1"/>
  <c r="CL174" i="1"/>
  <c r="CL176" i="1" s="1"/>
  <c r="CB248" i="1"/>
  <c r="CB250" i="1" s="1"/>
  <c r="CG250" i="1" s="1"/>
  <c r="CM112" i="1"/>
  <c r="CH130" i="1" s="1"/>
  <c r="CK163" i="1"/>
  <c r="CF163" i="1"/>
  <c r="CS266" i="1"/>
  <c r="CO264" i="1"/>
  <c r="CL163" i="1"/>
  <c r="CG163" i="1"/>
  <c r="CG312" i="1"/>
  <c r="CL11" i="1"/>
  <c r="CD163" i="1"/>
  <c r="CI163" i="1"/>
  <c r="CF362" i="1"/>
  <c r="CA362" i="1" s="1"/>
  <c r="DB267" i="1" s="1"/>
  <c r="CK288" i="1"/>
  <c r="CO265" i="1"/>
  <c r="CL119" i="1"/>
  <c r="CL121" i="1" s="1"/>
  <c r="CG148" i="1"/>
  <c r="CB148" i="1" s="1"/>
  <c r="CB150" i="1" s="1"/>
  <c r="CG150" i="1" s="1"/>
  <c r="CL110" i="1"/>
  <c r="CG128" i="1" s="1"/>
  <c r="CK174" i="1"/>
  <c r="CK176" i="1" s="1"/>
  <c r="CA248" i="1"/>
  <c r="CV266" i="1" s="1"/>
  <c r="CD350" i="1"/>
  <c r="BY350" i="1" s="1"/>
  <c r="DE264" i="1" s="1"/>
  <c r="CI276" i="1"/>
  <c r="DE198" i="1"/>
  <c r="CJ15" i="1"/>
  <c r="CE15" i="1"/>
  <c r="CB13" i="1"/>
  <c r="CH163" i="1"/>
  <c r="CM163" i="1"/>
  <c r="CJ163" i="1"/>
  <c r="CE163" i="1"/>
  <c r="CH352" i="1"/>
  <c r="CC352" i="1" s="1"/>
  <c r="DI266" i="1" s="1"/>
  <c r="CM278" i="1"/>
  <c r="CM280" i="1" s="1"/>
  <c r="BY24" i="1"/>
  <c r="CB257" i="1"/>
  <c r="CR200" i="1"/>
  <c r="CL183" i="1"/>
  <c r="CL185" i="1" s="1"/>
  <c r="CE352" i="1"/>
  <c r="BZ352" i="1" s="1"/>
  <c r="DF266" i="1" s="1"/>
  <c r="CJ278" i="1"/>
  <c r="CJ280" i="1" s="1"/>
  <c r="DF200" i="1"/>
  <c r="CD126" i="1"/>
  <c r="CL14" i="1"/>
  <c r="CH15" i="1"/>
  <c r="CM15" i="1"/>
  <c r="CK305" i="1"/>
  <c r="CK307" i="1" s="1"/>
  <c r="CF287" i="1"/>
  <c r="DB200" i="1" s="1"/>
  <c r="CF278" i="1"/>
  <c r="DG200" i="1" s="1"/>
  <c r="CF370" i="1"/>
  <c r="CA370" i="1" s="1"/>
  <c r="CA372" i="1" s="1"/>
  <c r="CK296" i="1"/>
  <c r="CF314" i="1" s="1"/>
  <c r="CG126" i="1"/>
  <c r="CV200" i="1"/>
  <c r="CI11" i="1"/>
  <c r="CA257" i="1"/>
  <c r="CA259" i="1" s="1"/>
  <c r="CK183" i="1"/>
  <c r="CK185" i="1" s="1"/>
  <c r="CQ200" i="1"/>
  <c r="CF350" i="1"/>
  <c r="CA350" i="1" s="1"/>
  <c r="CK276" i="1"/>
  <c r="CF360" i="1"/>
  <c r="CA360" i="1" s="1"/>
  <c r="DB265" i="1" s="1"/>
  <c r="CK286" i="1"/>
  <c r="CL305" i="1"/>
  <c r="CL307" i="1" s="1"/>
  <c r="CG287" i="1"/>
  <c r="CG278" i="1"/>
  <c r="DH200" i="1" s="1"/>
  <c r="CG370" i="1"/>
  <c r="CB370" i="1" s="1"/>
  <c r="CB372" i="1" s="1"/>
  <c r="CG372" i="1" s="1"/>
  <c r="CL296" i="1"/>
  <c r="CG314" i="1" s="1"/>
  <c r="CD312" i="1"/>
  <c r="CK14" i="1"/>
  <c r="CR265" i="1"/>
  <c r="CQ264" i="1"/>
  <c r="CI194" i="1"/>
  <c r="CD212" i="1" s="1"/>
  <c r="CI174" i="1"/>
  <c r="CI176" i="1" s="1"/>
  <c r="BY248" i="1"/>
  <c r="CT266" i="1" s="1"/>
  <c r="CE361" i="1"/>
  <c r="BZ361" i="1" s="1"/>
  <c r="BZ363" i="1" s="1"/>
  <c r="CJ287" i="1"/>
  <c r="CJ289" i="1" s="1"/>
  <c r="CG351" i="1"/>
  <c r="CB351" i="1" s="1"/>
  <c r="DH265" i="1" s="1"/>
  <c r="CL277" i="1"/>
  <c r="DH199" i="1"/>
  <c r="CD353" i="1"/>
  <c r="BY353" i="1" s="1"/>
  <c r="DE267" i="1" s="1"/>
  <c r="CI279" i="1"/>
  <c r="CQ267" i="1"/>
  <c r="CG350" i="1"/>
  <c r="CB350" i="1" s="1"/>
  <c r="CL276" i="1"/>
  <c r="CL12" i="1"/>
  <c r="CE280" i="1"/>
  <c r="CZ267" i="1"/>
  <c r="CO267" i="1"/>
  <c r="CK11" i="1"/>
  <c r="CG362" i="1"/>
  <c r="CB362" i="1" s="1"/>
  <c r="DC267" i="1" s="1"/>
  <c r="CL288" i="1"/>
  <c r="CK119" i="1"/>
  <c r="CK121" i="1" s="1"/>
  <c r="CF148" i="1"/>
  <c r="CA148" i="1" s="1"/>
  <c r="CA150" i="1" s="1"/>
  <c r="CF150" i="1" s="1"/>
  <c r="CK110" i="1"/>
  <c r="CF128" i="1" s="1"/>
  <c r="CP266" i="1"/>
  <c r="CD351" i="1"/>
  <c r="BY351" i="1" s="1"/>
  <c r="DE265" i="1" s="1"/>
  <c r="CI277" i="1"/>
  <c r="CL24" i="1"/>
  <c r="CG24" i="1"/>
  <c r="CA13" i="1"/>
  <c r="CA15" i="1" s="1"/>
  <c r="CF298" i="1"/>
  <c r="CF307" i="1" s="1"/>
  <c r="CI305" i="1"/>
  <c r="CI307" i="1" s="1"/>
  <c r="CD287" i="1"/>
  <c r="CD289" i="1" s="1"/>
  <c r="CD278" i="1"/>
  <c r="CD280" i="1" s="1"/>
  <c r="CD370" i="1"/>
  <c r="BY370" i="1" s="1"/>
  <c r="BY372" i="1" s="1"/>
  <c r="CI296" i="1"/>
  <c r="CD314" i="1" s="1"/>
  <c r="BY13" i="1"/>
  <c r="BY15" i="1" s="1"/>
  <c r="CF351" i="1"/>
  <c r="CA351" i="1" s="1"/>
  <c r="DG265" i="1" s="1"/>
  <c r="CK277" i="1"/>
  <c r="DG199" i="1"/>
  <c r="CD298" i="1"/>
  <c r="CD307" i="1" s="1"/>
  <c r="DC199" i="1"/>
  <c r="CJ298" i="1"/>
  <c r="CE316" i="1" s="1"/>
  <c r="CA100" i="1"/>
  <c r="CF100" i="1" s="1"/>
  <c r="CW266" i="1"/>
  <c r="CF185" i="1"/>
  <c r="CC259" i="1"/>
  <c r="CH259" i="1" s="1"/>
  <c r="BZ259" i="1"/>
  <c r="CE259" i="1" s="1"/>
  <c r="CB100" i="1"/>
  <c r="CG100" i="1" s="1"/>
  <c r="CI12" i="1"/>
  <c r="CJ13" i="1"/>
  <c r="CE289" i="1"/>
  <c r="CC363" i="1" l="1"/>
  <c r="CH363" i="1" s="1"/>
  <c r="CG280" i="1"/>
  <c r="CL112" i="1"/>
  <c r="CG130" i="1" s="1"/>
  <c r="BZ354" i="1"/>
  <c r="CE354" i="1" s="1"/>
  <c r="CI112" i="1"/>
  <c r="CD130" i="1" s="1"/>
  <c r="CE363" i="1"/>
  <c r="CD372" i="1"/>
  <c r="CF259" i="1"/>
  <c r="CD15" i="1"/>
  <c r="CI15" i="1"/>
  <c r="CF15" i="1"/>
  <c r="CK15" i="1"/>
  <c r="CI298" i="1"/>
  <c r="CD316" i="1" s="1"/>
  <c r="CG361" i="1"/>
  <c r="CB361" i="1" s="1"/>
  <c r="DC266" i="1" s="1"/>
  <c r="CL287" i="1"/>
  <c r="CL289" i="1" s="1"/>
  <c r="DE200" i="1"/>
  <c r="CF352" i="1"/>
  <c r="CA352" i="1" s="1"/>
  <c r="DG266" i="1" s="1"/>
  <c r="CK278" i="1"/>
  <c r="CK280" i="1" s="1"/>
  <c r="CR266" i="1"/>
  <c r="CL13" i="1"/>
  <c r="CF372" i="1"/>
  <c r="BY250" i="1"/>
  <c r="CD250" i="1" s="1"/>
  <c r="CC354" i="1"/>
  <c r="CH354" i="1" s="1"/>
  <c r="CF361" i="1"/>
  <c r="CA361" i="1" s="1"/>
  <c r="CA363" i="1" s="1"/>
  <c r="CK287" i="1"/>
  <c r="CK289" i="1" s="1"/>
  <c r="CD24" i="1"/>
  <c r="CI24" i="1"/>
  <c r="CF289" i="1"/>
  <c r="CG289" i="1"/>
  <c r="CI13" i="1"/>
  <c r="CD352" i="1"/>
  <c r="BY352" i="1" s="1"/>
  <c r="DE266" i="1" s="1"/>
  <c r="CI278" i="1"/>
  <c r="CI280" i="1" s="1"/>
  <c r="DG264" i="1"/>
  <c r="CB15" i="1"/>
  <c r="CZ200" i="1"/>
  <c r="CK112" i="1"/>
  <c r="CF130" i="1" s="1"/>
  <c r="DC264" i="1"/>
  <c r="DH264" i="1"/>
  <c r="CD361" i="1"/>
  <c r="BY361" i="1" s="1"/>
  <c r="BY363" i="1" s="1"/>
  <c r="CD363" i="1" s="1"/>
  <c r="CI287" i="1"/>
  <c r="CI289" i="1" s="1"/>
  <c r="CK13" i="1"/>
  <c r="DA266" i="1"/>
  <c r="CA250" i="1"/>
  <c r="CF250" i="1" s="1"/>
  <c r="CG352" i="1"/>
  <c r="CB352" i="1" s="1"/>
  <c r="DH266" i="1" s="1"/>
  <c r="CL278" i="1"/>
  <c r="CL280" i="1" s="1"/>
  <c r="CF280" i="1"/>
  <c r="CQ266" i="1"/>
  <c r="DB266" i="1"/>
  <c r="DC200" i="1"/>
  <c r="CL298" i="1"/>
  <c r="CG316" i="1" s="1"/>
  <c r="CZ264" i="1"/>
  <c r="CO266" i="1"/>
  <c r="CK298" i="1"/>
  <c r="CF316" i="1" s="1"/>
  <c r="CB259" i="1"/>
  <c r="CG259" i="1" s="1"/>
  <c r="CZ266" i="1" l="1"/>
  <c r="CB363" i="1"/>
  <c r="CG363" i="1"/>
  <c r="CL15" i="1"/>
  <c r="CG15" i="1"/>
  <c r="CB354" i="1"/>
  <c r="CG354" i="1" s="1"/>
  <c r="CF363" i="1"/>
  <c r="BY354" i="1"/>
  <c r="CD354" i="1" s="1"/>
  <c r="CA354" i="1"/>
  <c r="CF354" i="1" s="1"/>
  <c r="BK31" i="1" l="1"/>
  <c r="BK40" i="1"/>
  <c r="BK41" i="1"/>
  <c r="BK32" i="1"/>
  <c r="BL40" i="1"/>
  <c r="BL31" i="1"/>
  <c r="BI41" i="1"/>
  <c r="BI32" i="1"/>
  <c r="BI31" i="1"/>
  <c r="BI40" i="1"/>
  <c r="BL41" i="1"/>
  <c r="BL32" i="1"/>
  <c r="BJ40" i="1"/>
  <c r="BJ31" i="1"/>
  <c r="BJ32" i="1"/>
  <c r="BJ41" i="1"/>
  <c r="BI29" i="1" l="1"/>
  <c r="BI38" i="1"/>
  <c r="BT40" i="1"/>
  <c r="BO40" i="1"/>
  <c r="BN40" i="1"/>
  <c r="BS40" i="1"/>
  <c r="BS41" i="1"/>
  <c r="BN41" i="1"/>
  <c r="BU32" i="1"/>
  <c r="BP32" i="1"/>
  <c r="BK50" i="1"/>
  <c r="BL38" i="1"/>
  <c r="BL29" i="1"/>
  <c r="BO41" i="1"/>
  <c r="BT41" i="1"/>
  <c r="BN31" i="1"/>
  <c r="BS31" i="1"/>
  <c r="BI49" i="1"/>
  <c r="BV31" i="1"/>
  <c r="BQ31" i="1"/>
  <c r="BL49" i="1"/>
  <c r="BP41" i="1"/>
  <c r="BU41" i="1"/>
  <c r="BT32" i="1"/>
  <c r="BO32" i="1"/>
  <c r="BJ50" i="1"/>
  <c r="BQ32" i="1"/>
  <c r="BV32" i="1"/>
  <c r="BL50" i="1"/>
  <c r="BV40" i="1"/>
  <c r="BQ40" i="1"/>
  <c r="BU40" i="1"/>
  <c r="BP40" i="1"/>
  <c r="BJ29" i="1"/>
  <c r="BJ38" i="1"/>
  <c r="BK38" i="1"/>
  <c r="BK29" i="1"/>
  <c r="BH41" i="1"/>
  <c r="BH32" i="1"/>
  <c r="BT31" i="1"/>
  <c r="BO31" i="1"/>
  <c r="BJ49" i="1"/>
  <c r="BV41" i="1"/>
  <c r="BQ41" i="1"/>
  <c r="BS32" i="1"/>
  <c r="BN32" i="1"/>
  <c r="BI50" i="1"/>
  <c r="BU31" i="1"/>
  <c r="BU49" i="1" s="1"/>
  <c r="BP31" i="1"/>
  <c r="BK49" i="1"/>
  <c r="BT49" i="1" l="1"/>
  <c r="DG41" i="1" a="1"/>
  <c r="DG41" i="1" s="1"/>
  <c r="CH41" i="1" s="1"/>
  <c r="CC41" i="1" s="1"/>
  <c r="CM41" i="1" s="1"/>
  <c r="BP38" i="1"/>
  <c r="BU38" i="1"/>
  <c r="BK42" i="1"/>
  <c r="BV50" i="1"/>
  <c r="BT50" i="1"/>
  <c r="DG31" i="1" a="1"/>
  <c r="DG31" i="1" s="1"/>
  <c r="CH31" i="1" s="1"/>
  <c r="BQ49" i="1"/>
  <c r="DD31" i="1" a="1"/>
  <c r="DD31" i="1" s="1"/>
  <c r="CE31" i="1" s="1"/>
  <c r="BN49" i="1"/>
  <c r="BL42" i="1"/>
  <c r="BV38" i="1"/>
  <c r="BQ38" i="1"/>
  <c r="DD41" i="1" a="1"/>
  <c r="DD41" i="1" s="1"/>
  <c r="CE41" i="1" s="1"/>
  <c r="BZ41" i="1" s="1"/>
  <c r="CJ41" i="1" s="1"/>
  <c r="DE40" i="1" a="1"/>
  <c r="DE40" i="1" s="1"/>
  <c r="CF40" i="1" s="1"/>
  <c r="CA40" i="1" s="1"/>
  <c r="CK40" i="1" s="1"/>
  <c r="BM32" i="1"/>
  <c r="BR32" i="1"/>
  <c r="BH50" i="1"/>
  <c r="BJ42" i="1"/>
  <c r="BT38" i="1"/>
  <c r="BO38" i="1"/>
  <c r="DG40" i="1" a="1"/>
  <c r="DG40" i="1" s="1"/>
  <c r="CH40" i="1" s="1"/>
  <c r="CC40" i="1" s="1"/>
  <c r="CM40" i="1" s="1"/>
  <c r="DG32" i="1" a="1"/>
  <c r="DG32" i="1" s="1"/>
  <c r="CH32" i="1" s="1"/>
  <c r="BQ50" i="1"/>
  <c r="BV49" i="1"/>
  <c r="DD32" i="1" a="1"/>
  <c r="DD32" i="1" s="1"/>
  <c r="CE32" i="1" s="1"/>
  <c r="BN50" i="1"/>
  <c r="BR41" i="1"/>
  <c r="BM41" i="1"/>
  <c r="BJ33" i="1"/>
  <c r="BT29" i="1"/>
  <c r="BO29" i="1"/>
  <c r="BJ47" i="1"/>
  <c r="BJ51" i="1" s="1"/>
  <c r="DF41" i="1" a="1"/>
  <c r="DF41" i="1" s="1"/>
  <c r="CG41" i="1" s="1"/>
  <c r="CB41" i="1" s="1"/>
  <c r="CL41" i="1" s="1"/>
  <c r="DE41" i="1" a="1"/>
  <c r="DE41" i="1" s="1"/>
  <c r="CF41" i="1" s="1"/>
  <c r="CA41" i="1" s="1"/>
  <c r="CK41" i="1" s="1"/>
  <c r="DF32" i="1" a="1"/>
  <c r="DF32" i="1" s="1"/>
  <c r="CG32" i="1" s="1"/>
  <c r="BP50" i="1"/>
  <c r="BI42" i="1"/>
  <c r="BS38" i="1"/>
  <c r="BN38" i="1"/>
  <c r="DF31" i="1" a="1"/>
  <c r="DF31" i="1" s="1"/>
  <c r="CG31" i="1" s="1"/>
  <c r="BP49" i="1"/>
  <c r="BS50" i="1"/>
  <c r="DE31" i="1" a="1"/>
  <c r="DE31" i="1" s="1"/>
  <c r="CF31" i="1" s="1"/>
  <c r="BO49" i="1"/>
  <c r="BP29" i="1"/>
  <c r="BK33" i="1"/>
  <c r="BU29" i="1"/>
  <c r="BK47" i="1"/>
  <c r="BK51" i="1" s="1"/>
  <c r="DF40" i="1" a="1"/>
  <c r="DF40" i="1" s="1"/>
  <c r="CG40" i="1" s="1"/>
  <c r="CB40" i="1" s="1"/>
  <c r="CL40" i="1" s="1"/>
  <c r="DE32" i="1" a="1"/>
  <c r="DE32" i="1" s="1"/>
  <c r="CF32" i="1" s="1"/>
  <c r="BO50" i="1"/>
  <c r="BS49" i="1"/>
  <c r="BL33" i="1"/>
  <c r="BV29" i="1"/>
  <c r="BV47" i="1" s="1"/>
  <c r="BQ29" i="1"/>
  <c r="BL47" i="1"/>
  <c r="BL51" i="1" s="1"/>
  <c r="BU50" i="1"/>
  <c r="DD40" i="1" a="1"/>
  <c r="DD40" i="1" s="1"/>
  <c r="CE40" i="1" s="1"/>
  <c r="BZ40" i="1" s="1"/>
  <c r="CJ40" i="1" s="1"/>
  <c r="BI33" i="1"/>
  <c r="BS29" i="1"/>
  <c r="BN29" i="1"/>
  <c r="BI47" i="1"/>
  <c r="BI51" i="1" s="1"/>
  <c r="BU47" i="1" l="1"/>
  <c r="BT47" i="1"/>
  <c r="BR50" i="1"/>
  <c r="CA31" i="1"/>
  <c r="CF49" i="1"/>
  <c r="CB32" i="1"/>
  <c r="CG50" i="1"/>
  <c r="BZ32" i="1"/>
  <c r="CE50" i="1"/>
  <c r="CC31" i="1"/>
  <c r="CH49" i="1"/>
  <c r="CA32" i="1"/>
  <c r="CF50" i="1"/>
  <c r="BZ31" i="1"/>
  <c r="CE49" i="1"/>
  <c r="CB31" i="1"/>
  <c r="CG49" i="1"/>
  <c r="CC32" i="1"/>
  <c r="CH50" i="1"/>
  <c r="BN33" i="1"/>
  <c r="BS33" i="1"/>
  <c r="BV51" i="1"/>
  <c r="BQ51" i="1"/>
  <c r="BU33" i="1"/>
  <c r="BP33" i="1"/>
  <c r="DE29" i="1" a="1"/>
  <c r="DE29" i="1" s="1"/>
  <c r="CF29" i="1" s="1"/>
  <c r="BO47" i="1"/>
  <c r="BT42" i="1"/>
  <c r="BO42" i="1"/>
  <c r="DG38" i="1" a="1"/>
  <c r="DG38" i="1" s="1"/>
  <c r="CH38" i="1" s="1"/>
  <c r="CC38" i="1" s="1"/>
  <c r="BN51" i="1"/>
  <c r="BS51" i="1"/>
  <c r="DG29" i="1" a="1"/>
  <c r="DG29" i="1" s="1"/>
  <c r="CH29" i="1" s="1"/>
  <c r="BQ47" i="1"/>
  <c r="DF29" i="1" a="1"/>
  <c r="DF29" i="1" s="1"/>
  <c r="CG29" i="1" s="1"/>
  <c r="BP47" i="1"/>
  <c r="DD38" i="1" a="1"/>
  <c r="DD38" i="1" s="1"/>
  <c r="CE38" i="1" s="1"/>
  <c r="BZ38" i="1" s="1"/>
  <c r="DF38" i="1" a="1"/>
  <c r="DF38" i="1" s="1"/>
  <c r="CG38" i="1" s="1"/>
  <c r="CB38" i="1" s="1"/>
  <c r="DD29" i="1" a="1"/>
  <c r="DD29" i="1" s="1"/>
  <c r="CE29" i="1" s="1"/>
  <c r="BN47" i="1"/>
  <c r="BU51" i="1"/>
  <c r="BP51" i="1"/>
  <c r="BT33" i="1"/>
  <c r="BO33" i="1"/>
  <c r="DE38" i="1" a="1"/>
  <c r="DE38" i="1" s="1"/>
  <c r="CF38" i="1" s="1"/>
  <c r="CA38" i="1" s="1"/>
  <c r="BV42" i="1"/>
  <c r="BQ42" i="1"/>
  <c r="BS47" i="1"/>
  <c r="BV33" i="1"/>
  <c r="BQ33" i="1"/>
  <c r="BS42" i="1"/>
  <c r="BN42" i="1"/>
  <c r="BT51" i="1"/>
  <c r="BO51" i="1"/>
  <c r="DC41" i="1" a="1"/>
  <c r="DC41" i="1" s="1"/>
  <c r="CD41" i="1" s="1"/>
  <c r="BY41" i="1" s="1"/>
  <c r="CI41" i="1" s="1"/>
  <c r="DC32" i="1" a="1"/>
  <c r="DC32" i="1" s="1"/>
  <c r="CD32" i="1" s="1"/>
  <c r="BM50" i="1"/>
  <c r="BP42" i="1"/>
  <c r="BU42" i="1"/>
  <c r="CJ38" i="1" l="1"/>
  <c r="CA29" i="1"/>
  <c r="CF47" i="1"/>
  <c r="BZ29" i="1"/>
  <c r="CE47" i="1"/>
  <c r="CB29" i="1"/>
  <c r="CG47" i="1"/>
  <c r="CL38" i="1"/>
  <c r="CC29" i="1"/>
  <c r="CH47" i="1"/>
  <c r="CM38" i="1"/>
  <c r="BJ39" i="1"/>
  <c r="BJ30" i="1"/>
  <c r="BI30" i="1"/>
  <c r="BI39" i="1"/>
  <c r="CM32" i="1"/>
  <c r="CC50" i="1"/>
  <c r="CM50" i="1" s="1"/>
  <c r="CJ31" i="1"/>
  <c r="BZ49" i="1"/>
  <c r="CJ49" i="1" s="1"/>
  <c r="CM31" i="1"/>
  <c r="CC49" i="1"/>
  <c r="CM49" i="1" s="1"/>
  <c r="CL32" i="1"/>
  <c r="CB50" i="1"/>
  <c r="CL50" i="1" s="1"/>
  <c r="BY32" i="1"/>
  <c r="CD50" i="1"/>
  <c r="CK38" i="1"/>
  <c r="BH30" i="1"/>
  <c r="BH39" i="1"/>
  <c r="BL39" i="1"/>
  <c r="BL30" i="1"/>
  <c r="CL31" i="1"/>
  <c r="CB49" i="1"/>
  <c r="CL49" i="1" s="1"/>
  <c r="CK32" i="1"/>
  <c r="CA50" i="1"/>
  <c r="CK50" i="1" s="1"/>
  <c r="CJ32" i="1"/>
  <c r="BZ50" i="1"/>
  <c r="CJ50" i="1" s="1"/>
  <c r="CK31" i="1"/>
  <c r="CA49" i="1"/>
  <c r="CK49" i="1" s="1"/>
  <c r="BS39" i="1" l="1"/>
  <c r="BN39" i="1"/>
  <c r="BO39" i="1"/>
  <c r="BT39" i="1"/>
  <c r="BR39" i="1"/>
  <c r="BM39" i="1"/>
  <c r="BS30" i="1"/>
  <c r="BS48" i="1" s="1"/>
  <c r="BN30" i="1"/>
  <c r="BI48" i="1"/>
  <c r="CM29" i="1"/>
  <c r="CC47" i="1"/>
  <c r="CL29" i="1"/>
  <c r="CB47" i="1"/>
  <c r="CK29" i="1"/>
  <c r="CA47" i="1"/>
  <c r="BH40" i="1"/>
  <c r="BH31" i="1"/>
  <c r="BV30" i="1"/>
  <c r="BQ30" i="1"/>
  <c r="BL48" i="1"/>
  <c r="BR30" i="1"/>
  <c r="BR48" i="1" s="1"/>
  <c r="BM30" i="1"/>
  <c r="BH48" i="1"/>
  <c r="BV39" i="1"/>
  <c r="BQ39" i="1"/>
  <c r="CI32" i="1"/>
  <c r="BY50" i="1"/>
  <c r="CI50" i="1" s="1"/>
  <c r="BO30" i="1"/>
  <c r="BT30" i="1"/>
  <c r="BJ48" i="1"/>
  <c r="CJ29" i="1"/>
  <c r="BZ47" i="1"/>
  <c r="BT48" i="1" l="1"/>
  <c r="CJ47" i="1"/>
  <c r="DG39" i="1" a="1"/>
  <c r="DG39" i="1" s="1"/>
  <c r="CH39" i="1" s="1"/>
  <c r="CC39" i="1" s="1"/>
  <c r="BR31" i="1"/>
  <c r="BM31" i="1"/>
  <c r="BH49" i="1"/>
  <c r="CM47" i="1"/>
  <c r="DD30" i="1" a="1"/>
  <c r="DD30" i="1" s="1"/>
  <c r="CE30" i="1" s="1"/>
  <c r="BN48" i="1"/>
  <c r="DE30" i="1" a="1"/>
  <c r="DE30" i="1" s="1"/>
  <c r="CF30" i="1" s="1"/>
  <c r="BO48" i="1"/>
  <c r="BR40" i="1"/>
  <c r="BM40" i="1"/>
  <c r="CL47" i="1"/>
  <c r="DE39" i="1" a="1"/>
  <c r="DE39" i="1" s="1"/>
  <c r="CF39" i="1" s="1"/>
  <c r="CA39" i="1" s="1"/>
  <c r="DG30" i="1" a="1"/>
  <c r="DG30" i="1" s="1"/>
  <c r="CH30" i="1" s="1"/>
  <c r="BQ48" i="1"/>
  <c r="CK47" i="1"/>
  <c r="DC39" i="1" a="1"/>
  <c r="DC39" i="1" s="1"/>
  <c r="CD39" i="1" s="1"/>
  <c r="BY39" i="1" s="1"/>
  <c r="CI39" i="1" s="1"/>
  <c r="DD39" i="1" a="1"/>
  <c r="DD39" i="1" s="1"/>
  <c r="CE39" i="1" s="1"/>
  <c r="BZ39" i="1" s="1"/>
  <c r="DC30" i="1" a="1"/>
  <c r="DC30" i="1" s="1"/>
  <c r="CD30" i="1" s="1"/>
  <c r="BM48" i="1"/>
  <c r="BV48" i="1"/>
  <c r="BZ30" i="1" l="1"/>
  <c r="CE48" i="1"/>
  <c r="BY30" i="1"/>
  <c r="CD48" i="1"/>
  <c r="CM39" i="1"/>
  <c r="CC42" i="1"/>
  <c r="CK39" i="1"/>
  <c r="CA42" i="1"/>
  <c r="CJ39" i="1"/>
  <c r="BZ42" i="1"/>
  <c r="CC30" i="1"/>
  <c r="CH48" i="1"/>
  <c r="CA30" i="1"/>
  <c r="CF48" i="1"/>
  <c r="DC31" i="1" a="1"/>
  <c r="DC31" i="1" s="1"/>
  <c r="CD31" i="1" s="1"/>
  <c r="BM49" i="1"/>
  <c r="DC40" i="1" a="1"/>
  <c r="DC40" i="1" s="1"/>
  <c r="CD40" i="1" s="1"/>
  <c r="BY40" i="1" s="1"/>
  <c r="CI40" i="1" s="1"/>
  <c r="BR49" i="1"/>
  <c r="BY31" i="1" l="1"/>
  <c r="CD49" i="1"/>
  <c r="CK42" i="1"/>
  <c r="CF42" i="1"/>
  <c r="CM30" i="1"/>
  <c r="CC48" i="1"/>
  <c r="CC33" i="1"/>
  <c r="CI30" i="1"/>
  <c r="BY48" i="1"/>
  <c r="CI48" i="1" s="1"/>
  <c r="CJ42" i="1"/>
  <c r="CE42" i="1"/>
  <c r="CH42" i="1"/>
  <c r="CM42" i="1"/>
  <c r="CK30" i="1"/>
  <c r="CA48" i="1"/>
  <c r="CA33" i="1"/>
  <c r="CJ30" i="1"/>
  <c r="BZ48" i="1"/>
  <c r="BZ33" i="1"/>
  <c r="CJ33" i="1" l="1"/>
  <c r="CE33" i="1"/>
  <c r="CF33" i="1"/>
  <c r="CK33" i="1"/>
  <c r="CK48" i="1"/>
  <c r="CA51" i="1"/>
  <c r="CM33" i="1"/>
  <c r="CH33" i="1"/>
  <c r="CJ48" i="1"/>
  <c r="BZ51" i="1"/>
  <c r="CM48" i="1"/>
  <c r="CC51" i="1"/>
  <c r="CI31" i="1"/>
  <c r="BY49" i="1"/>
  <c r="CI49" i="1" s="1"/>
  <c r="CM51" i="1" l="1"/>
  <c r="CH51" i="1"/>
  <c r="CJ51" i="1"/>
  <c r="CE51" i="1"/>
  <c r="CF51" i="1"/>
  <c r="CK51" i="1"/>
  <c r="BH38" i="1" l="1"/>
  <c r="BH29" i="1"/>
  <c r="BH33" i="1" l="1"/>
  <c r="BR29" i="1"/>
  <c r="BM29" i="1"/>
  <c r="BH47" i="1"/>
  <c r="BH51" i="1" s="1"/>
  <c r="BH42" i="1"/>
  <c r="BR38" i="1"/>
  <c r="BM38" i="1"/>
  <c r="BR51" i="1" l="1"/>
  <c r="BM51" i="1"/>
  <c r="DC38" i="1" a="1"/>
  <c r="DC38" i="1" s="1"/>
  <c r="CD38" i="1" s="1"/>
  <c r="BY38" i="1" s="1"/>
  <c r="DC29" i="1" a="1"/>
  <c r="DC29" i="1" s="1"/>
  <c r="CD29" i="1" s="1"/>
  <c r="BM47" i="1"/>
  <c r="BR47" i="1"/>
  <c r="BR42" i="1"/>
  <c r="BM42" i="1"/>
  <c r="BR33" i="1"/>
  <c r="BM33" i="1"/>
  <c r="BY29" i="1" l="1"/>
  <c r="CD47" i="1"/>
  <c r="BY42" i="1"/>
  <c r="CI38" i="1"/>
  <c r="BK39" i="1"/>
  <c r="BK30" i="1"/>
  <c r="BU30" i="1" l="1"/>
  <c r="BP30" i="1"/>
  <c r="BK48" i="1"/>
  <c r="CD42" i="1"/>
  <c r="CI42" i="1"/>
  <c r="BU39" i="1"/>
  <c r="BP39" i="1"/>
  <c r="BY33" i="1"/>
  <c r="CI29" i="1"/>
  <c r="BY47" i="1"/>
  <c r="CI33" i="1" l="1"/>
  <c r="CD33" i="1"/>
  <c r="DF39" i="1" a="1"/>
  <c r="DF39" i="1" s="1"/>
  <c r="CG39" i="1" s="1"/>
  <c r="CB39" i="1" s="1"/>
  <c r="BY51" i="1"/>
  <c r="CI47" i="1"/>
  <c r="DF30" i="1" a="1"/>
  <c r="DF30" i="1" s="1"/>
  <c r="CG30" i="1" s="1"/>
  <c r="BP48" i="1"/>
  <c r="BU48" i="1"/>
  <c r="CL39" i="1" l="1"/>
  <c r="CB42" i="1"/>
  <c r="CB30" i="1"/>
  <c r="CG48" i="1"/>
  <c r="CI51" i="1"/>
  <c r="CD51" i="1"/>
  <c r="CL30" i="1" l="1"/>
  <c r="CB48" i="1"/>
  <c r="CB33" i="1"/>
  <c r="CL42" i="1"/>
  <c r="CG42" i="1"/>
  <c r="CL33" i="1" l="1"/>
  <c r="CG33" i="1"/>
  <c r="CL48" i="1"/>
  <c r="CB51" i="1"/>
  <c r="CL51" i="1" l="1"/>
  <c r="CG5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7F415E-941B-41BE-8D70-43DD58C0944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<sst xmlns="http://schemas.openxmlformats.org/spreadsheetml/2006/main" count="6902" uniqueCount="231">
  <si>
    <t>Pre-Shift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</si>
  <si>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</si>
  <si>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</si>
  <si>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</si>
  <si>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</si>
  <si>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</si>
  <si>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</si>
  <si>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</si>
  <si>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</si>
  <si>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SP</t>
  </si>
  <si>
    <t>Excl</t>
  </si>
  <si>
    <t>R</t>
  </si>
  <si>
    <t>N</t>
  </si>
  <si>
    <t>Y</t>
  </si>
  <si>
    <t>Retail 30</t>
  </si>
  <si>
    <t>Retail 90</t>
  </si>
  <si>
    <t>M</t>
  </si>
  <si>
    <t>Specialty</t>
  </si>
  <si>
    <t>Total</t>
  </si>
  <si>
    <t>MAF</t>
  </si>
  <si>
    <t>PPL</t>
  </si>
  <si>
    <t>PPA</t>
  </si>
  <si>
    <t>Total Rebates</t>
  </si>
  <si>
    <t>Scripts</t>
  </si>
  <si>
    <t>Rebatable Scripts</t>
  </si>
  <si>
    <t>Generic</t>
  </si>
  <si>
    <t>Brand</t>
  </si>
  <si>
    <t>Quantity</t>
  </si>
  <si>
    <t>340B Brand</t>
  </si>
  <si>
    <t>Non-Rebatable Excl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</si>
  <si>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</si>
  <si>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</si>
  <si>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</si>
  <si>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</si>
  <si>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</si>
  <si>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</si>
  <si>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</si>
  <si>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</si>
  <si>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</si>
  <si>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</si>
  <si>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</si>
  <si>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</si>
  <si>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</si>
  <si>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</si>
  <si>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</si>
  <si>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</si>
  <si>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</si>
  <si>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</si>
  <si>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</si>
  <si>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</si>
  <si>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</si>
  <si>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</si>
  <si>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This section is based on a B/G indicator of Medispan + Override</t>
  </si>
  <si>
    <t>Scripts (B/G indicator of Medispan + Override)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</si>
  <si>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</si>
  <si>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</si>
  <si>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</si>
  <si>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</si>
  <si>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</si>
  <si>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</si>
  <si>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</si>
  <si>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</si>
  <si>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</si>
  <si>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</si>
  <si>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</si>
  <si>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</si>
  <si>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</si>
  <si>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</si>
  <si>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</si>
  <si>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</si>
  <si>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</si>
  <si>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</si>
  <si>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</si>
  <si>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</si>
  <si>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</si>
  <si>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</si>
  <si>
    <t>07/31 - 06/32</t>
  </si>
  <si>
    <t>07/30 - 06/31</t>
  </si>
  <si>
    <t>07/29 - 06/30</t>
  </si>
  <si>
    <t>07/28 - 06/29</t>
  </si>
  <si>
    <t>07/27 - 06/28</t>
  </si>
  <si>
    <t>Base Yr (B/G indicator of Medispan + Override) Annualized</t>
  </si>
  <si>
    <t>Base Yr Annualized</t>
  </si>
  <si>
    <t>Pre-Shift + Annualization + Hep C adj + Lift + INCREMENTAL BRAND</t>
  </si>
  <si>
    <t>Pre-Shift + Annualization + Hep C adj + LIFT</t>
  </si>
  <si>
    <t>Pre-Shift + Annualization + HEP C ADJ</t>
  </si>
  <si>
    <t>Pre-Shift + ANNUALIZATION</t>
  </si>
  <si>
    <t>Column144</t>
  </si>
  <si>
    <t>Column143</t>
  </si>
  <si>
    <t>Column142</t>
  </si>
  <si>
    <t>Column141</t>
  </si>
  <si>
    <t>Column140</t>
  </si>
  <si>
    <t>Column139</t>
  </si>
  <si>
    <t>Column138</t>
  </si>
  <si>
    <t>Column137</t>
  </si>
  <si>
    <t>Column136</t>
  </si>
  <si>
    <t>Column135</t>
  </si>
  <si>
    <t>Column134</t>
  </si>
  <si>
    <t>Column133</t>
  </si>
  <si>
    <t>Column132</t>
  </si>
  <si>
    <t>Column131</t>
  </si>
  <si>
    <t>Column130</t>
  </si>
  <si>
    <t>Column129</t>
  </si>
  <si>
    <t>Column128</t>
  </si>
  <si>
    <t>Column127</t>
  </si>
  <si>
    <t>Column126</t>
  </si>
  <si>
    <t>Column125</t>
  </si>
  <si>
    <t>Column124</t>
  </si>
  <si>
    <t>Column123</t>
  </si>
  <si>
    <t>Column122</t>
  </si>
  <si>
    <t>Column121</t>
  </si>
  <si>
    <t>Column120</t>
  </si>
  <si>
    <t>Column119</t>
  </si>
  <si>
    <t>Column118</t>
  </si>
  <si>
    <t>Column117</t>
  </si>
  <si>
    <t>Column116</t>
  </si>
  <si>
    <t>Column115</t>
  </si>
  <si>
    <t>Column114</t>
  </si>
  <si>
    <t>Column113</t>
  </si>
  <si>
    <t>Column112</t>
  </si>
  <si>
    <t>Column111</t>
  </si>
  <si>
    <t>Column110</t>
  </si>
  <si>
    <t>Column109</t>
  </si>
  <si>
    <t>Column108</t>
  </si>
  <si>
    <t>Column107</t>
  </si>
  <si>
    <t>Column106</t>
  </si>
  <si>
    <t>Column105</t>
  </si>
  <si>
    <t>Column104</t>
  </si>
  <si>
    <t>Column103</t>
  </si>
  <si>
    <t>Column102</t>
  </si>
  <si>
    <t>Column101</t>
  </si>
  <si>
    <t>Column100</t>
  </si>
  <si>
    <t>Column99</t>
  </si>
  <si>
    <t>Column98</t>
  </si>
  <si>
    <t>Column97</t>
  </si>
  <si>
    <t>Column96</t>
  </si>
  <si>
    <t>Column95</t>
  </si>
  <si>
    <t>Column94</t>
  </si>
  <si>
    <t>Column93</t>
  </si>
  <si>
    <t>Column92</t>
  </si>
  <si>
    <t>Column91</t>
  </si>
  <si>
    <t>Column90</t>
  </si>
  <si>
    <t>Column89</t>
  </si>
  <si>
    <t>Column88</t>
  </si>
  <si>
    <t>Column87</t>
  </si>
  <si>
    <t>Column86</t>
  </si>
  <si>
    <t>Column85</t>
  </si>
  <si>
    <t>Column84</t>
  </si>
  <si>
    <t>Column83</t>
  </si>
  <si>
    <t>Column82</t>
  </si>
  <si>
    <t>Column81</t>
  </si>
  <si>
    <t>Column80</t>
  </si>
  <si>
    <t>Column79</t>
  </si>
  <si>
    <t>Column78</t>
  </si>
  <si>
    <t>Column77</t>
  </si>
  <si>
    <t>Column76</t>
  </si>
  <si>
    <t>Column75</t>
  </si>
  <si>
    <t>Column74</t>
  </si>
  <si>
    <t>Column73</t>
  </si>
  <si>
    <t>Column72</t>
  </si>
  <si>
    <t>Column71</t>
  </si>
  <si>
    <t>Column70</t>
  </si>
  <si>
    <t>Column69</t>
  </si>
  <si>
    <t>Column68</t>
  </si>
  <si>
    <t>Column67</t>
  </si>
  <si>
    <t>Column66</t>
  </si>
  <si>
    <t>Column65</t>
  </si>
  <si>
    <t>Column64</t>
  </si>
  <si>
    <t>Column63</t>
  </si>
  <si>
    <t>Column62</t>
  </si>
  <si>
    <t>Column61</t>
  </si>
  <si>
    <t>Column60</t>
  </si>
  <si>
    <t>Column59</t>
  </si>
  <si>
    <t>Column58</t>
  </si>
  <si>
    <t>Column57</t>
  </si>
  <si>
    <t>Column56</t>
  </si>
  <si>
    <t>Column55</t>
  </si>
  <si>
    <t>Column54</t>
  </si>
  <si>
    <t>Column53</t>
  </si>
  <si>
    <t>Column52</t>
  </si>
  <si>
    <t>Column51</t>
  </si>
  <si>
    <t>Column50</t>
  </si>
  <si>
    <t>Column49</t>
  </si>
  <si>
    <t>Column48</t>
  </si>
  <si>
    <t>Column47</t>
  </si>
  <si>
    <t>Column46</t>
  </si>
  <si>
    <t>Column45</t>
  </si>
  <si>
    <t>Column44</t>
  </si>
  <si>
    <t>Column43</t>
  </si>
  <si>
    <t>Column42</t>
  </si>
  <si>
    <t>Column41</t>
  </si>
  <si>
    <t>Column40</t>
  </si>
  <si>
    <t>Column39</t>
  </si>
  <si>
    <t>Column38</t>
  </si>
  <si>
    <t>Column37</t>
  </si>
  <si>
    <t>Column36</t>
  </si>
  <si>
    <t>Column35</t>
  </si>
  <si>
    <t>Column34</t>
  </si>
  <si>
    <t>Column33</t>
  </si>
  <si>
    <t>Column32</t>
  </si>
  <si>
    <t>Column31</t>
  </si>
  <si>
    <t>Column30</t>
  </si>
  <si>
    <t>Column29</t>
  </si>
  <si>
    <t>Column28</t>
  </si>
  <si>
    <t>Column27</t>
  </si>
  <si>
    <t>Column26</t>
  </si>
  <si>
    <t>Column25</t>
  </si>
  <si>
    <t>Column24</t>
  </si>
  <si>
    <t>Column23</t>
  </si>
  <si>
    <t>Column22</t>
  </si>
  <si>
    <t>Column21</t>
  </si>
  <si>
    <t>Column20</t>
  </si>
  <si>
    <t>Column19</t>
  </si>
  <si>
    <t>Column18</t>
  </si>
  <si>
    <t>Column17</t>
  </si>
  <si>
    <t>Column16</t>
  </si>
  <si>
    <t>Column15</t>
  </si>
  <si>
    <t>Column14</t>
  </si>
  <si>
    <t>Column13</t>
  </si>
  <si>
    <t>Column12</t>
  </si>
  <si>
    <t>Column11</t>
  </si>
  <si>
    <t>Column10</t>
  </si>
  <si>
    <t>Column9</t>
  </si>
  <si>
    <t>Column8</t>
  </si>
  <si>
    <t>Column7</t>
  </si>
  <si>
    <t>Column6</t>
  </si>
  <si>
    <t>Column5</t>
  </si>
  <si>
    <t>Column4</t>
  </si>
  <si>
    <t>Column3</t>
  </si>
  <si>
    <t>Column2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</si>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</sst>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#,##0.000"/>
    <numFmt numFmtId="166" formatCode="0.0%"/>
    <numFmt numFmtId="167" formatCode="#,##0.0000"/>
    <numFmt numFmtId="168" formatCode="0.00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D45D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/>
      <diagonal/>
    </border>
    <border>
      <left/>
      <right style="medium">
        <color theme="9" tint="-0.24994659260841701"/>
      </right>
      <top style="medium">
        <color theme="9" tint="-0.24994659260841701"/>
      </top>
      <bottom/>
      <diagonal/>
    </border>
    <border>
      <left/>
      <right style="medium">
        <color theme="9" tint="-0.24994659260841701"/>
      </right>
      <top/>
      <bottom/>
      <diagonal/>
    </border>
    <border>
      <left style="medium">
        <color theme="9" tint="-0.24994659260841701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01"/>
      </left>
      <right style="medium">
        <color theme="9" tint="-0.24994659260841701"/>
      </right>
      <top style="medium">
        <color theme="9" tint="-0.24994659260841701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01"/>
      </left>
      <right style="medium">
        <color theme="9" tint="-0.24994659260841701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01"/>
      </left>
      <right style="medium">
        <color theme="9" tint="-0.24994659260841701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01"/>
      </left>
      <right/>
      <top/>
      <bottom style="medium">
        <color theme="9" tint="-0.24994659260841701"/>
      </bottom>
      <diagonal/>
    </border>
    <border>
      <left/>
      <right/>
      <top/>
      <bottom style="medium">
        <color theme="9" tint="-0.24994659260841701"/>
      </bottom>
      <diagonal/>
    </border>
    <border>
      <left/>
      <right style="medium">
        <color theme="9" tint="-0.24994659260841701"/>
      </right>
      <top/>
      <bottom style="medium">
        <color theme="9" tint="-0.24994659260841701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01"/>
      </left>
      <right style="medium">
        <color theme="9" tint="-0.24994659260841701"/>
      </right>
      <top/>
      <bottom style="medium">
        <color theme="9" tint="-0.24994659260841701"/>
      </bottom>
      <diagonal/>
    </border>
    <border>
      <left style="medium">
        <color theme="9" tint="-0.24994659260841701"/>
      </left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theme="9" tint="-0.24994659260841701"/>
      </left>
      <right style="medium">
        <color theme="9" tint="-0.24994659260841701"/>
      </right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1">
    <xf numFmtId="0" fontId="0" fillId="0" borderId="0" xfId="0"/>
    <xf numFmtId="164" fontId="0" fillId="0" borderId="0" xfId="1" applyNumberFormat="1" applyFont="1"/>
    <xf numFmtId="9" fontId="0" fillId="0" borderId="0" xfId="2" applyFont="1"/>
    <xf numFmtId="0" fontId="0" fillId="0" borderId="0" xfId="0" applyAlignment="1">
      <alignment horizontal="center"/>
    </xf>
    <xf numFmtId="4" fontId="0" fillId="0" borderId="0" xfId="0" applyNumberFormat="1"/>
    <xf numFmtId="6" fontId="0" fillId="0" borderId="0" xfId="0" applyNumberFormat="1"/>
    <xf numFmtId="0" fontId="3" fillId="2" borderId="1" xfId="0" applyFont="1" applyFill="1" applyBorder="1" applyAlignment="1">
      <alignment horizontal="centerContinuous"/>
    </xf>
    <xf numFmtId="0" fontId="0" fillId="2" borderId="2" xfId="0" applyFill="1" applyBorder="1" applyAlignment="1">
      <alignment horizontal="centerContinuous"/>
    </xf>
    <xf numFmtId="0" fontId="0" fillId="2" borderId="3" xfId="0" applyFill="1" applyBorder="1" applyAlignment="1">
      <alignment horizontal="centerContinuous"/>
    </xf>
    <xf numFmtId="0" fontId="4" fillId="2" borderId="4" xfId="0" applyFont="1" applyFill="1" applyBorder="1" applyAlignment="1">
      <alignment horizontal="centerContinuous"/>
    </xf>
    <xf numFmtId="0" fontId="0" fillId="2" borderId="5" xfId="0" applyFill="1" applyBorder="1" applyAlignment="1">
      <alignment horizontal="centerContinuous"/>
    </xf>
    <xf numFmtId="0" fontId="3" fillId="2" borderId="4" xfId="0" applyFont="1" applyFill="1" applyBorder="1" applyAlignment="1">
      <alignment horizontal="centerContinuous"/>
    </xf>
    <xf numFmtId="0" fontId="0" fillId="2" borderId="6" xfId="0" applyFill="1" applyBorder="1" applyAlignment="1">
      <alignment horizontal="centerContinuous"/>
    </xf>
    <xf numFmtId="0" fontId="4" fillId="2" borderId="7" xfId="0" applyFont="1" applyFill="1" applyBorder="1" applyAlignment="1">
      <alignment horizontal="centerContinuous"/>
    </xf>
    <xf numFmtId="0" fontId="0" fillId="2" borderId="8" xfId="0" applyFill="1" applyBorder="1" applyAlignment="1">
      <alignment horizontal="centerContinuous"/>
    </xf>
    <xf numFmtId="0" fontId="3" fillId="2" borderId="8" xfId="0" applyFont="1" applyFill="1" applyBorder="1" applyAlignment="1">
      <alignment horizontal="centerContinuous"/>
    </xf>
    <xf numFmtId="0" fontId="0" fillId="2" borderId="9" xfId="0" applyFill="1" applyBorder="1" applyAlignment="1">
      <alignment horizontal="centerContinuous"/>
    </xf>
    <xf numFmtId="0" fontId="3" fillId="0" borderId="10" xfId="0" applyFont="1" applyBorder="1" applyAlignment="1">
      <alignment horizontal="centerContinuous"/>
    </xf>
    <xf numFmtId="0" fontId="0" fillId="0" borderId="11" xfId="0" applyBorder="1" applyAlignment="1">
      <alignment horizontal="centerContinuous"/>
    </xf>
    <xf numFmtId="0" fontId="3" fillId="0" borderId="11" xfId="0" applyFont="1" applyBorder="1" applyAlignment="1">
      <alignment horizontal="centerContinuous"/>
    </xf>
    <xf numFmtId="0" fontId="0" fillId="0" borderId="12" xfId="0" applyBorder="1" applyAlignment="1">
      <alignment horizontal="centerContinuous"/>
    </xf>
    <xf numFmtId="0" fontId="3" fillId="3" borderId="1" xfId="0" applyFont="1" applyFill="1" applyBorder="1" applyAlignment="1">
      <alignment horizontal="centerContinuous"/>
    </xf>
    <xf numFmtId="0" fontId="3" fillId="3" borderId="2" xfId="0" applyFont="1" applyFill="1" applyBorder="1" applyAlignment="1">
      <alignment horizontal="centerContinuous"/>
    </xf>
    <xf numFmtId="0" fontId="3" fillId="3" borderId="3" xfId="0" applyFont="1" applyFill="1" applyBorder="1" applyAlignment="1">
      <alignment horizontal="centerContinuous"/>
    </xf>
    <xf numFmtId="0" fontId="3" fillId="4" borderId="4" xfId="0" applyFont="1" applyFill="1" applyBorder="1" applyAlignment="1">
      <alignment horizontal="centerContinuous"/>
    </xf>
    <xf numFmtId="0" fontId="3" fillId="4" borderId="5" xfId="0" applyFont="1" applyFill="1" applyBorder="1" applyAlignment="1">
      <alignment horizontal="centerContinuous"/>
    </xf>
    <xf numFmtId="0" fontId="3" fillId="4" borderId="6" xfId="0" applyFont="1" applyFill="1" applyBorder="1" applyAlignment="1">
      <alignment horizontal="centerContinuous"/>
    </xf>
    <xf numFmtId="0" fontId="3" fillId="5" borderId="13" xfId="0" applyFont="1" applyFill="1" applyBorder="1" applyAlignment="1">
      <alignment horizontal="centerContinuous"/>
    </xf>
    <xf numFmtId="0" fontId="3" fillId="5" borderId="14" xfId="0" applyFont="1" applyFill="1" applyBorder="1" applyAlignment="1">
      <alignment horizontal="centerContinuous"/>
    </xf>
    <xf numFmtId="0" fontId="3" fillId="5" borderId="8" xfId="0" applyFont="1" applyFill="1" applyBorder="1" applyAlignment="1">
      <alignment horizontal="centerContinuous"/>
    </xf>
    <xf numFmtId="0" fontId="3" fillId="5" borderId="15" xfId="0" applyFont="1" applyFill="1" applyBorder="1" applyAlignment="1">
      <alignment horizontal="centerContinuous"/>
    </xf>
    <xf numFmtId="0" fontId="3" fillId="6" borderId="10" xfId="0" applyFont="1" applyFill="1" applyBorder="1" applyAlignment="1">
      <alignment horizontal="centerContinuous"/>
    </xf>
    <xf numFmtId="0" fontId="3" fillId="6" borderId="11" xfId="0" applyFont="1" applyFill="1" applyBorder="1" applyAlignment="1">
      <alignment horizontal="centerContinuous"/>
    </xf>
    <xf numFmtId="0" fontId="3" fillId="6" borderId="12" xfId="0" applyFont="1" applyFill="1" applyBorder="1" applyAlignment="1">
      <alignment horizontal="centerContinuous"/>
    </xf>
    <xf numFmtId="0" fontId="3" fillId="7" borderId="10" xfId="0" applyFont="1" applyFill="1" applyBorder="1" applyAlignment="1">
      <alignment horizontal="centerContinuous"/>
    </xf>
    <xf numFmtId="0" fontId="3" fillId="7" borderId="11" xfId="0" applyFont="1" applyFill="1" applyBorder="1" applyAlignment="1">
      <alignment horizontal="centerContinuous"/>
    </xf>
    <xf numFmtId="0" fontId="3" fillId="7" borderId="12" xfId="0" applyFont="1" applyFill="1" applyBorder="1" applyAlignment="1">
      <alignment horizontal="centerContinuous"/>
    </xf>
    <xf numFmtId="0" fontId="0" fillId="0" borderId="16" xfId="0" applyBorder="1"/>
    <xf numFmtId="0" fontId="5" fillId="2" borderId="1" xfId="0" applyFont="1" applyFill="1" applyBorder="1" applyAlignment="1">
      <alignment horizontal="centerContinuous" vertical="center"/>
    </xf>
    <xf numFmtId="0" fontId="5" fillId="2" borderId="2" xfId="0" applyFont="1" applyFill="1" applyBorder="1" applyAlignment="1">
      <alignment horizontal="centerContinuous" vertical="center"/>
    </xf>
    <xf numFmtId="0" fontId="5" fillId="2" borderId="3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5" fillId="2" borderId="18" xfId="0" applyFont="1" applyFill="1" applyBorder="1" applyAlignment="1">
      <alignment horizontal="centerContinuous" vertical="center"/>
    </xf>
    <xf numFmtId="0" fontId="5" fillId="2" borderId="19" xfId="0" applyFont="1" applyFill="1" applyBorder="1" applyAlignment="1">
      <alignment horizontal="centerContinuous" vertical="center"/>
    </xf>
    <xf numFmtId="0" fontId="5" fillId="2" borderId="7" xfId="0" applyFont="1" applyFill="1" applyBorder="1" applyAlignment="1">
      <alignment horizontal="centerContinuous" vertical="center"/>
    </xf>
    <xf numFmtId="0" fontId="5" fillId="2" borderId="8" xfId="0" applyFont="1" applyFill="1" applyBorder="1" applyAlignment="1">
      <alignment horizontal="centerContinuous" vertical="center"/>
    </xf>
    <xf numFmtId="0" fontId="5" fillId="2" borderId="9" xfId="0" applyFont="1" applyFill="1" applyBorder="1" applyAlignment="1">
      <alignment horizontal="centerContinuous" vertical="center"/>
    </xf>
    <xf numFmtId="0" fontId="5" fillId="2" borderId="20" xfId="0" applyFont="1" applyFill="1" applyBorder="1" applyAlignment="1">
      <alignment horizontal="centerContinuous" vertical="center"/>
    </xf>
    <xf numFmtId="0" fontId="5" fillId="2" borderId="21" xfId="0" applyFont="1" applyFill="1" applyBorder="1" applyAlignment="1">
      <alignment horizontal="centerContinuous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0" xfId="0" applyFont="1" applyFill="1" applyAlignment="1">
      <alignment horizontal="centerContinuous" vertical="center"/>
    </xf>
    <xf numFmtId="0" fontId="5" fillId="2" borderId="23" xfId="0" applyFont="1" applyFill="1" applyBorder="1" applyAlignment="1">
      <alignment horizontal="centerContinuous" vertical="center"/>
    </xf>
    <xf numFmtId="0" fontId="5" fillId="2" borderId="24" xfId="0" applyFont="1" applyFill="1" applyBorder="1" applyAlignment="1">
      <alignment horizontal="centerContinuous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Continuous"/>
    </xf>
    <xf numFmtId="0" fontId="5" fillId="2" borderId="25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2" fillId="8" borderId="28" xfId="0" applyFont="1" applyFill="1" applyBorder="1"/>
    <xf numFmtId="6" fontId="0" fillId="0" borderId="29" xfId="0" applyNumberFormat="1" applyBorder="1"/>
    <xf numFmtId="6" fontId="0" fillId="0" borderId="16" xfId="0" applyNumberFormat="1" applyBorder="1"/>
    <xf numFmtId="8" fontId="0" fillId="2" borderId="29" xfId="0" applyNumberFormat="1" applyFill="1" applyBorder="1"/>
    <xf numFmtId="8" fontId="0" fillId="2" borderId="0" xfId="0" applyNumberFormat="1" applyFill="1"/>
    <xf numFmtId="8" fontId="0" fillId="2" borderId="16" xfId="0" applyNumberFormat="1" applyFill="1" applyBorder="1"/>
    <xf numFmtId="0" fontId="2" fillId="8" borderId="30" xfId="0" applyFont="1" applyFill="1" applyBorder="1"/>
    <xf numFmtId="6" fontId="0" fillId="2" borderId="31" xfId="0" applyNumberFormat="1" applyFill="1" applyBorder="1"/>
    <xf numFmtId="6" fontId="0" fillId="2" borderId="0" xfId="0" applyNumberFormat="1" applyFill="1"/>
    <xf numFmtId="6" fontId="0" fillId="2" borderId="32" xfId="0" applyNumberFormat="1" applyFill="1" applyBorder="1"/>
    <xf numFmtId="8" fontId="0" fillId="2" borderId="31" xfId="0" applyNumberFormat="1" applyFill="1" applyBorder="1"/>
    <xf numFmtId="8" fontId="0" fillId="2" borderId="32" xfId="0" applyNumberFormat="1" applyFill="1" applyBorder="1"/>
    <xf numFmtId="0" fontId="2" fillId="8" borderId="13" xfId="0" applyFont="1" applyFill="1" applyBorder="1"/>
    <xf numFmtId="6" fontId="0" fillId="2" borderId="33" xfId="0" applyNumberFormat="1" applyFill="1" applyBorder="1"/>
    <xf numFmtId="6" fontId="0" fillId="0" borderId="34" xfId="0" applyNumberFormat="1" applyBorder="1"/>
    <xf numFmtId="8" fontId="0" fillId="2" borderId="33" xfId="0" applyNumberFormat="1" applyFill="1" applyBorder="1"/>
    <xf numFmtId="8" fontId="0" fillId="2" borderId="34" xfId="0" applyNumberFormat="1" applyFill="1" applyBorder="1"/>
    <xf numFmtId="0" fontId="2" fillId="8" borderId="35" xfId="0" applyFont="1" applyFill="1" applyBorder="1"/>
    <xf numFmtId="6" fontId="0" fillId="9" borderId="24" xfId="0" applyNumberFormat="1" applyFill="1" applyBorder="1"/>
    <xf numFmtId="6" fontId="0" fillId="9" borderId="0" xfId="0" applyNumberFormat="1" applyFill="1"/>
    <xf numFmtId="6" fontId="0" fillId="9" borderId="23" xfId="0" applyNumberFormat="1" applyFill="1" applyBorder="1"/>
    <xf numFmtId="8" fontId="0" fillId="2" borderId="24" xfId="0" applyNumberFormat="1" applyFill="1" applyBorder="1"/>
    <xf numFmtId="8" fontId="0" fillId="2" borderId="23" xfId="0" applyNumberFormat="1" applyFill="1" applyBorder="1"/>
    <xf numFmtId="8" fontId="0" fillId="2" borderId="20" xfId="0" applyNumberFormat="1" applyFill="1" applyBorder="1"/>
    <xf numFmtId="8" fontId="0" fillId="2" borderId="21" xfId="0" applyNumberFormat="1" applyFill="1" applyBorder="1"/>
    <xf numFmtId="8" fontId="0" fillId="2" borderId="22" xfId="0" applyNumberFormat="1" applyFill="1" applyBorder="1"/>
    <xf numFmtId="6" fontId="0" fillId="2" borderId="24" xfId="0" applyNumberFormat="1" applyFill="1" applyBorder="1"/>
    <xf numFmtId="6" fontId="0" fillId="2" borderId="23" xfId="0" applyNumberFormat="1" applyFill="1" applyBorder="1"/>
    <xf numFmtId="4" fontId="0" fillId="2" borderId="20" xfId="0" applyNumberFormat="1" applyFill="1" applyBorder="1"/>
    <xf numFmtId="4" fontId="0" fillId="2" borderId="21" xfId="0" applyNumberFormat="1" applyFill="1" applyBorder="1"/>
    <xf numFmtId="4" fontId="0" fillId="2" borderId="22" xfId="0" applyNumberFormat="1" applyFill="1" applyBorder="1"/>
    <xf numFmtId="165" fontId="0" fillId="2" borderId="20" xfId="0" applyNumberFormat="1" applyFill="1" applyBorder="1"/>
    <xf numFmtId="165" fontId="0" fillId="2" borderId="21" xfId="0" applyNumberFormat="1" applyFill="1" applyBorder="1"/>
    <xf numFmtId="165" fontId="0" fillId="2" borderId="22" xfId="0" applyNumberFormat="1" applyFill="1" applyBorder="1"/>
    <xf numFmtId="0" fontId="6" fillId="0" borderId="3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32" xfId="0" applyFont="1" applyBorder="1" applyAlignment="1">
      <alignment horizontal="center"/>
    </xf>
    <xf numFmtId="0" fontId="2" fillId="8" borderId="36" xfId="0" applyFont="1" applyFill="1" applyBorder="1"/>
    <xf numFmtId="0" fontId="2" fillId="8" borderId="37" xfId="0" applyFont="1" applyFill="1" applyBorder="1"/>
    <xf numFmtId="0" fontId="2" fillId="8" borderId="38" xfId="0" applyFont="1" applyFill="1" applyBorder="1"/>
    <xf numFmtId="0" fontId="2" fillId="8" borderId="39" xfId="0" applyFont="1" applyFill="1" applyBorder="1"/>
    <xf numFmtId="4" fontId="0" fillId="2" borderId="24" xfId="0" applyNumberFormat="1" applyFill="1" applyBorder="1"/>
    <xf numFmtId="4" fontId="0" fillId="2" borderId="0" xfId="0" applyNumberFormat="1" applyFill="1"/>
    <xf numFmtId="4" fontId="0" fillId="2" borderId="23" xfId="0" applyNumberFormat="1" applyFill="1" applyBorder="1"/>
    <xf numFmtId="165" fontId="0" fillId="2" borderId="24" xfId="0" applyNumberFormat="1" applyFill="1" applyBorder="1"/>
    <xf numFmtId="165" fontId="0" fillId="2" borderId="0" xfId="0" applyNumberFormat="1" applyFill="1"/>
    <xf numFmtId="165" fontId="0" fillId="2" borderId="23" xfId="0" applyNumberFormat="1" applyFill="1" applyBorder="1"/>
    <xf numFmtId="0" fontId="2" fillId="8" borderId="40" xfId="0" applyFont="1" applyFill="1" applyBorder="1"/>
    <xf numFmtId="0" fontId="2" fillId="8" borderId="41" xfId="0" applyFont="1" applyFill="1" applyBorder="1"/>
    <xf numFmtId="0" fontId="2" fillId="8" borderId="42" xfId="0" applyFont="1" applyFill="1" applyBorder="1"/>
    <xf numFmtId="0" fontId="2" fillId="8" borderId="43" xfId="0" applyFont="1" applyFill="1" applyBorder="1"/>
    <xf numFmtId="0" fontId="6" fillId="0" borderId="44" xfId="0" applyFont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6" fillId="0" borderId="46" xfId="0" applyFont="1" applyBorder="1" applyAlignment="1">
      <alignment horizontal="center"/>
    </xf>
    <xf numFmtId="6" fontId="0" fillId="0" borderId="47" xfId="0" applyNumberFormat="1" applyBorder="1"/>
    <xf numFmtId="8" fontId="0" fillId="2" borderId="47" xfId="0" applyNumberFormat="1" applyFill="1" applyBorder="1"/>
    <xf numFmtId="6" fontId="0" fillId="2" borderId="44" xfId="0" applyNumberFormat="1" applyFill="1" applyBorder="1"/>
    <xf numFmtId="6" fontId="0" fillId="2" borderId="45" xfId="0" applyNumberFormat="1" applyFill="1" applyBorder="1"/>
    <xf numFmtId="6" fontId="0" fillId="2" borderId="46" xfId="0" applyNumberFormat="1" applyFill="1" applyBorder="1"/>
    <xf numFmtId="8" fontId="0" fillId="2" borderId="44" xfId="0" applyNumberFormat="1" applyFill="1" applyBorder="1"/>
    <xf numFmtId="8" fontId="0" fillId="2" borderId="45" xfId="0" applyNumberFormat="1" applyFill="1" applyBorder="1"/>
    <xf numFmtId="8" fontId="0" fillId="2" borderId="46" xfId="0" applyNumberFormat="1" applyFill="1" applyBorder="1"/>
    <xf numFmtId="6" fontId="0" fillId="2" borderId="48" xfId="0" applyNumberFormat="1" applyFill="1" applyBorder="1"/>
    <xf numFmtId="6" fontId="0" fillId="0" borderId="49" xfId="0" applyNumberFormat="1" applyBorder="1"/>
    <xf numFmtId="6" fontId="0" fillId="0" borderId="50" xfId="0" applyNumberFormat="1" applyBorder="1"/>
    <xf numFmtId="8" fontId="0" fillId="2" borderId="48" xfId="0" applyNumberFormat="1" applyFill="1" applyBorder="1"/>
    <xf numFmtId="8" fontId="0" fillId="2" borderId="49" xfId="0" applyNumberFormat="1" applyFill="1" applyBorder="1"/>
    <xf numFmtId="8" fontId="0" fillId="2" borderId="50" xfId="0" applyNumberFormat="1" applyFill="1" applyBorder="1"/>
    <xf numFmtId="6" fontId="0" fillId="9" borderId="51" xfId="0" applyNumberFormat="1" applyFill="1" applyBorder="1"/>
    <xf numFmtId="6" fontId="0" fillId="9" borderId="52" xfId="0" applyNumberFormat="1" applyFill="1" applyBorder="1"/>
    <xf numFmtId="6" fontId="0" fillId="9" borderId="53" xfId="0" applyNumberFormat="1" applyFill="1" applyBorder="1"/>
    <xf numFmtId="8" fontId="0" fillId="2" borderId="51" xfId="0" applyNumberFormat="1" applyFill="1" applyBorder="1"/>
    <xf numFmtId="8" fontId="0" fillId="2" borderId="52" xfId="0" applyNumberFormat="1" applyFill="1" applyBorder="1"/>
    <xf numFmtId="8" fontId="0" fillId="2" borderId="53" xfId="0" applyNumberFormat="1" applyFill="1" applyBorder="1"/>
    <xf numFmtId="6" fontId="0" fillId="2" borderId="51" xfId="0" applyNumberFormat="1" applyFill="1" applyBorder="1"/>
    <xf numFmtId="6" fontId="0" fillId="2" borderId="52" xfId="0" applyNumberFormat="1" applyFill="1" applyBorder="1"/>
    <xf numFmtId="6" fontId="0" fillId="2" borderId="53" xfId="0" applyNumberFormat="1" applyFill="1" applyBorder="1"/>
    <xf numFmtId="4" fontId="0" fillId="2" borderId="51" xfId="0" applyNumberFormat="1" applyFill="1" applyBorder="1"/>
    <xf numFmtId="4" fontId="0" fillId="2" borderId="52" xfId="0" applyNumberFormat="1" applyFill="1" applyBorder="1"/>
    <xf numFmtId="4" fontId="0" fillId="2" borderId="53" xfId="0" applyNumberFormat="1" applyFill="1" applyBorder="1"/>
    <xf numFmtId="165" fontId="0" fillId="2" borderId="51" xfId="0" applyNumberFormat="1" applyFill="1" applyBorder="1"/>
    <xf numFmtId="165" fontId="0" fillId="2" borderId="52" xfId="0" applyNumberFormat="1" applyFill="1" applyBorder="1"/>
    <xf numFmtId="165" fontId="0" fillId="2" borderId="53" xfId="0" applyNumberFormat="1" applyFill="1" applyBorder="1"/>
    <xf numFmtId="0" fontId="2" fillId="8" borderId="54" xfId="0" applyFont="1" applyFill="1" applyBorder="1"/>
    <xf numFmtId="6" fontId="0" fillId="0" borderId="55" xfId="0" applyNumberFormat="1" applyBorder="1"/>
    <xf numFmtId="6" fontId="0" fillId="0" borderId="56" xfId="0" applyNumberFormat="1" applyBorder="1"/>
    <xf numFmtId="8" fontId="0" fillId="0" borderId="55" xfId="0" applyNumberFormat="1" applyBorder="1"/>
    <xf numFmtId="8" fontId="0" fillId="0" borderId="56" xfId="0" applyNumberFormat="1" applyBorder="1"/>
    <xf numFmtId="0" fontId="2" fillId="8" borderId="57" xfId="0" applyFont="1" applyFill="1" applyBorder="1"/>
    <xf numFmtId="6" fontId="0" fillId="0" borderId="44" xfId="0" applyNumberFormat="1" applyBorder="1"/>
    <xf numFmtId="6" fontId="0" fillId="0" borderId="45" xfId="0" applyNumberFormat="1" applyBorder="1"/>
    <xf numFmtId="6" fontId="0" fillId="0" borderId="46" xfId="0" applyNumberFormat="1" applyBorder="1"/>
    <xf numFmtId="8" fontId="0" fillId="0" borderId="44" xfId="0" applyNumberFormat="1" applyBorder="1"/>
    <xf numFmtId="8" fontId="0" fillId="0" borderId="45" xfId="0" applyNumberFormat="1" applyBorder="1"/>
    <xf numFmtId="8" fontId="0" fillId="0" borderId="46" xfId="0" applyNumberFormat="1" applyBorder="1"/>
    <xf numFmtId="0" fontId="2" fillId="8" borderId="48" xfId="0" applyFont="1" applyFill="1" applyBorder="1"/>
    <xf numFmtId="6" fontId="0" fillId="0" borderId="48" xfId="0" applyNumberFormat="1" applyBorder="1"/>
    <xf numFmtId="8" fontId="0" fillId="0" borderId="48" xfId="0" applyNumberFormat="1" applyBorder="1"/>
    <xf numFmtId="8" fontId="0" fillId="0" borderId="49" xfId="0" applyNumberFormat="1" applyBorder="1"/>
    <xf numFmtId="8" fontId="0" fillId="0" borderId="50" xfId="0" applyNumberFormat="1" applyBorder="1"/>
    <xf numFmtId="0" fontId="2" fillId="8" borderId="58" xfId="0" applyFont="1" applyFill="1" applyBorder="1"/>
    <xf numFmtId="6" fontId="0" fillId="0" borderId="51" xfId="0" applyNumberFormat="1" applyBorder="1"/>
    <xf numFmtId="6" fontId="0" fillId="0" borderId="52" xfId="0" applyNumberFormat="1" applyBorder="1"/>
    <xf numFmtId="6" fontId="0" fillId="0" borderId="53" xfId="0" applyNumberFormat="1" applyBorder="1"/>
    <xf numFmtId="8" fontId="0" fillId="0" borderId="51" xfId="0" applyNumberFormat="1" applyBorder="1"/>
    <xf numFmtId="8" fontId="0" fillId="0" borderId="52" xfId="0" applyNumberFormat="1" applyBorder="1"/>
    <xf numFmtId="8" fontId="0" fillId="0" borderId="53" xfId="0" applyNumberFormat="1" applyBorder="1"/>
    <xf numFmtId="6" fontId="3" fillId="5" borderId="13" xfId="0" applyNumberFormat="1" applyFont="1" applyFill="1" applyBorder="1" applyAlignment="1">
      <alignment horizontal="centerContinuous"/>
    </xf>
    <xf numFmtId="6" fontId="3" fillId="5" borderId="14" xfId="0" applyNumberFormat="1" applyFont="1" applyFill="1" applyBorder="1" applyAlignment="1">
      <alignment horizontal="centerContinuous"/>
    </xf>
    <xf numFmtId="6" fontId="3" fillId="5" borderId="8" xfId="0" applyNumberFormat="1" applyFont="1" applyFill="1" applyBorder="1" applyAlignment="1">
      <alignment horizontal="centerContinuous"/>
    </xf>
    <xf numFmtId="6" fontId="5" fillId="2" borderId="7" xfId="0" applyNumberFormat="1" applyFont="1" applyFill="1" applyBorder="1" applyAlignment="1">
      <alignment horizontal="centerContinuous" vertical="center"/>
    </xf>
    <xf numFmtId="6" fontId="5" fillId="2" borderId="8" xfId="0" applyNumberFormat="1" applyFont="1" applyFill="1" applyBorder="1" applyAlignment="1">
      <alignment horizontal="centerContinuous" vertical="center"/>
    </xf>
    <xf numFmtId="6" fontId="5" fillId="2" borderId="9" xfId="0" applyNumberFormat="1" applyFont="1" applyFill="1" applyBorder="1" applyAlignment="1">
      <alignment horizontal="centerContinuous" vertical="center"/>
    </xf>
    <xf numFmtId="6" fontId="5" fillId="2" borderId="7" xfId="0" applyNumberFormat="1" applyFont="1" applyFill="1" applyBorder="1" applyAlignment="1">
      <alignment horizontal="center" vertical="center" wrapText="1"/>
    </xf>
    <xf numFmtId="6" fontId="5" fillId="2" borderId="8" xfId="0" applyNumberFormat="1" applyFont="1" applyFill="1" applyBorder="1" applyAlignment="1">
      <alignment horizontal="center" vertical="center" wrapText="1"/>
    </xf>
    <xf numFmtId="6" fontId="5" fillId="2" borderId="9" xfId="0" applyNumberFormat="1" applyFont="1" applyFill="1" applyBorder="1" applyAlignment="1">
      <alignment horizontal="center" vertical="center" wrapText="1"/>
    </xf>
    <xf numFmtId="6" fontId="0" fillId="2" borderId="29" xfId="0" applyNumberFormat="1" applyFill="1" applyBorder="1"/>
    <xf numFmtId="6" fontId="0" fillId="2" borderId="16" xfId="0" applyNumberFormat="1" applyFill="1" applyBorder="1"/>
    <xf numFmtId="6" fontId="0" fillId="2" borderId="34" xfId="0" applyNumberFormat="1" applyFill="1" applyBorder="1"/>
    <xf numFmtId="6" fontId="0" fillId="2" borderId="47" xfId="0" applyNumberFormat="1" applyFill="1" applyBorder="1"/>
    <xf numFmtId="6" fontId="0" fillId="2" borderId="49" xfId="0" applyNumberFormat="1" applyFill="1" applyBorder="1"/>
    <xf numFmtId="6" fontId="0" fillId="2" borderId="50" xfId="0" applyNumberFormat="1" applyFill="1" applyBorder="1"/>
    <xf numFmtId="8" fontId="0" fillId="0" borderId="0" xfId="0" applyNumberFormat="1"/>
    <xf numFmtId="0" fontId="0" fillId="10" borderId="0" xfId="0" applyFill="1"/>
    <xf numFmtId="3" fontId="0" fillId="0" borderId="0" xfId="0" applyNumberFormat="1"/>
    <xf numFmtId="0" fontId="5" fillId="7" borderId="10" xfId="0" applyFont="1" applyFill="1" applyBorder="1" applyAlignment="1">
      <alignment horizontal="centerContinuous" vertical="center"/>
    </xf>
    <xf numFmtId="0" fontId="5" fillId="7" borderId="11" xfId="0" applyFont="1" applyFill="1" applyBorder="1" applyAlignment="1">
      <alignment horizontal="centerContinuous" vertical="center"/>
    </xf>
    <xf numFmtId="0" fontId="5" fillId="7" borderId="12" xfId="0" applyFont="1" applyFill="1" applyBorder="1" applyAlignment="1">
      <alignment horizontal="centerContinuous" vertical="center"/>
    </xf>
    <xf numFmtId="0" fontId="5" fillId="2" borderId="10" xfId="0" applyFont="1" applyFill="1" applyBorder="1" applyAlignment="1">
      <alignment horizontal="centerContinuous" vertical="center"/>
    </xf>
    <xf numFmtId="0" fontId="5" fillId="2" borderId="11" xfId="0" applyFont="1" applyFill="1" applyBorder="1" applyAlignment="1">
      <alignment horizontal="centerContinuous" vertical="center"/>
    </xf>
    <xf numFmtId="0" fontId="5" fillId="2" borderId="12" xfId="0" applyFont="1" applyFill="1" applyBorder="1" applyAlignment="1">
      <alignment horizontal="centerContinuous" vertical="center"/>
    </xf>
    <xf numFmtId="0" fontId="5" fillId="2" borderId="59" xfId="0" applyFont="1" applyFill="1" applyBorder="1" applyAlignment="1">
      <alignment horizontal="center" vertical="center" wrapText="1"/>
    </xf>
    <xf numFmtId="3" fontId="0" fillId="0" borderId="29" xfId="0" applyNumberFormat="1" applyBorder="1"/>
    <xf numFmtId="3" fontId="0" fillId="0" borderId="16" xfId="0" applyNumberFormat="1" applyBorder="1"/>
    <xf numFmtId="3" fontId="0" fillId="2" borderId="29" xfId="0" applyNumberFormat="1" applyFill="1" applyBorder="1"/>
    <xf numFmtId="3" fontId="0" fillId="2" borderId="0" xfId="0" applyNumberFormat="1" applyFill="1"/>
    <xf numFmtId="3" fontId="0" fillId="2" borderId="16" xfId="0" applyNumberFormat="1" applyFill="1" applyBorder="1"/>
    <xf numFmtId="3" fontId="0" fillId="2" borderId="31" xfId="0" applyNumberFormat="1" applyFill="1" applyBorder="1"/>
    <xf numFmtId="3" fontId="0" fillId="2" borderId="32" xfId="0" applyNumberFormat="1" applyFill="1" applyBorder="1"/>
    <xf numFmtId="3" fontId="0" fillId="0" borderId="33" xfId="0" applyNumberFormat="1" applyBorder="1"/>
    <xf numFmtId="3" fontId="0" fillId="0" borderId="34" xfId="0" applyNumberFormat="1" applyBorder="1"/>
    <xf numFmtId="3" fontId="0" fillId="2" borderId="34" xfId="0" applyNumberFormat="1" applyFill="1" applyBorder="1"/>
    <xf numFmtId="3" fontId="0" fillId="2" borderId="24" xfId="0" applyNumberFormat="1" applyFill="1" applyBorder="1"/>
    <xf numFmtId="3" fontId="0" fillId="2" borderId="23" xfId="0" applyNumberFormat="1" applyFill="1" applyBorder="1"/>
    <xf numFmtId="3" fontId="0" fillId="2" borderId="20" xfId="0" applyNumberFormat="1" applyFill="1" applyBorder="1"/>
    <xf numFmtId="3" fontId="0" fillId="2" borderId="21" xfId="0" applyNumberFormat="1" applyFill="1" applyBorder="1"/>
    <xf numFmtId="3" fontId="0" fillId="2" borderId="22" xfId="0" applyNumberFormat="1" applyFill="1" applyBorder="1"/>
    <xf numFmtId="3" fontId="0" fillId="0" borderId="22" xfId="0" applyNumberFormat="1" applyBorder="1"/>
    <xf numFmtId="3" fontId="0" fillId="2" borderId="35" xfId="0" applyNumberFormat="1" applyFill="1" applyBorder="1"/>
    <xf numFmtId="3" fontId="0" fillId="0" borderId="23" xfId="0" applyNumberFormat="1" applyBorder="1"/>
    <xf numFmtId="3" fontId="0" fillId="2" borderId="60" xfId="0" applyNumberFormat="1" applyFill="1" applyBorder="1"/>
    <xf numFmtId="3" fontId="0" fillId="0" borderId="47" xfId="0" applyNumberFormat="1" applyBorder="1"/>
    <xf numFmtId="3" fontId="0" fillId="2" borderId="44" xfId="0" applyNumberFormat="1" applyFill="1" applyBorder="1"/>
    <xf numFmtId="3" fontId="0" fillId="2" borderId="45" xfId="0" applyNumberFormat="1" applyFill="1" applyBorder="1"/>
    <xf numFmtId="3" fontId="0" fillId="2" borderId="46" xfId="0" applyNumberFormat="1" applyFill="1" applyBorder="1"/>
    <xf numFmtId="3" fontId="0" fillId="0" borderId="48" xfId="0" applyNumberFormat="1" applyBorder="1"/>
    <xf numFmtId="3" fontId="0" fillId="0" borderId="49" xfId="0" applyNumberFormat="1" applyBorder="1"/>
    <xf numFmtId="3" fontId="0" fillId="0" borderId="50" xfId="0" applyNumberFormat="1" applyBorder="1"/>
    <xf numFmtId="3" fontId="0" fillId="2" borderId="49" xfId="0" applyNumberFormat="1" applyFill="1" applyBorder="1"/>
    <xf numFmtId="3" fontId="0" fillId="2" borderId="50" xfId="0" applyNumberFormat="1" applyFill="1" applyBorder="1"/>
    <xf numFmtId="3" fontId="0" fillId="2" borderId="51" xfId="0" applyNumberFormat="1" applyFill="1" applyBorder="1"/>
    <xf numFmtId="3" fontId="0" fillId="2" borderId="52" xfId="0" applyNumberFormat="1" applyFill="1" applyBorder="1"/>
    <xf numFmtId="3" fontId="0" fillId="2" borderId="53" xfId="0" applyNumberFormat="1" applyFill="1" applyBorder="1"/>
    <xf numFmtId="3" fontId="0" fillId="0" borderId="53" xfId="0" applyNumberFormat="1" applyBorder="1"/>
    <xf numFmtId="3" fontId="0" fillId="2" borderId="58" xfId="0" applyNumberFormat="1" applyFill="1" applyBorder="1"/>
    <xf numFmtId="0" fontId="4" fillId="0" borderId="0" xfId="0" applyFont="1" applyAlignment="1">
      <alignment horizontal="right"/>
    </xf>
    <xf numFmtId="0" fontId="6" fillId="0" borderId="61" xfId="0" applyFont="1" applyBorder="1" applyAlignment="1">
      <alignment horizontal="center"/>
    </xf>
    <xf numFmtId="3" fontId="0" fillId="0" borderId="55" xfId="0" applyNumberFormat="1" applyBorder="1"/>
    <xf numFmtId="3" fontId="0" fillId="0" borderId="56" xfId="0" applyNumberFormat="1" applyBorder="1"/>
    <xf numFmtId="3" fontId="0" fillId="0" borderId="44" xfId="0" applyNumberFormat="1" applyBorder="1"/>
    <xf numFmtId="3" fontId="0" fillId="0" borderId="45" xfId="0" applyNumberFormat="1" applyBorder="1"/>
    <xf numFmtId="3" fontId="0" fillId="0" borderId="46" xfId="0" applyNumberFormat="1" applyBorder="1"/>
    <xf numFmtId="3" fontId="0" fillId="2" borderId="48" xfId="0" applyNumberFormat="1" applyFill="1" applyBorder="1"/>
    <xf numFmtId="3" fontId="0" fillId="0" borderId="51" xfId="0" applyNumberFormat="1" applyBorder="1"/>
    <xf numFmtId="3" fontId="0" fillId="0" borderId="52" xfId="0" applyNumberFormat="1" applyBorder="1"/>
    <xf numFmtId="3" fontId="0" fillId="0" borderId="10" xfId="0" applyNumberFormat="1" applyBorder="1"/>
    <xf numFmtId="3" fontId="0" fillId="0" borderId="12" xfId="0" applyNumberFormat="1" applyBorder="1"/>
    <xf numFmtId="3" fontId="0" fillId="0" borderId="11" xfId="0" applyNumberFormat="1" applyBorder="1"/>
    <xf numFmtId="3" fontId="0" fillId="0" borderId="59" xfId="0" applyNumberFormat="1" applyBorder="1"/>
    <xf numFmtId="9" fontId="0" fillId="0" borderId="0" xfId="0" applyNumberFormat="1"/>
    <xf numFmtId="166" fontId="0" fillId="0" borderId="0" xfId="0" applyNumberFormat="1"/>
    <xf numFmtId="0" fontId="0" fillId="2" borderId="0" xfId="0" applyFill="1"/>
    <xf numFmtId="10" fontId="0" fillId="2" borderId="29" xfId="0" applyNumberFormat="1" applyFill="1" applyBorder="1"/>
    <xf numFmtId="10" fontId="0" fillId="2" borderId="0" xfId="0" applyNumberFormat="1" applyFill="1"/>
    <xf numFmtId="10" fontId="0" fillId="2" borderId="16" xfId="0" applyNumberFormat="1" applyFill="1" applyBorder="1"/>
    <xf numFmtId="10" fontId="0" fillId="2" borderId="31" xfId="0" applyNumberFormat="1" applyFill="1" applyBorder="1"/>
    <xf numFmtId="10" fontId="0" fillId="2" borderId="32" xfId="0" applyNumberFormat="1" applyFill="1" applyBorder="1"/>
    <xf numFmtId="10" fontId="0" fillId="2" borderId="33" xfId="0" applyNumberFormat="1" applyFill="1" applyBorder="1"/>
    <xf numFmtId="10" fontId="0" fillId="2" borderId="34" xfId="0" applyNumberFormat="1" applyFill="1" applyBorder="1"/>
    <xf numFmtId="3" fontId="0" fillId="2" borderId="33" xfId="0" applyNumberFormat="1" applyFill="1" applyBorder="1"/>
    <xf numFmtId="10" fontId="0" fillId="2" borderId="24" xfId="0" applyNumberFormat="1" applyFill="1" applyBorder="1"/>
    <xf numFmtId="10" fontId="0" fillId="2" borderId="23" xfId="0" applyNumberFormat="1" applyFill="1" applyBorder="1"/>
    <xf numFmtId="3" fontId="7" fillId="0" borderId="24" xfId="0" applyNumberFormat="1" applyFont="1" applyBorder="1"/>
    <xf numFmtId="3" fontId="7" fillId="0" borderId="0" xfId="0" applyNumberFormat="1" applyFont="1"/>
    <xf numFmtId="3" fontId="7" fillId="0" borderId="23" xfId="0" applyNumberFormat="1" applyFont="1" applyBorder="1"/>
    <xf numFmtId="166" fontId="0" fillId="2" borderId="24" xfId="0" applyNumberFormat="1" applyFill="1" applyBorder="1"/>
    <xf numFmtId="166" fontId="0" fillId="2" borderId="0" xfId="0" applyNumberFormat="1" applyFill="1"/>
    <xf numFmtId="166" fontId="0" fillId="2" borderId="23" xfId="0" applyNumberFormat="1" applyFill="1" applyBorder="1"/>
    <xf numFmtId="167" fontId="0" fillId="0" borderId="0" xfId="0" applyNumberFormat="1"/>
    <xf numFmtId="10" fontId="0" fillId="2" borderId="47" xfId="0" applyNumberFormat="1" applyFill="1" applyBorder="1"/>
    <xf numFmtId="3" fontId="0" fillId="2" borderId="47" xfId="0" applyNumberFormat="1" applyFill="1" applyBorder="1"/>
    <xf numFmtId="10" fontId="0" fillId="2" borderId="44" xfId="0" applyNumberFormat="1" applyFill="1" applyBorder="1"/>
    <xf numFmtId="10" fontId="0" fillId="2" borderId="45" xfId="0" applyNumberFormat="1" applyFill="1" applyBorder="1"/>
    <xf numFmtId="10" fontId="0" fillId="2" borderId="46" xfId="0" applyNumberFormat="1" applyFill="1" applyBorder="1"/>
    <xf numFmtId="10" fontId="0" fillId="2" borderId="48" xfId="0" applyNumberFormat="1" applyFill="1" applyBorder="1"/>
    <xf numFmtId="10" fontId="0" fillId="2" borderId="49" xfId="0" applyNumberFormat="1" applyFill="1" applyBorder="1"/>
    <xf numFmtId="10" fontId="0" fillId="2" borderId="50" xfId="0" applyNumberFormat="1" applyFill="1" applyBorder="1"/>
    <xf numFmtId="10" fontId="0" fillId="2" borderId="51" xfId="0" applyNumberFormat="1" applyFill="1" applyBorder="1"/>
    <xf numFmtId="10" fontId="0" fillId="2" borderId="52" xfId="0" applyNumberFormat="1" applyFill="1" applyBorder="1"/>
    <xf numFmtId="10" fontId="0" fillId="2" borderId="53" xfId="0" applyNumberFormat="1" applyFill="1" applyBorder="1"/>
    <xf numFmtId="3" fontId="7" fillId="0" borderId="51" xfId="0" applyNumberFormat="1" applyFont="1" applyBorder="1"/>
    <xf numFmtId="3" fontId="7" fillId="0" borderId="52" xfId="0" applyNumberFormat="1" applyFont="1" applyBorder="1"/>
    <xf numFmtId="3" fontId="7" fillId="0" borderId="53" xfId="0" applyNumberFormat="1" applyFont="1" applyBorder="1"/>
    <xf numFmtId="166" fontId="0" fillId="2" borderId="51" xfId="0" applyNumberFormat="1" applyFill="1" applyBorder="1"/>
    <xf numFmtId="166" fontId="0" fillId="2" borderId="52" xfId="0" applyNumberFormat="1" applyFill="1" applyBorder="1"/>
    <xf numFmtId="166" fontId="0" fillId="2" borderId="53" xfId="0" applyNumberFormat="1" applyFill="1" applyBorder="1"/>
    <xf numFmtId="10" fontId="0" fillId="11" borderId="55" xfId="0" applyNumberFormat="1" applyFill="1" applyBorder="1"/>
    <xf numFmtId="10" fontId="0" fillId="11" borderId="56" xfId="0" applyNumberFormat="1" applyFill="1" applyBorder="1"/>
    <xf numFmtId="10" fontId="0" fillId="11" borderId="44" xfId="0" applyNumberFormat="1" applyFill="1" applyBorder="1"/>
    <xf numFmtId="10" fontId="0" fillId="11" borderId="45" xfId="0" applyNumberFormat="1" applyFill="1" applyBorder="1"/>
    <xf numFmtId="10" fontId="0" fillId="11" borderId="46" xfId="0" applyNumberFormat="1" applyFill="1" applyBorder="1"/>
    <xf numFmtId="10" fontId="0" fillId="11" borderId="48" xfId="0" applyNumberFormat="1" applyFill="1" applyBorder="1"/>
    <xf numFmtId="10" fontId="0" fillId="11" borderId="49" xfId="0" applyNumberFormat="1" applyFill="1" applyBorder="1"/>
    <xf numFmtId="10" fontId="0" fillId="11" borderId="50" xfId="0" applyNumberFormat="1" applyFill="1" applyBorder="1"/>
    <xf numFmtId="0" fontId="0" fillId="11" borderId="51" xfId="0" applyFill="1" applyBorder="1"/>
    <xf numFmtId="0" fontId="0" fillId="11" borderId="52" xfId="0" applyFill="1" applyBorder="1"/>
    <xf numFmtId="0" fontId="0" fillId="11" borderId="53" xfId="0" applyFill="1" applyBorder="1"/>
    <xf numFmtId="3" fontId="7" fillId="11" borderId="51" xfId="0" applyNumberFormat="1" applyFont="1" applyFill="1" applyBorder="1"/>
    <xf numFmtId="3" fontId="7" fillId="11" borderId="52" xfId="0" applyNumberFormat="1" applyFont="1" applyFill="1" applyBorder="1"/>
    <xf numFmtId="3" fontId="7" fillId="11" borderId="53" xfId="0" applyNumberFormat="1" applyFont="1" applyFill="1" applyBorder="1"/>
    <xf numFmtId="10" fontId="0" fillId="0" borderId="0" xfId="0" applyNumberFormat="1"/>
    <xf numFmtId="0" fontId="8" fillId="2" borderId="1" xfId="0" applyFont="1" applyFill="1" applyBorder="1" applyAlignment="1">
      <alignment horizontal="centerContinuous" vertical="center"/>
    </xf>
    <xf numFmtId="0" fontId="8" fillId="2" borderId="2" xfId="0" applyFont="1" applyFill="1" applyBorder="1" applyAlignment="1">
      <alignment horizontal="centerContinuous" vertical="center"/>
    </xf>
    <xf numFmtId="0" fontId="8" fillId="2" borderId="3" xfId="0" applyFont="1" applyFill="1" applyBorder="1" applyAlignment="1">
      <alignment horizontal="centerContinuous" vertical="center"/>
    </xf>
    <xf numFmtId="0" fontId="8" fillId="2" borderId="20" xfId="0" applyFont="1" applyFill="1" applyBorder="1" applyAlignment="1">
      <alignment horizontal="centerContinuous" vertical="center"/>
    </xf>
    <xf numFmtId="0" fontId="8" fillId="2" borderId="21" xfId="0" applyFont="1" applyFill="1" applyBorder="1" applyAlignment="1">
      <alignment horizontal="centerContinuous" vertical="center"/>
    </xf>
    <xf numFmtId="0" fontId="8" fillId="2" borderId="22" xfId="0" applyFont="1" applyFill="1" applyBorder="1" applyAlignment="1">
      <alignment horizontal="centerContinuous" vertical="center"/>
    </xf>
    <xf numFmtId="0" fontId="8" fillId="2" borderId="0" xfId="0" applyFont="1" applyFill="1" applyAlignment="1">
      <alignment horizontal="centerContinuous" vertical="center"/>
    </xf>
    <xf numFmtId="0" fontId="8" fillId="2" borderId="23" xfId="0" applyFont="1" applyFill="1" applyBorder="1" applyAlignment="1">
      <alignment horizontal="centerContinuous" vertical="center"/>
    </xf>
    <xf numFmtId="0" fontId="5" fillId="7" borderId="59" xfId="0" applyFont="1" applyFill="1" applyBorder="1" applyAlignment="1">
      <alignment horizontal="centerContinuous" vertical="center" wrapText="1"/>
    </xf>
    <xf numFmtId="166" fontId="0" fillId="2" borderId="29" xfId="0" applyNumberFormat="1" applyFill="1" applyBorder="1"/>
    <xf numFmtId="166" fontId="0" fillId="2" borderId="16" xfId="0" applyNumberFormat="1" applyFill="1" applyBorder="1"/>
    <xf numFmtId="166" fontId="0" fillId="2" borderId="31" xfId="0" applyNumberFormat="1" applyFill="1" applyBorder="1"/>
    <xf numFmtId="166" fontId="0" fillId="2" borderId="32" xfId="0" applyNumberFormat="1" applyFill="1" applyBorder="1"/>
    <xf numFmtId="166" fontId="0" fillId="2" borderId="33" xfId="0" applyNumberFormat="1" applyFill="1" applyBorder="1"/>
    <xf numFmtId="166" fontId="0" fillId="2" borderId="34" xfId="0" applyNumberFormat="1" applyFill="1" applyBorder="1"/>
    <xf numFmtId="166" fontId="0" fillId="2" borderId="20" xfId="0" applyNumberFormat="1" applyFill="1" applyBorder="1"/>
    <xf numFmtId="166" fontId="0" fillId="2" borderId="21" xfId="0" applyNumberFormat="1" applyFill="1" applyBorder="1"/>
    <xf numFmtId="166" fontId="0" fillId="2" borderId="22" xfId="0" applyNumberFormat="1" applyFill="1" applyBorder="1"/>
    <xf numFmtId="3" fontId="0" fillId="11" borderId="24" xfId="0" applyNumberFormat="1" applyFill="1" applyBorder="1"/>
    <xf numFmtId="3" fontId="0" fillId="11" borderId="0" xfId="0" applyNumberFormat="1" applyFill="1"/>
    <xf numFmtId="3" fontId="0" fillId="11" borderId="23" xfId="0" applyNumberFormat="1" applyFill="1" applyBorder="1"/>
    <xf numFmtId="166" fontId="0" fillId="11" borderId="20" xfId="0" applyNumberFormat="1" applyFill="1" applyBorder="1"/>
    <xf numFmtId="166" fontId="0" fillId="11" borderId="21" xfId="0" applyNumberFormat="1" applyFill="1" applyBorder="1"/>
    <xf numFmtId="166" fontId="0" fillId="11" borderId="22" xfId="0" applyNumberFormat="1" applyFill="1" applyBorder="1"/>
    <xf numFmtId="166" fontId="0" fillId="0" borderId="60" xfId="0" applyNumberFormat="1" applyBorder="1"/>
    <xf numFmtId="166" fontId="0" fillId="11" borderId="24" xfId="0" applyNumberFormat="1" applyFill="1" applyBorder="1"/>
    <xf numFmtId="166" fontId="0" fillId="11" borderId="0" xfId="0" applyNumberFormat="1" applyFill="1"/>
    <xf numFmtId="166" fontId="0" fillId="11" borderId="23" xfId="0" applyNumberFormat="1" applyFill="1" applyBorder="1"/>
    <xf numFmtId="166" fontId="0" fillId="2" borderId="47" xfId="0" applyNumberFormat="1" applyFill="1" applyBorder="1"/>
    <xf numFmtId="166" fontId="0" fillId="2" borderId="44" xfId="0" applyNumberFormat="1" applyFill="1" applyBorder="1"/>
    <xf numFmtId="166" fontId="0" fillId="2" borderId="45" xfId="0" applyNumberFormat="1" applyFill="1" applyBorder="1"/>
    <xf numFmtId="166" fontId="0" fillId="2" borderId="46" xfId="0" applyNumberFormat="1" applyFill="1" applyBorder="1"/>
    <xf numFmtId="166" fontId="0" fillId="2" borderId="48" xfId="0" applyNumberFormat="1" applyFill="1" applyBorder="1"/>
    <xf numFmtId="166" fontId="0" fillId="2" borderId="49" xfId="0" applyNumberFormat="1" applyFill="1" applyBorder="1"/>
    <xf numFmtId="166" fontId="0" fillId="2" borderId="50" xfId="0" applyNumberFormat="1" applyFill="1" applyBorder="1"/>
    <xf numFmtId="3" fontId="0" fillId="11" borderId="51" xfId="0" applyNumberFormat="1" applyFill="1" applyBorder="1"/>
    <xf numFmtId="3" fontId="0" fillId="11" borderId="52" xfId="0" applyNumberFormat="1" applyFill="1" applyBorder="1"/>
    <xf numFmtId="3" fontId="0" fillId="11" borderId="53" xfId="0" applyNumberFormat="1" applyFill="1" applyBorder="1"/>
    <xf numFmtId="166" fontId="0" fillId="11" borderId="52" xfId="0" applyNumberFormat="1" applyFill="1" applyBorder="1"/>
    <xf numFmtId="166" fontId="0" fillId="11" borderId="53" xfId="0" applyNumberFormat="1" applyFill="1" applyBorder="1"/>
    <xf numFmtId="166" fontId="0" fillId="0" borderId="58" xfId="0" applyNumberFormat="1" applyBorder="1"/>
    <xf numFmtId="166" fontId="0" fillId="0" borderId="55" xfId="0" applyNumberFormat="1" applyBorder="1"/>
    <xf numFmtId="166" fontId="0" fillId="0" borderId="56" xfId="0" applyNumberFormat="1" applyBorder="1"/>
    <xf numFmtId="166" fontId="0" fillId="0" borderId="44" xfId="0" applyNumberFormat="1" applyBorder="1"/>
    <xf numFmtId="166" fontId="0" fillId="0" borderId="45" xfId="0" applyNumberFormat="1" applyBorder="1"/>
    <xf numFmtId="166" fontId="0" fillId="0" borderId="46" xfId="0" applyNumberFormat="1" applyBorder="1"/>
    <xf numFmtId="166" fontId="0" fillId="0" borderId="48" xfId="0" applyNumberFormat="1" applyBorder="1"/>
    <xf numFmtId="166" fontId="0" fillId="0" borderId="49" xfId="0" applyNumberFormat="1" applyBorder="1"/>
    <xf numFmtId="166" fontId="0" fillId="0" borderId="50" xfId="0" applyNumberFormat="1" applyBorder="1"/>
    <xf numFmtId="166" fontId="0" fillId="0" borderId="51" xfId="0" applyNumberFormat="1" applyBorder="1"/>
    <xf numFmtId="166" fontId="0" fillId="0" borderId="52" xfId="0" applyNumberFormat="1" applyBorder="1"/>
    <xf numFmtId="166" fontId="0" fillId="0" borderId="53" xfId="0" applyNumberFormat="1" applyBorder="1"/>
    <xf numFmtId="0" fontId="3" fillId="5" borderId="7" xfId="0" applyFont="1" applyFill="1" applyBorder="1" applyAlignment="1">
      <alignment horizontal="centerContinuous"/>
    </xf>
    <xf numFmtId="0" fontId="3" fillId="5" borderId="9" xfId="0" applyFont="1" applyFill="1" applyBorder="1" applyAlignment="1">
      <alignment horizontal="centerContinuous"/>
    </xf>
    <xf numFmtId="6" fontId="0" fillId="0" borderId="33" xfId="0" applyNumberFormat="1" applyBorder="1"/>
    <xf numFmtId="8" fontId="0" fillId="0" borderId="22" xfId="0" applyNumberFormat="1" applyBorder="1"/>
    <xf numFmtId="8" fontId="0" fillId="0" borderId="23" xfId="0" applyNumberFormat="1" applyBorder="1"/>
    <xf numFmtId="8" fontId="0" fillId="0" borderId="10" xfId="0" applyNumberFormat="1" applyBorder="1"/>
    <xf numFmtId="8" fontId="0" fillId="0" borderId="12" xfId="0" applyNumberFormat="1" applyBorder="1"/>
    <xf numFmtId="6" fontId="0" fillId="2" borderId="20" xfId="0" applyNumberFormat="1" applyFill="1" applyBorder="1"/>
    <xf numFmtId="6" fontId="0" fillId="2" borderId="21" xfId="0" applyNumberFormat="1" applyFill="1" applyBorder="1"/>
    <xf numFmtId="6" fontId="0" fillId="2" borderId="22" xfId="0" applyNumberFormat="1" applyFill="1" applyBorder="1"/>
    <xf numFmtId="168" fontId="0" fillId="0" borderId="0" xfId="0" applyNumberFormat="1"/>
    <xf numFmtId="0" fontId="0" fillId="0" borderId="29" xfId="0" applyBorder="1"/>
    <xf numFmtId="166" fontId="0" fillId="0" borderId="24" xfId="0" applyNumberFormat="1" applyBorder="1"/>
    <xf numFmtId="166" fontId="0" fillId="0" borderId="23" xfId="0" applyNumberFormat="1" applyBorder="1"/>
    <xf numFmtId="165" fontId="0" fillId="0" borderId="20" xfId="0" applyNumberFormat="1" applyBorder="1"/>
    <xf numFmtId="165" fontId="0" fillId="0" borderId="21" xfId="0" applyNumberFormat="1" applyBorder="1"/>
    <xf numFmtId="165" fontId="0" fillId="0" borderId="22" xfId="0" applyNumberFormat="1" applyBorder="1"/>
    <xf numFmtId="165" fontId="0" fillId="0" borderId="24" xfId="0" applyNumberFormat="1" applyBorder="1"/>
    <xf numFmtId="165" fontId="0" fillId="0" borderId="0" xfId="0" applyNumberFormat="1"/>
    <xf numFmtId="165" fontId="0" fillId="0" borderId="23" xfId="0" applyNumberFormat="1" applyBorder="1"/>
    <xf numFmtId="165" fontId="0" fillId="0" borderId="51" xfId="0" applyNumberFormat="1" applyBorder="1"/>
    <xf numFmtId="165" fontId="0" fillId="0" borderId="52" xfId="0" applyNumberFormat="1" applyBorder="1"/>
    <xf numFmtId="165" fontId="0" fillId="0" borderId="53" xfId="0" applyNumberFormat="1" applyBorder="1"/>
    <xf numFmtId="0" fontId="9" fillId="0" borderId="0" xfId="0" applyFont="1"/>
    <xf numFmtId="3" fontId="7" fillId="11" borderId="24" xfId="0" applyNumberFormat="1" applyFont="1" applyFill="1" applyBorder="1"/>
    <xf numFmtId="3" fontId="7" fillId="11" borderId="0" xfId="0" applyNumberFormat="1" applyFont="1" applyFill="1"/>
    <xf numFmtId="3" fontId="7" fillId="11" borderId="23" xfId="0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hgazure-my.sharepoint.com/personal/satyam_dwivedi_optum_com/Documents/Microsoft%20Teams%20Chat%20Files/RPT%202025.10.03%20v22.07_8Dec-%20Weightloss,%20Drug%20Level%20Lift%20-%20With%20Data.xlsb" TargetMode="External"/><Relationship Id="rId1" Type="http://schemas.openxmlformats.org/officeDocument/2006/relationships/externalLinkPath" Target="https://uhgazure-my.sharepoint.com/personal/satyam_dwivedi_optum_com/Documents/Microsoft%20Teams%20Chat%20Files/RPT%202025.10.03%20v22.07_8Dec-%20Weightloss,%20Drug%20Level%20Lift%20-%20With%20Data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5">
          <cell r="C5" t="str">
            <v>RPT 2025.10.03 v22.06.xlsb</v>
          </cell>
        </row>
        <row r="30">
          <cell r="K30" t="str">
            <v>Premium-HPGOO-GOV, with 4 UMs: Db Mi Re Sp</v>
          </cell>
        </row>
        <row r="38">
          <cell r="K38" t="str">
            <v>&lt;N/A&gt;</v>
          </cell>
        </row>
        <row r="39">
          <cell r="K39" t="str">
            <v>OFF</v>
          </cell>
        </row>
        <row r="42">
          <cell r="K42" t="str">
            <v>&lt;N/A&gt;</v>
          </cell>
        </row>
        <row r="43">
          <cell r="K43" t="str">
            <v>OFF</v>
          </cell>
        </row>
        <row r="49">
          <cell r="L49">
            <v>45985.373738425929</v>
          </cell>
        </row>
        <row r="50">
          <cell r="L50">
            <v>45985.373877314814</v>
          </cell>
        </row>
        <row r="53">
          <cell r="L53" t="str">
            <v>Premium CY24 Smaller BoB</v>
          </cell>
        </row>
        <row r="58">
          <cell r="L58"/>
        </row>
        <row r="63">
          <cell r="L63" t="str">
            <v>Auto</v>
          </cell>
        </row>
        <row r="64">
          <cell r="L64" t="str">
            <v>Medispan</v>
          </cell>
        </row>
        <row r="66">
          <cell r="L66" t="str">
            <v>NULL</v>
          </cell>
        </row>
        <row r="67">
          <cell r="L67" t="str">
            <v>{Same as Formulary Category}</v>
          </cell>
        </row>
        <row r="68">
          <cell r="L68"/>
        </row>
        <row r="73">
          <cell r="L73">
            <v>45292</v>
          </cell>
        </row>
        <row r="74">
          <cell r="L74">
            <v>45657</v>
          </cell>
        </row>
        <row r="75">
          <cell r="L75">
            <v>45474</v>
          </cell>
        </row>
        <row r="76">
          <cell r="L76">
            <v>12</v>
          </cell>
        </row>
        <row r="77">
          <cell r="L77">
            <v>4195209</v>
          </cell>
        </row>
        <row r="78">
          <cell r="L78">
            <v>284331166.8779999</v>
          </cell>
        </row>
        <row r="79">
          <cell r="L79">
            <v>168335603</v>
          </cell>
        </row>
        <row r="81">
          <cell r="L81">
            <v>46569</v>
          </cell>
        </row>
        <row r="82">
          <cell r="L82">
            <v>46934</v>
          </cell>
        </row>
        <row r="83">
          <cell r="L83">
            <v>46753</v>
          </cell>
        </row>
        <row r="96">
          <cell r="K96" t="str">
            <v>Premium CY24 Smaller BoB</v>
          </cell>
        </row>
        <row r="97">
          <cell r="K97" t="str">
            <v>Commercial</v>
          </cell>
        </row>
        <row r="98">
          <cell r="K98" t="str">
            <v>No</v>
          </cell>
        </row>
        <row r="101">
          <cell r="K101" t="str">
            <v>No</v>
          </cell>
          <cell r="L101" t="str">
            <v>No</v>
          </cell>
        </row>
        <row r="102">
          <cell r="K102">
            <v>3</v>
          </cell>
          <cell r="L102">
            <v>3</v>
          </cell>
        </row>
        <row r="104">
          <cell r="K104" t="str">
            <v>Medispan w Override</v>
          </cell>
        </row>
        <row r="105">
          <cell r="K105" t="str">
            <v>ORx Standard</v>
          </cell>
        </row>
        <row r="107">
          <cell r="K107" t="str">
            <v>Include ALL</v>
          </cell>
        </row>
        <row r="110">
          <cell r="K110" t="str">
            <v>No</v>
          </cell>
        </row>
        <row r="113">
          <cell r="K113" t="str">
            <v>Non-Sp</v>
          </cell>
        </row>
        <row r="114">
          <cell r="K114" t="str">
            <v>Non-Sp</v>
          </cell>
        </row>
        <row r="115">
          <cell r="K115" t="str">
            <v>Sp</v>
          </cell>
        </row>
        <row r="116">
          <cell r="K116" t="str">
            <v>Sp</v>
          </cell>
        </row>
        <row r="117">
          <cell r="K117" t="str">
            <v>Sp</v>
          </cell>
        </row>
        <row r="118">
          <cell r="K118" t="str">
            <v>Non-Sp</v>
          </cell>
        </row>
        <row r="119">
          <cell r="K119" t="str">
            <v>Non-Sp</v>
          </cell>
        </row>
        <row r="121">
          <cell r="K121" t="str">
            <v>oGLP-1 Rebate Lift</v>
          </cell>
        </row>
        <row r="123">
          <cell r="K123" t="str">
            <v>No</v>
          </cell>
        </row>
        <row r="125">
          <cell r="K125" t="str">
            <v>Yes</v>
          </cell>
        </row>
        <row r="130">
          <cell r="K130" t="str">
            <v>Include</v>
          </cell>
        </row>
        <row r="133">
          <cell r="K133" t="str">
            <v>Include</v>
          </cell>
        </row>
        <row r="134">
          <cell r="K134" t="str">
            <v>Include</v>
          </cell>
        </row>
        <row r="135">
          <cell r="K135" t="str">
            <v>Include</v>
          </cell>
        </row>
        <row r="136">
          <cell r="K136" t="str">
            <v>Include</v>
          </cell>
        </row>
        <row r="137">
          <cell r="K137" t="str">
            <v>Include</v>
          </cell>
        </row>
        <row r="138">
          <cell r="K138" t="str">
            <v>Include</v>
          </cell>
        </row>
        <row r="139">
          <cell r="K139" t="str">
            <v>Include</v>
          </cell>
        </row>
        <row r="140">
          <cell r="K140" t="str">
            <v>Include</v>
          </cell>
        </row>
        <row r="141">
          <cell r="K141" t="str">
            <v>Include</v>
          </cell>
        </row>
        <row r="142">
          <cell r="K142" t="str">
            <v>Include</v>
          </cell>
        </row>
        <row r="143">
          <cell r="K143" t="str">
            <v>Include</v>
          </cell>
        </row>
        <row r="144">
          <cell r="K144" t="str">
            <v>Include</v>
          </cell>
        </row>
        <row r="145">
          <cell r="K145" t="str">
            <v>Include</v>
          </cell>
        </row>
        <row r="146">
          <cell r="K146" t="str">
            <v>Include</v>
          </cell>
        </row>
        <row r="147">
          <cell r="K147" t="str">
            <v>Include</v>
          </cell>
        </row>
        <row r="148">
          <cell r="K148" t="str">
            <v>Include</v>
          </cell>
          <cell r="M148" t="str">
            <v>ENTER DESC</v>
          </cell>
        </row>
        <row r="149">
          <cell r="M149" t="str">
            <v>Yes</v>
          </cell>
        </row>
        <row r="155">
          <cell r="K155" t="str">
            <v>Yes</v>
          </cell>
        </row>
        <row r="157">
          <cell r="K157" t="str">
            <v>No</v>
          </cell>
        </row>
        <row r="160">
          <cell r="K160" t="str">
            <v>Yes</v>
          </cell>
        </row>
        <row r="164">
          <cell r="K164" t="str">
            <v>Commercial - Standard UM w/ Copay</v>
          </cell>
        </row>
        <row r="165">
          <cell r="K165">
            <v>0</v>
          </cell>
        </row>
        <row r="172">
          <cell r="K172" t="str">
            <v>No</v>
          </cell>
        </row>
        <row r="177">
          <cell r="K177" t="str">
            <v>No</v>
          </cell>
        </row>
        <row r="178">
          <cell r="K178"/>
        </row>
        <row r="179">
          <cell r="K179" t="str">
            <v>Remove Rebates; Excl Util</v>
          </cell>
        </row>
        <row r="183">
          <cell r="K183" t="str">
            <v>Yes</v>
          </cell>
        </row>
      </sheetData>
      <sheetData sheetId="2">
        <row r="3">
          <cell r="C3">
            <v>959</v>
          </cell>
        </row>
        <row r="9">
          <cell r="B9" t="str">
            <v>Key</v>
          </cell>
          <cell r="C9" t="str">
            <v>Formulary</v>
          </cell>
          <cell r="AJ9" t="str">
            <v>07/31 - 06/32</v>
          </cell>
        </row>
        <row r="10">
          <cell r="C10" t="str">
            <v>PP_OO_DbMiReSp_GOV</v>
          </cell>
        </row>
      </sheetData>
      <sheetData sheetId="3">
        <row r="9">
          <cell r="Z9" t="str">
            <v>Key</v>
          </cell>
        </row>
        <row r="10">
          <cell r="B10" t="str">
            <v>PP_OO_DbMiReSp_GOV</v>
          </cell>
        </row>
      </sheetData>
      <sheetData sheetId="4">
        <row r="1">
          <cell r="AZ1" t="str">
            <v>'RA Output'!$AZ$10:$AZ$1472</v>
          </cell>
          <cell r="BA1" t="str">
            <v>'RA Output'!$BA$10:$BA$1472</v>
          </cell>
          <cell r="BB1" t="str">
            <v>'RA Output'!$BB$10:$BB$1472</v>
          </cell>
          <cell r="BC1" t="str">
            <v>'RA Output'!$BC$10:$BC$1472</v>
          </cell>
          <cell r="BD1" t="str">
            <v>'RA Output'!$BD$10:$BD$1472</v>
          </cell>
          <cell r="BP1" t="str">
            <v>'RA Output'!$BP$10:$BP$1472</v>
          </cell>
          <cell r="BQ1" t="str">
            <v>'RA Output'!$BQ$10:$BQ$1472</v>
          </cell>
          <cell r="BR1" t="str">
            <v>'RA Output'!$BR$10:$BR$1472</v>
          </cell>
          <cell r="BS1" t="str">
            <v>'RA Output'!$BS$10:$BS$1472</v>
          </cell>
          <cell r="BT1" t="str">
            <v>'RA Output'!$BT$10:$BT$1472</v>
          </cell>
          <cell r="BU1" t="str">
            <v>'RA Output'!$BU$10:$BU$1472</v>
          </cell>
          <cell r="BV1" t="str">
            <v>'RA Output'!$BV$10:$BV$1472</v>
          </cell>
          <cell r="BW1" t="str">
            <v>'RA Output'!$BW$10:$BW$1472</v>
          </cell>
          <cell r="BX1" t="str">
            <v>'RA Output'!$BX$10:$BX$1472</v>
          </cell>
          <cell r="BY1" t="str">
            <v>'RA Output'!$BY$10:$BY$1472</v>
          </cell>
          <cell r="BZ1" t="str">
            <v>'RA Output'!$BZ$10:$BZ$1472</v>
          </cell>
          <cell r="CA1" t="str">
            <v>'RA Output'!$CA$10:$CA$1472</v>
          </cell>
          <cell r="CB1" t="str">
            <v>'RA Output'!$CB$10:$CB$1472</v>
          </cell>
          <cell r="CC1" t="str">
            <v>'RA Output'!$CC$10:$CC$1472</v>
          </cell>
          <cell r="CD1" t="str">
            <v>'RA Output'!$CD$10:$CD$1472</v>
          </cell>
          <cell r="CE1" t="str">
            <v>'RA Output'!$CE$10:$CE$1472</v>
          </cell>
          <cell r="CF1" t="str">
            <v>'RA Output'!$CF$10:$CF$1472</v>
          </cell>
          <cell r="CG1" t="str">
            <v>'RA Output'!$CG$10:$CG$1472</v>
          </cell>
          <cell r="CH1" t="str">
            <v>'RA Output'!$CH$10:$CH$1472</v>
          </cell>
          <cell r="CI1" t="str">
            <v>'RA Output'!$CI$10:$CI$1472</v>
          </cell>
          <cell r="CP1" t="str">
            <v>'RA Output'!$CP$10:$CP$1472</v>
          </cell>
          <cell r="CQ1" t="str">
            <v>'RA Output'!$CQ$10:$CQ$1472</v>
          </cell>
          <cell r="CR1" t="str">
            <v>'RA Output'!$CR$10:$CR$1472</v>
          </cell>
          <cell r="CS1" t="str">
            <v>'RA Output'!$CS$10:$CS$1472</v>
          </cell>
          <cell r="CT1" t="str">
            <v>'RA Output'!$CT$10:$CT$1472</v>
          </cell>
          <cell r="CU1" t="str">
            <v>'RA Output'!$CU$10:$CU$1472</v>
          </cell>
          <cell r="CV1" t="str">
            <v>'RA Output'!$CV$10:$CV$1472</v>
          </cell>
          <cell r="CW1" t="str">
            <v>'RA Output'!$CW$10:$CW$1472</v>
          </cell>
          <cell r="CX1" t="str">
            <v>'RA Output'!$CX$10:$CX$1472</v>
          </cell>
          <cell r="CY1" t="str">
            <v>'RA Output'!$CY$10:$CY$1472</v>
          </cell>
          <cell r="CZ1" t="str">
            <v>'RA Output'!$CZ$10:$CZ$1472</v>
          </cell>
          <cell r="DA1" t="str">
            <v>'RA Output'!$DA$10:$DA$1472</v>
          </cell>
          <cell r="DB1" t="str">
            <v>'RA Output'!$DB$10:$DB$1472</v>
          </cell>
          <cell r="DC1" t="str">
            <v>'RA Output'!$DC$10:$DC$1472</v>
          </cell>
          <cell r="DD1" t="str">
            <v>'RA Output'!$DD$10:$DD$1472</v>
          </cell>
          <cell r="DE1" t="str">
            <v>'RA Output'!$DE$10:$DE$1472</v>
          </cell>
          <cell r="DF1" t="str">
            <v>'RA Output'!$DF$10:$DF$1472</v>
          </cell>
          <cell r="DG1" t="str">
            <v>'RA Output'!$DG$10:$DG$1472</v>
          </cell>
          <cell r="DH1" t="str">
            <v>'RA Output'!$DH$10:$DH$1472</v>
          </cell>
          <cell r="DI1" t="str">
            <v>'RA Output'!$DI$10:$DI$1472</v>
          </cell>
          <cell r="DP1" t="str">
            <v>'RA Output'!$DP$10:$DP$1472</v>
          </cell>
          <cell r="DQ1" t="str">
            <v>'RA Output'!$DQ$10:$DQ$1472</v>
          </cell>
          <cell r="DR1" t="str">
            <v>'RA Output'!$DR$10:$DR$1472</v>
          </cell>
          <cell r="DS1" t="str">
            <v>'RA Output'!$DS$10:$DS$1472</v>
          </cell>
          <cell r="DT1" t="str">
            <v>'RA Output'!$DT$10:$DT$1472</v>
          </cell>
          <cell r="EQ1" t="str">
            <v>'RA Output'!$EQ$10:$EQ$1472</v>
          </cell>
          <cell r="ER1" t="str">
            <v>'RA Output'!$ER$10:$ER$1472</v>
          </cell>
          <cell r="ES1" t="str">
            <v>'RA Output'!$ES$10:$ES$1472</v>
          </cell>
          <cell r="ET1" t="str">
            <v>'RA Output'!$ET$10:$ET$1472</v>
          </cell>
          <cell r="EU1" t="str">
            <v>'RA Output'!$EU$10:$EU$1472</v>
          </cell>
        </row>
        <row r="4">
          <cell r="C4">
            <v>1472</v>
          </cell>
          <cell r="AY4">
            <v>2026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</row>
        <row r="5">
          <cell r="AY5">
            <v>2027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</row>
        <row r="9">
          <cell r="B9" t="str">
            <v>Formulary</v>
          </cell>
          <cell r="C9" t="str">
            <v>NDC11</v>
          </cell>
          <cell r="D9" t="str">
            <v>Drug Name</v>
          </cell>
          <cell r="E9" t="str">
            <v>Drug Type</v>
          </cell>
          <cell r="F9" t="str">
            <v>G/B Medispan w Override</v>
          </cell>
          <cell r="G9" t="str">
            <v>G/B (Alternative)</v>
          </cell>
          <cell r="H9" t="str">
            <v>Specialty Ind (ORx Std)</v>
          </cell>
          <cell r="I9" t="str">
            <v>Specialty Ind (Alternative)</v>
          </cell>
          <cell r="J9" t="str">
            <v>Mail Ind</v>
          </cell>
          <cell r="K9" t="str">
            <v>DS Range</v>
          </cell>
          <cell r="M9" t="str">
            <v>Exclusion Code</v>
          </cell>
          <cell r="N9" t="str">
            <v>Inclusion Code</v>
          </cell>
          <cell r="O9" t="str">
            <v>MSB Indicator (Shift to Gs)</v>
          </cell>
          <cell r="P9" t="str">
            <v>Maint Drug</v>
          </cell>
          <cell r="Q9" t="str">
            <v>340B Rejection Fctr</v>
          </cell>
          <cell r="R9" t="str">
            <v>Therapeutic Class</v>
          </cell>
          <cell r="S9" t="str">
            <v>Base Yr</v>
          </cell>
          <cell r="T9" t="str">
            <v>Base Yr</v>
          </cell>
          <cell r="U9" t="str">
            <v>Base Yr</v>
          </cell>
          <cell r="V9" t="str">
            <v>07/27 - 06/28</v>
          </cell>
          <cell r="W9" t="str">
            <v>07/28 - 06/29</v>
          </cell>
          <cell r="X9" t="str">
            <v>07/29 - 06/30</v>
          </cell>
          <cell r="Y9" t="str">
            <v>07/30 - 06/31</v>
          </cell>
          <cell r="Z9" t="str">
            <v>07/31 - 06/32</v>
          </cell>
          <cell r="AA9" t="str">
            <v>Base Yr</v>
          </cell>
          <cell r="AB9" t="str">
            <v>07/27 - 06/28</v>
          </cell>
          <cell r="AC9" t="str">
            <v>07/28 - 06/29</v>
          </cell>
          <cell r="AD9" t="str">
            <v>07/29 - 06/30</v>
          </cell>
          <cell r="AE9" t="str">
            <v>07/30 - 06/31</v>
          </cell>
          <cell r="AF9" t="str">
            <v>07/31 - 06/32</v>
          </cell>
          <cell r="AT9" t="str">
            <v>Selected Exclusion Ind</v>
          </cell>
          <cell r="AU9" t="str">
            <v>Selected Excl Desc</v>
          </cell>
          <cell r="AV9" t="str">
            <v>Exclusion Year Ind</v>
          </cell>
          <cell r="AW9" t="str">
            <v>Selected Generic Ind</v>
          </cell>
          <cell r="AX9" t="str">
            <v>Selected Specialty Ind</v>
          </cell>
          <cell r="AY9" t="str">
            <v>Selected Sp Inclusion Ind</v>
          </cell>
          <cell r="AZ9" t="str">
            <v>07/27 - 06/28</v>
          </cell>
          <cell r="BA9" t="str">
            <v>07/28 - 06/29</v>
          </cell>
          <cell r="BB9" t="str">
            <v>07/29 - 06/30</v>
          </cell>
          <cell r="BC9" t="str">
            <v>07/30 - 06/31</v>
          </cell>
          <cell r="BD9" t="str">
            <v>07/31 - 06/32</v>
          </cell>
          <cell r="BE9" t="str">
            <v>07/27 - 06/28</v>
          </cell>
          <cell r="BF9" t="str">
            <v>07/28 - 06/29</v>
          </cell>
          <cell r="BG9" t="str">
            <v>07/29 - 06/30</v>
          </cell>
          <cell r="BH9" t="str">
            <v>07/30 - 06/31</v>
          </cell>
          <cell r="BI9" t="str">
            <v>07/31 - 06/32</v>
          </cell>
          <cell r="BK9" t="str">
            <v>07/27 - 06/28</v>
          </cell>
          <cell r="BL9" t="str">
            <v>07/28 - 06/29</v>
          </cell>
          <cell r="BM9" t="str">
            <v>07/29 - 06/30</v>
          </cell>
          <cell r="BN9" t="str">
            <v>07/30 - 06/31</v>
          </cell>
          <cell r="BO9" t="str">
            <v>07/31 - 06/32</v>
          </cell>
          <cell r="BP9" t="str">
            <v>07/27 - 06/28</v>
          </cell>
          <cell r="BQ9" t="str">
            <v>07/28 - 06/29</v>
          </cell>
          <cell r="BR9" t="str">
            <v>07/29 - 06/30</v>
          </cell>
          <cell r="BS9" t="str">
            <v>07/30 - 06/31</v>
          </cell>
          <cell r="BT9" t="str">
            <v>07/31 - 06/32</v>
          </cell>
          <cell r="BU9" t="str">
            <v>07/27 - 06/28</v>
          </cell>
          <cell r="BV9" t="str">
            <v>07/28 - 06/29</v>
          </cell>
          <cell r="BW9" t="str">
            <v>07/29 - 06/30</v>
          </cell>
          <cell r="BX9" t="str">
            <v>07/30 - 06/31</v>
          </cell>
          <cell r="BY9" t="str">
            <v>07/31 - 06/32</v>
          </cell>
          <cell r="BZ9" t="str">
            <v>07/27 - 06/28</v>
          </cell>
          <cell r="CA9" t="str">
            <v>07/28 - 06/29</v>
          </cell>
          <cell r="CB9" t="str">
            <v>07/29 - 06/30</v>
          </cell>
          <cell r="CC9" t="str">
            <v>07/30 - 06/31</v>
          </cell>
          <cell r="CD9" t="str">
            <v>07/31 - 06/32</v>
          </cell>
          <cell r="CE9" t="str">
            <v>07/27 - 06/28</v>
          </cell>
          <cell r="CF9" t="str">
            <v>07/28 - 06/29</v>
          </cell>
          <cell r="CG9" t="str">
            <v>07/29 - 06/30</v>
          </cell>
          <cell r="CH9" t="str">
            <v>07/30 - 06/31</v>
          </cell>
          <cell r="CI9" t="str">
            <v>07/31 - 06/32</v>
          </cell>
          <cell r="CK9" t="str">
            <v>07/27 - 06/28</v>
          </cell>
          <cell r="CL9" t="str">
            <v>07/28 - 06/29</v>
          </cell>
          <cell r="CM9" t="str">
            <v>07/29 - 06/30</v>
          </cell>
          <cell r="CN9" t="str">
            <v>07/30 - 06/31</v>
          </cell>
          <cell r="CO9" t="str">
            <v>07/31 - 06/32</v>
          </cell>
          <cell r="CP9" t="str">
            <v>07/27 - 06/28</v>
          </cell>
          <cell r="CQ9" t="str">
            <v>07/28 - 06/29</v>
          </cell>
          <cell r="CR9" t="str">
            <v>07/29 - 06/30</v>
          </cell>
          <cell r="CS9" t="str">
            <v>07/30 - 06/31</v>
          </cell>
          <cell r="CT9" t="str">
            <v>07/31 - 06/32</v>
          </cell>
          <cell r="CU9" t="str">
            <v>07/27 - 06/28</v>
          </cell>
          <cell r="CV9" t="str">
            <v>07/28 - 06/29</v>
          </cell>
          <cell r="CW9" t="str">
            <v>07/29 - 06/30</v>
          </cell>
          <cell r="CX9" t="str">
            <v>07/30 - 06/31</v>
          </cell>
          <cell r="CY9" t="str">
            <v>07/31 - 06/32</v>
          </cell>
          <cell r="CZ9" t="str">
            <v>07/27 - 06/28</v>
          </cell>
          <cell r="DA9" t="str">
            <v>07/28 - 06/29</v>
          </cell>
          <cell r="DB9" t="str">
            <v>07/29 - 06/30</v>
          </cell>
          <cell r="DC9" t="str">
            <v>07/30 - 06/31</v>
          </cell>
          <cell r="DD9" t="str">
            <v>07/31 - 06/32</v>
          </cell>
          <cell r="DE9" t="str">
            <v>07/27 - 06/28</v>
          </cell>
          <cell r="DF9" t="str">
            <v>07/28 - 06/29</v>
          </cell>
          <cell r="DG9" t="str">
            <v>07/29 - 06/30</v>
          </cell>
          <cell r="DH9" t="str">
            <v>07/30 - 06/31</v>
          </cell>
          <cell r="DI9" t="str">
            <v>07/31 - 06/32</v>
          </cell>
          <cell r="DK9" t="str">
            <v>07/27 - 06/28</v>
          </cell>
          <cell r="DL9" t="str">
            <v>07/28 - 06/29</v>
          </cell>
          <cell r="DM9" t="str">
            <v>07/29 - 06/30</v>
          </cell>
          <cell r="DN9" t="str">
            <v>07/30 - 06/31</v>
          </cell>
          <cell r="DO9" t="str">
            <v>07/31 - 06/32</v>
          </cell>
          <cell r="DP9" t="str">
            <v>07/27 - 06/28</v>
          </cell>
          <cell r="DQ9" t="str">
            <v>07/28 - 06/29</v>
          </cell>
          <cell r="DR9" t="str">
            <v>07/29 - 06/30</v>
          </cell>
          <cell r="DS9" t="str">
            <v>07/30 - 06/31</v>
          </cell>
          <cell r="DT9" t="str">
            <v>07/31 - 06/32</v>
          </cell>
          <cell r="DU9" t="str">
            <v>07/27 - 06/28</v>
          </cell>
          <cell r="DV9" t="str">
            <v>07/28 - 06/29</v>
          </cell>
          <cell r="DW9" t="str">
            <v>07/29 - 06/30</v>
          </cell>
          <cell r="DX9" t="str">
            <v>07/30 - 06/31</v>
          </cell>
          <cell r="DY9" t="str">
            <v>07/31 - 06/32</v>
          </cell>
          <cell r="DZ9" t="str">
            <v>07/27 - 06/28</v>
          </cell>
          <cell r="EA9" t="str">
            <v>07/28 - 06/29</v>
          </cell>
          <cell r="EB9" t="str">
            <v>07/29 - 06/30</v>
          </cell>
          <cell r="EC9" t="str">
            <v>07/30 - 06/31</v>
          </cell>
          <cell r="ED9" t="str">
            <v>07/31 - 06/32</v>
          </cell>
          <cell r="EE9" t="str">
            <v>07/27 - 06/28</v>
          </cell>
          <cell r="EF9" t="str">
            <v>07/28 - 06/29</v>
          </cell>
          <cell r="EG9" t="str">
            <v>07/29 - 06/30</v>
          </cell>
          <cell r="EH9" t="str">
            <v>07/30 - 06/31</v>
          </cell>
          <cell r="EI9" t="str">
            <v>07/31 - 06/32</v>
          </cell>
          <cell r="EK9" t="str">
            <v>07/27 - 06/28</v>
          </cell>
          <cell r="EL9" t="str">
            <v>07/28 - 06/29</v>
          </cell>
          <cell r="EM9" t="str">
            <v>07/29 - 06/30</v>
          </cell>
          <cell r="EN9" t="str">
            <v>07/30 - 06/31</v>
          </cell>
          <cell r="EO9" t="str">
            <v>07/31 - 06/32</v>
          </cell>
          <cell r="EQ9" t="str">
            <v>07/27 - 06/28</v>
          </cell>
          <cell r="ER9" t="str">
            <v>07/28 - 06/29</v>
          </cell>
          <cell r="ES9" t="str">
            <v>07/29 - 06/30</v>
          </cell>
          <cell r="ET9" t="str">
            <v>07/30 - 06/31</v>
          </cell>
          <cell r="EU9" t="str">
            <v>07/31 - 06/32</v>
          </cell>
          <cell r="EW9" t="str">
            <v>07/27 - 06/28</v>
          </cell>
          <cell r="EX9" t="str">
            <v>07/28 - 06/29</v>
          </cell>
          <cell r="EY9" t="str">
            <v>07/29 - 06/30</v>
          </cell>
          <cell r="EZ9" t="str">
            <v>07/30 - 06/31</v>
          </cell>
          <cell r="FA9" t="str">
            <v>07/31 - 06/32</v>
          </cell>
          <cell r="FC9" t="str">
            <v>07/27 - 06/28</v>
          </cell>
          <cell r="FD9" t="str">
            <v>07/28 - 06/29</v>
          </cell>
          <cell r="FE9" t="str">
            <v>07/29 - 06/30</v>
          </cell>
          <cell r="FF9" t="str">
            <v>07/30 - 06/31</v>
          </cell>
          <cell r="FG9" t="str">
            <v>07/31 - 06/32</v>
          </cell>
          <cell r="FI9" t="str">
            <v>07/27 - 06/28</v>
          </cell>
          <cell r="FJ9" t="str">
            <v>07/28 - 06/29</v>
          </cell>
          <cell r="FK9" t="str">
            <v>07/29 - 06/30</v>
          </cell>
          <cell r="FL9" t="str">
            <v>07/30 - 06/31</v>
          </cell>
          <cell r="FM9" t="str">
            <v>07/31 - 06/32</v>
          </cell>
          <cell r="GS9" t="str">
            <v>07/27 - 06/28</v>
          </cell>
          <cell r="GT9" t="str">
            <v>07/28 - 06/29</v>
          </cell>
          <cell r="GU9" t="str">
            <v>07/29 - 06/30</v>
          </cell>
          <cell r="GV9" t="str">
            <v>07/30 - 06/31</v>
          </cell>
          <cell r="GW9" t="str">
            <v>07/31 - 06/32</v>
          </cell>
        </row>
        <row r="10">
          <cell r="B10" t="str">
            <v>PP_OO_DbMiReSp_GOV</v>
          </cell>
        </row>
      </sheetData>
      <sheetData sheetId="5"/>
      <sheetData sheetId="6"/>
      <sheetData sheetId="7"/>
      <sheetData sheetId="8"/>
      <sheetData sheetId="9"/>
      <sheetData sheetId="10">
        <row r="13">
          <cell r="D13" t="str">
            <v>RPT251209004432K0A</v>
          </cell>
        </row>
      </sheetData>
      <sheetData sheetId="11"/>
      <sheetData sheetId="12">
        <row r="4">
          <cell r="E4">
            <v>32</v>
          </cell>
        </row>
        <row r="31">
          <cell r="D31" t="str">
            <v>NDC</v>
          </cell>
          <cell r="E31" t="str">
            <v>Drug Name</v>
          </cell>
          <cell r="F31" t="str">
            <v>Therapuetic Class</v>
          </cell>
          <cell r="G31" t="str">
            <v>BG</v>
          </cell>
          <cell r="H31" t="str">
            <v>Specialty Ind</v>
          </cell>
          <cell r="I31" t="str">
            <v>Exclusion Ind</v>
          </cell>
          <cell r="J31" t="str">
            <v>Rebatable</v>
          </cell>
          <cell r="M31" t="str">
            <v>Scripts</v>
          </cell>
          <cell r="S31" t="str">
            <v>Scripts</v>
          </cell>
          <cell r="W31" t="str">
            <v>Billing Rejects</v>
          </cell>
          <cell r="AC31" t="str">
            <v>Rebate $</v>
          </cell>
          <cell r="AZ31" t="str">
            <v>Scripts</v>
          </cell>
          <cell r="BD31" t="str">
            <v>Billing Rejects</v>
          </cell>
          <cell r="BJ31" t="str">
            <v>Rebate $</v>
          </cell>
          <cell r="CG31" t="str">
            <v>Scripts</v>
          </cell>
          <cell r="CK31" t="str">
            <v>Billing Rejects</v>
          </cell>
          <cell r="CQ31" t="str">
            <v>Rebate $</v>
          </cell>
          <cell r="DN31" t="str">
            <v>Scripts</v>
          </cell>
          <cell r="DR31" t="str">
            <v>Billing Rejects</v>
          </cell>
          <cell r="DX31" t="str">
            <v>Rebate $</v>
          </cell>
          <cell r="EU31" t="str">
            <v>Scripts</v>
          </cell>
          <cell r="EY31" t="str">
            <v>Billing Rejects</v>
          </cell>
          <cell r="FE31" t="str">
            <v>Rebate $</v>
          </cell>
        </row>
      </sheetData>
      <sheetData sheetId="13"/>
      <sheetData sheetId="14"/>
      <sheetData sheetId="15"/>
      <sheetData sheetId="16"/>
      <sheetData sheetId="17">
        <row r="17">
          <cell r="W17">
            <v>2025</v>
          </cell>
        </row>
      </sheetData>
      <sheetData sheetId="18"/>
      <sheetData sheetId="19"/>
      <sheetData sheetId="20"/>
      <sheetData sheetId="21"/>
      <sheetData sheetId="22">
        <row r="58">
          <cell r="M58">
            <v>0.95563963633041704</v>
          </cell>
          <cell r="N58">
            <v>0.9179549058878308</v>
          </cell>
          <cell r="O58">
            <v>0.88904996355768251</v>
          </cell>
          <cell r="P58">
            <v>0.84936732230973833</v>
          </cell>
          <cell r="Q58">
            <v>0.80239564579942158</v>
          </cell>
        </row>
        <row r="59">
          <cell r="M59">
            <v>0.96268624912906453</v>
          </cell>
          <cell r="N59">
            <v>0.92284092982394217</v>
          </cell>
          <cell r="O59">
            <v>0.89397006868385076</v>
          </cell>
          <cell r="P59">
            <v>0.86283864374284525</v>
          </cell>
          <cell r="Q59">
            <v>0.79802012931242527</v>
          </cell>
        </row>
        <row r="60">
          <cell r="M60">
            <v>0.95878393736838463</v>
          </cell>
          <cell r="N60">
            <v>0.9200511053242979</v>
          </cell>
          <cell r="O60">
            <v>0.88019767913090596</v>
          </cell>
          <cell r="P60">
            <v>0.84050612376628064</v>
          </cell>
          <cell r="Q60">
            <v>0.78971053072346042</v>
          </cell>
        </row>
        <row r="61">
          <cell r="M61">
            <v>0.94611750944732953</v>
          </cell>
          <cell r="N61">
            <v>0.91759785522832793</v>
          </cell>
          <cell r="O61">
            <v>0.88951257389193361</v>
          </cell>
          <cell r="P61">
            <v>0.84185817319707967</v>
          </cell>
          <cell r="Q61">
            <v>0.77803497717606473</v>
          </cell>
        </row>
      </sheetData>
      <sheetData sheetId="23"/>
      <sheetData sheetId="24">
        <row r="1">
          <cell r="ED1">
            <v>4</v>
          </cell>
          <cell r="EE1">
            <v>5</v>
          </cell>
          <cell r="GY1">
            <v>4</v>
          </cell>
          <cell r="HP1">
            <v>810</v>
          </cell>
        </row>
        <row r="3">
          <cell r="GY3" t="str">
            <v>Custom Exclusion List Based on NDCs</v>
          </cell>
          <cell r="HP3" t="str">
            <v>NDC11 Based on Chosen Year</v>
          </cell>
        </row>
        <row r="4">
          <cell r="C4" t="str">
            <v>C:\Users\pdenna\Desktop\Work\RA\Reports\Premium CY24 Smaller BoB Production Forecast 20251124.xlsx</v>
          </cell>
          <cell r="O4" t="str">
            <v>Medispan w Override</v>
          </cell>
          <cell r="Q4" t="str">
            <v>ORx Standard</v>
          </cell>
          <cell r="U4">
            <v>1</v>
          </cell>
          <cell r="AA4" t="str">
            <v>07/27 - 06/28</v>
          </cell>
          <cell r="AT4">
            <v>1</v>
          </cell>
          <cell r="AV4">
            <v>1E-3</v>
          </cell>
          <cell r="AX4">
            <v>3.5</v>
          </cell>
          <cell r="BJ4">
            <v>0</v>
          </cell>
          <cell r="BN4">
            <v>1</v>
          </cell>
          <cell r="BR4">
            <v>1</v>
          </cell>
          <cell r="CE4" t="str">
            <v>Include</v>
          </cell>
          <cell r="CF4">
            <v>1</v>
          </cell>
          <cell r="DK4" t="str">
            <v>Include ALL</v>
          </cell>
          <cell r="EA4" t="str">
            <v>CommercialRetail 30</v>
          </cell>
          <cell r="EB4" t="str">
            <v>Commercial</v>
          </cell>
          <cell r="EC4" t="str">
            <v>Retail 30</v>
          </cell>
          <cell r="ED4">
            <v>3.7769737808405596E-3</v>
          </cell>
          <cell r="EE4">
            <v>4.0724828809748995E-3</v>
          </cell>
          <cell r="EG4" t="str">
            <v>Commercial</v>
          </cell>
          <cell r="HK4" t="str">
            <v>Premium-HPGOO-GOV, with 4 UMs: Db Mi Re Sp</v>
          </cell>
          <cell r="HN4">
            <v>2026</v>
          </cell>
        </row>
        <row r="5">
          <cell r="C5" t="str">
            <v>PP_OO_DbMiReSp_GOV</v>
          </cell>
          <cell r="O5" t="str">
            <v>G/B (Alternative)</v>
          </cell>
          <cell r="Q5" t="str">
            <v>Specialty Ind (Alternative)</v>
          </cell>
          <cell r="U5">
            <v>2</v>
          </cell>
          <cell r="AA5" t="str">
            <v>07/28 - 06/29</v>
          </cell>
          <cell r="BJ5">
            <v>0</v>
          </cell>
          <cell r="BN5">
            <v>0.9</v>
          </cell>
          <cell r="BR5">
            <v>1</v>
          </cell>
          <cell r="CE5" t="str">
            <v>Exclude</v>
          </cell>
          <cell r="DK5" t="str">
            <v>Exclude ALL</v>
          </cell>
          <cell r="EA5" t="str">
            <v>CommercialRetail 90</v>
          </cell>
          <cell r="EB5" t="str">
            <v>Commercial</v>
          </cell>
          <cell r="EC5" t="str">
            <v>Retail 90</v>
          </cell>
          <cell r="ED5">
            <v>2.1435121597001843E-3</v>
          </cell>
          <cell r="EE5">
            <v>2.2738141934110102E-3</v>
          </cell>
          <cell r="EG5" t="str">
            <v>Exchange</v>
          </cell>
          <cell r="GV5" t="str">
            <v>Yes</v>
          </cell>
          <cell r="HN5">
            <v>2027</v>
          </cell>
        </row>
        <row r="6">
          <cell r="U6">
            <v>3</v>
          </cell>
          <cell r="AA6" t="str">
            <v>07/29 - 06/30</v>
          </cell>
          <cell r="BJ6">
            <v>0</v>
          </cell>
          <cell r="BR6">
            <v>0</v>
          </cell>
          <cell r="DK6" t="str">
            <v>Exclude Retail</v>
          </cell>
          <cell r="EA6" t="str">
            <v>CommercialMail</v>
          </cell>
          <cell r="EB6" t="str">
            <v>Commercial</v>
          </cell>
          <cell r="EC6" t="str">
            <v>Mail</v>
          </cell>
          <cell r="ED6">
            <v>3.5530581956079552E-4</v>
          </cell>
          <cell r="EE6">
            <v>6.4121300532894243E-4</v>
          </cell>
          <cell r="EG6" t="str">
            <v>Government</v>
          </cell>
          <cell r="GV6" t="str">
            <v>No</v>
          </cell>
        </row>
        <row r="7">
          <cell r="C7" t="str">
            <v>Carve-Out</v>
          </cell>
          <cell r="U7">
            <v>4</v>
          </cell>
          <cell r="AA7" t="str">
            <v>07/30 - 06/31</v>
          </cell>
          <cell r="BJ7">
            <v>0</v>
          </cell>
          <cell r="BR7">
            <v>0</v>
          </cell>
          <cell r="DK7" t="str">
            <v>Exclude Mail</v>
          </cell>
          <cell r="EA7" t="str">
            <v>CommercialSpecialty</v>
          </cell>
          <cell r="EB7" t="str">
            <v>Commercial</v>
          </cell>
          <cell r="EC7" t="str">
            <v>Specialty</v>
          </cell>
          <cell r="ED7">
            <v>5.7798409729670327E-4</v>
          </cell>
          <cell r="EE7">
            <v>7.8001536585946588E-4</v>
          </cell>
          <cell r="EG7" t="str">
            <v>HCIT</v>
          </cell>
          <cell r="GV7"/>
        </row>
        <row r="8">
          <cell r="U8">
            <v>5</v>
          </cell>
          <cell r="AA8" t="str">
            <v>07/31 - 06/32</v>
          </cell>
          <cell r="BJ8">
            <v>0</v>
          </cell>
          <cell r="BR8">
            <v>0</v>
          </cell>
          <cell r="DK8" t="str">
            <v>Immunomodulators Only</v>
          </cell>
          <cell r="EA8" t="str">
            <v>ExchangeRetail 30</v>
          </cell>
          <cell r="EB8" t="str">
            <v>Exchange</v>
          </cell>
          <cell r="EC8" t="str">
            <v>Retail 30</v>
          </cell>
          <cell r="ED8">
            <v>3.3013437806179925E-3</v>
          </cell>
          <cell r="EE8">
            <v>4.0796632165959685E-3</v>
          </cell>
          <cell r="EG8" t="str">
            <v>Health Plan/MCO</v>
          </cell>
        </row>
        <row r="9">
          <cell r="C9">
            <v>1</v>
          </cell>
          <cell r="U9">
            <v>6</v>
          </cell>
          <cell r="BJ9">
            <v>0</v>
          </cell>
          <cell r="BR9">
            <v>1</v>
          </cell>
          <cell r="EA9" t="str">
            <v>ExchangeRetail 90</v>
          </cell>
          <cell r="EB9" t="str">
            <v>Exchange</v>
          </cell>
          <cell r="EC9" t="str">
            <v>Retail 90</v>
          </cell>
          <cell r="ED9">
            <v>2.2837723361356192E-3</v>
          </cell>
          <cell r="EE9">
            <v>2.6558903893908132E-3</v>
          </cell>
          <cell r="EG9" t="str">
            <v>Hospitals</v>
          </cell>
        </row>
        <row r="10">
          <cell r="C10">
            <v>1</v>
          </cell>
          <cell r="U10">
            <v>7</v>
          </cell>
          <cell r="BJ10">
            <v>0</v>
          </cell>
          <cell r="BR10">
            <v>1</v>
          </cell>
          <cell r="EA10" t="str">
            <v>ExchangeMail</v>
          </cell>
          <cell r="EB10" t="str">
            <v>Exchange</v>
          </cell>
          <cell r="EC10" t="str">
            <v>Mail</v>
          </cell>
          <cell r="ED10">
            <v>6.7149503573312873E-4</v>
          </cell>
          <cell r="EE10">
            <v>5.2946036467638299E-4</v>
          </cell>
          <cell r="EG10" t="str">
            <v>M&amp;R</v>
          </cell>
        </row>
        <row r="11">
          <cell r="C11">
            <v>1</v>
          </cell>
          <cell r="U11">
            <v>8</v>
          </cell>
          <cell r="BJ11">
            <v>0</v>
          </cell>
          <cell r="EA11" t="str">
            <v>ExchangeSpecialty</v>
          </cell>
          <cell r="EB11" t="str">
            <v>Exchange</v>
          </cell>
          <cell r="EC11" t="str">
            <v>Specialty</v>
          </cell>
          <cell r="ED11">
            <v>2.40184661454001E-3</v>
          </cell>
          <cell r="EE11">
            <v>4.2430661628533473E-3</v>
          </cell>
          <cell r="EG11" t="str">
            <v>Medicaid</v>
          </cell>
        </row>
        <row r="12">
          <cell r="U12">
            <v>9</v>
          </cell>
          <cell r="BJ12">
            <v>0</v>
          </cell>
          <cell r="EA12" t="str">
            <v>GovernmentRetail 30</v>
          </cell>
          <cell r="EB12" t="str">
            <v>Government</v>
          </cell>
          <cell r="EC12" t="str">
            <v>Retail 30</v>
          </cell>
          <cell r="ED12">
            <v>6.5184348547019846E-3</v>
          </cell>
          <cell r="EE12">
            <v>6.364983676185678E-3</v>
          </cell>
          <cell r="EG12" t="str">
            <v>Medicare D</v>
          </cell>
        </row>
        <row r="13">
          <cell r="U13">
            <v>10</v>
          </cell>
          <cell r="BJ13">
            <v>0</v>
          </cell>
          <cell r="EA13" t="str">
            <v>GovernmentRetail 90</v>
          </cell>
          <cell r="EB13" t="str">
            <v>Government</v>
          </cell>
          <cell r="EC13" t="str">
            <v>Retail 90</v>
          </cell>
          <cell r="ED13">
            <v>4.4187627464309992E-3</v>
          </cell>
          <cell r="EE13">
            <v>4.1772883291877937E-3</v>
          </cell>
          <cell r="EG13" t="str">
            <v>TPA</v>
          </cell>
        </row>
        <row r="14">
          <cell r="U14">
            <v>11</v>
          </cell>
          <cell r="BJ14">
            <v>0</v>
          </cell>
          <cell r="EA14" t="str">
            <v>GovernmentMail</v>
          </cell>
          <cell r="EB14" t="str">
            <v>Government</v>
          </cell>
          <cell r="EC14" t="str">
            <v>Mail</v>
          </cell>
          <cell r="ED14">
            <v>4.1421363917238757E-4</v>
          </cell>
          <cell r="EE14">
            <v>6.0466292582309869E-4</v>
          </cell>
          <cell r="EG14" t="str">
            <v>UMR</v>
          </cell>
        </row>
        <row r="15">
          <cell r="U15">
            <v>12</v>
          </cell>
          <cell r="BJ15">
            <v>0</v>
          </cell>
          <cell r="EA15" t="str">
            <v>GovernmentSpecialty</v>
          </cell>
          <cell r="EB15" t="str">
            <v>Government</v>
          </cell>
          <cell r="EC15" t="str">
            <v>Specialty</v>
          </cell>
          <cell r="ED15">
            <v>1.708613450476907E-3</v>
          </cell>
          <cell r="EE15">
            <v>2.2170838900934815E-3</v>
          </cell>
          <cell r="EG15" t="str">
            <v>Union</v>
          </cell>
        </row>
        <row r="16">
          <cell r="C16">
            <v>1</v>
          </cell>
          <cell r="BJ16">
            <v>0</v>
          </cell>
          <cell r="EA16" t="str">
            <v>HCITRetail 30</v>
          </cell>
          <cell r="EB16" t="str">
            <v>HCIT</v>
          </cell>
          <cell r="EC16" t="str">
            <v>Retail 30</v>
          </cell>
          <cell r="ED16">
            <v>7.8315052707951006E-3</v>
          </cell>
          <cell r="EE16">
            <v>7.2176253546220089E-3</v>
          </cell>
          <cell r="EG16" t="str">
            <v>Workers' Comp</v>
          </cell>
        </row>
        <row r="17">
          <cell r="BD17" t="str">
            <v>https://repricingrequestform.optum.com/BGDefLookup/Override</v>
          </cell>
          <cell r="BJ17">
            <v>0</v>
          </cell>
          <cell r="EA17" t="str">
            <v>HCITRetail 90</v>
          </cell>
          <cell r="EB17" t="str">
            <v>HCIT</v>
          </cell>
          <cell r="EC17" t="str">
            <v>Retail 90</v>
          </cell>
          <cell r="ED17">
            <v>5.9348435936112326E-3</v>
          </cell>
          <cell r="EE17">
            <v>5.6454040127899936E-3</v>
          </cell>
          <cell r="EG17" t="str">
            <v>Others</v>
          </cell>
        </row>
        <row r="18">
          <cell r="BJ18">
            <v>0</v>
          </cell>
          <cell r="EA18" t="str">
            <v>HCITMail</v>
          </cell>
          <cell r="EB18" t="str">
            <v>HCIT</v>
          </cell>
          <cell r="EC18" t="str">
            <v>Mail</v>
          </cell>
          <cell r="ED18">
            <v>4.71764872387602E-5</v>
          </cell>
          <cell r="EE18">
            <v>5.8434033233774588E-5</v>
          </cell>
          <cell r="EG18"/>
        </row>
        <row r="19">
          <cell r="BJ19">
            <v>0</v>
          </cell>
          <cell r="EA19" t="str">
            <v>HCITSpecialty</v>
          </cell>
          <cell r="EB19" t="str">
            <v>HCIT</v>
          </cell>
          <cell r="EC19" t="str">
            <v>Specialty</v>
          </cell>
          <cell r="ED19">
            <v>1.1060111707128242E-4</v>
          </cell>
          <cell r="EE19">
            <v>5.3290658735188966E-4</v>
          </cell>
        </row>
        <row r="20">
          <cell r="EA20" t="str">
            <v>Health Plan/MCORetail 30</v>
          </cell>
          <cell r="EB20" t="str">
            <v>Health Plan/MCO</v>
          </cell>
          <cell r="EC20" t="str">
            <v>Retail 30</v>
          </cell>
          <cell r="ED20">
            <v>3.9871102013449506E-3</v>
          </cell>
          <cell r="EE20">
            <v>4.7495202469842015E-3</v>
          </cell>
        </row>
        <row r="21">
          <cell r="EA21" t="str">
            <v>Health Plan/MCORetail 90</v>
          </cell>
          <cell r="EB21" t="str">
            <v>Health Plan/MCO</v>
          </cell>
          <cell r="EC21" t="str">
            <v>Retail 90</v>
          </cell>
          <cell r="ED21">
            <v>5.1359477256639604E-3</v>
          </cell>
          <cell r="EE21">
            <v>6.3438405516505472E-3</v>
          </cell>
        </row>
        <row r="22">
          <cell r="C22" t="str">
            <v>Commercial</v>
          </cell>
          <cell r="EA22" t="str">
            <v>Health Plan/MCOMail</v>
          </cell>
          <cell r="EB22" t="str">
            <v>Health Plan/MCO</v>
          </cell>
          <cell r="EC22" t="str">
            <v>Mail</v>
          </cell>
          <cell r="ED22">
            <v>8.8884302368794305E-4</v>
          </cell>
          <cell r="EE22">
            <v>8.8783687062032261E-4</v>
          </cell>
        </row>
        <row r="23">
          <cell r="EA23" t="str">
            <v>Health Plan/MCOSpecialty</v>
          </cell>
          <cell r="EB23" t="str">
            <v>Health Plan/MCO</v>
          </cell>
          <cell r="EC23" t="str">
            <v>Specialty</v>
          </cell>
          <cell r="ED23">
            <v>1.0669489337305346E-3</v>
          </cell>
          <cell r="EE23">
            <v>1.492879869762425E-3</v>
          </cell>
        </row>
        <row r="24">
          <cell r="EA24" t="str">
            <v>HospitalsRetail 30</v>
          </cell>
          <cell r="EB24" t="str">
            <v>Hospitals</v>
          </cell>
          <cell r="EC24" t="str">
            <v>Retail 30</v>
          </cell>
          <cell r="ED24">
            <v>1.358559647216373E-2</v>
          </cell>
          <cell r="EE24">
            <v>1.2960667923545359E-2</v>
          </cell>
        </row>
        <row r="25">
          <cell r="EA25" t="str">
            <v>HospitalsRetail 90</v>
          </cell>
          <cell r="EB25" t="str">
            <v>Hospitals</v>
          </cell>
          <cell r="EC25" t="str">
            <v>Retail 90</v>
          </cell>
          <cell r="ED25">
            <v>6.9381805710366116E-3</v>
          </cell>
          <cell r="EE25">
            <v>8.1593068509329333E-3</v>
          </cell>
        </row>
        <row r="26">
          <cell r="EA26" t="str">
            <v>HospitalsMail</v>
          </cell>
          <cell r="EB26" t="str">
            <v>Hospitals</v>
          </cell>
          <cell r="EC26" t="str">
            <v>Mail</v>
          </cell>
          <cell r="ED26">
            <v>2.2421398272241717E-2</v>
          </cell>
          <cell r="EE26">
            <v>1.6619068177898808E-2</v>
          </cell>
        </row>
        <row r="27">
          <cell r="EA27" t="str">
            <v>HospitalsSpecialty</v>
          </cell>
          <cell r="EB27" t="str">
            <v>Hospitals</v>
          </cell>
          <cell r="EC27" t="str">
            <v>Specialty</v>
          </cell>
          <cell r="ED27">
            <v>2.3782152608133353E-3</v>
          </cell>
          <cell r="EE27">
            <v>1.4339887373622011E-2</v>
          </cell>
        </row>
        <row r="28">
          <cell r="EA28" t="str">
            <v>M&amp;RRetail 30</v>
          </cell>
          <cell r="EB28" t="str">
            <v>M&amp;R</v>
          </cell>
          <cell r="EC28" t="str">
            <v>Retail 30</v>
          </cell>
          <cell r="ED28">
            <v>8.6287566484173769E-4</v>
          </cell>
          <cell r="EE28">
            <v>5.9583800513936334E-4</v>
          </cell>
        </row>
        <row r="29">
          <cell r="EA29" t="str">
            <v>M&amp;RRetail 90</v>
          </cell>
          <cell r="EB29" t="str">
            <v>M&amp;R</v>
          </cell>
          <cell r="EC29" t="str">
            <v>Retail 90</v>
          </cell>
          <cell r="ED29">
            <v>1.2542337002540221E-3</v>
          </cell>
          <cell r="EE29">
            <v>1.3006182637401152E-3</v>
          </cell>
        </row>
        <row r="30">
          <cell r="EA30" t="str">
            <v>M&amp;RMail</v>
          </cell>
          <cell r="EB30" t="str">
            <v>M&amp;R</v>
          </cell>
          <cell r="EC30" t="str">
            <v>Mail</v>
          </cell>
          <cell r="ED30">
            <v>1.9409704972484418E-4</v>
          </cell>
          <cell r="EE30">
            <v>2.4070489321408771E-4</v>
          </cell>
        </row>
        <row r="31">
          <cell r="EA31" t="str">
            <v>M&amp;RSpecialty</v>
          </cell>
          <cell r="EB31" t="str">
            <v>M&amp;R</v>
          </cell>
          <cell r="EC31" t="str">
            <v>Specialty</v>
          </cell>
          <cell r="ED31">
            <v>2.8719078118536793E-3</v>
          </cell>
          <cell r="EE31">
            <v>6.1080414446062501E-3</v>
          </cell>
        </row>
        <row r="32">
          <cell r="EA32" t="str">
            <v>MedicaidRetail 30</v>
          </cell>
          <cell r="EB32" t="str">
            <v>Medicaid</v>
          </cell>
          <cell r="EC32" t="str">
            <v>Retail 30</v>
          </cell>
          <cell r="ED32">
            <v>3.1201634003744593E-3</v>
          </cell>
          <cell r="EE32">
            <v>3.149604353919274E-3</v>
          </cell>
        </row>
        <row r="33">
          <cell r="EA33" t="str">
            <v>MedicaidRetail 90</v>
          </cell>
          <cell r="EB33" t="str">
            <v>Medicaid</v>
          </cell>
          <cell r="EC33" t="str">
            <v>Retail 90</v>
          </cell>
          <cell r="ED33">
            <v>1.3207355481052526E-3</v>
          </cell>
          <cell r="EE33">
            <v>9.392407899643327E-4</v>
          </cell>
        </row>
        <row r="34">
          <cell r="EA34" t="str">
            <v>MedicaidMail</v>
          </cell>
          <cell r="EB34" t="str">
            <v>Medicaid</v>
          </cell>
          <cell r="EC34" t="str">
            <v>Mail</v>
          </cell>
          <cell r="ED34">
            <v>1.4371945961483186E-3</v>
          </cell>
          <cell r="EE34">
            <v>4.4645847882468867E-4</v>
          </cell>
        </row>
        <row r="35">
          <cell r="EA35" t="str">
            <v>MedicaidSpecialty</v>
          </cell>
          <cell r="EB35" t="str">
            <v>Medicaid</v>
          </cell>
          <cell r="EC35" t="str">
            <v>Specialty</v>
          </cell>
          <cell r="ED35">
            <v>6.9947886508396062E-3</v>
          </cell>
          <cell r="EE35">
            <v>7.7805370854015119E-3</v>
          </cell>
        </row>
        <row r="36">
          <cell r="EA36" t="str">
            <v>Medicare DRetail 30</v>
          </cell>
          <cell r="EB36" t="str">
            <v>Medicare D</v>
          </cell>
          <cell r="EC36" t="str">
            <v>Retail 30</v>
          </cell>
          <cell r="ED36">
            <v>8.6287566484173769E-4</v>
          </cell>
          <cell r="EE36">
            <v>5.9583800513936334E-4</v>
          </cell>
        </row>
        <row r="37">
          <cell r="EA37" t="str">
            <v>Medicare DRetail 90</v>
          </cell>
          <cell r="EB37" t="str">
            <v>Medicare D</v>
          </cell>
          <cell r="EC37" t="str">
            <v>Retail 90</v>
          </cell>
          <cell r="ED37">
            <v>1.2542337002540221E-3</v>
          </cell>
          <cell r="EE37">
            <v>1.3006182637401152E-3</v>
          </cell>
        </row>
        <row r="38">
          <cell r="EA38" t="str">
            <v>Medicare DMail</v>
          </cell>
          <cell r="EB38" t="str">
            <v>Medicare D</v>
          </cell>
          <cell r="EC38" t="str">
            <v>Mail</v>
          </cell>
          <cell r="ED38">
            <v>1.9409704972484418E-4</v>
          </cell>
          <cell r="EE38">
            <v>2.4070489321408771E-4</v>
          </cell>
        </row>
        <row r="39">
          <cell r="EA39" t="str">
            <v>Medicare DSpecialty</v>
          </cell>
          <cell r="EB39" t="str">
            <v>Medicare D</v>
          </cell>
          <cell r="EC39" t="str">
            <v>Specialty</v>
          </cell>
          <cell r="ED39">
            <v>2.8719078118536793E-3</v>
          </cell>
          <cell r="EE39">
            <v>6.1080414446062501E-3</v>
          </cell>
        </row>
        <row r="40">
          <cell r="EA40" t="str">
            <v>TPARetail 30</v>
          </cell>
          <cell r="EB40" t="str">
            <v>TPA</v>
          </cell>
          <cell r="EC40" t="str">
            <v>Retail 30</v>
          </cell>
          <cell r="ED40">
            <v>1.8006953726870098E-2</v>
          </cell>
          <cell r="EE40">
            <v>1.4211020985257986E-2</v>
          </cell>
        </row>
        <row r="41">
          <cell r="EA41" t="str">
            <v>TPARetail 90</v>
          </cell>
          <cell r="EB41" t="str">
            <v>TPA</v>
          </cell>
          <cell r="EC41" t="str">
            <v>Retail 90</v>
          </cell>
          <cell r="ED41">
            <v>1.9158283917124815E-2</v>
          </cell>
          <cell r="EE41">
            <v>2.6752351732713366E-2</v>
          </cell>
        </row>
        <row r="42">
          <cell r="EA42" t="str">
            <v>TPAMail</v>
          </cell>
          <cell r="EB42" t="str">
            <v>TPA</v>
          </cell>
          <cell r="EC42" t="str">
            <v>Mail</v>
          </cell>
          <cell r="ED42">
            <v>3.9219787690215972E-4</v>
          </cell>
          <cell r="EE42">
            <v>4.3885404954797577E-4</v>
          </cell>
        </row>
        <row r="43">
          <cell r="EA43" t="str">
            <v>TPASpecialty</v>
          </cell>
          <cell r="EB43" t="str">
            <v>TPA</v>
          </cell>
          <cell r="EC43" t="str">
            <v>Specialty</v>
          </cell>
          <cell r="ED43">
            <v>5.2156145822131409E-3</v>
          </cell>
          <cell r="EE43">
            <v>8.3440899075699574E-3</v>
          </cell>
        </row>
        <row r="44">
          <cell r="EA44" t="str">
            <v>UMRRetail 30</v>
          </cell>
          <cell r="EB44" t="str">
            <v>UMR</v>
          </cell>
          <cell r="EC44" t="str">
            <v>Retail 30</v>
          </cell>
          <cell r="ED44">
            <v>7.8315052707951006E-3</v>
          </cell>
          <cell r="EE44">
            <v>7.2176253546220089E-3</v>
          </cell>
        </row>
        <row r="45">
          <cell r="EA45" t="str">
            <v>UMRRetail 90</v>
          </cell>
          <cell r="EB45" t="str">
            <v>UMR</v>
          </cell>
          <cell r="EC45" t="str">
            <v>Retail 90</v>
          </cell>
          <cell r="ED45">
            <v>5.9348435936112326E-3</v>
          </cell>
          <cell r="EE45">
            <v>5.6454040127899936E-3</v>
          </cell>
        </row>
        <row r="46">
          <cell r="EA46" t="str">
            <v>UMRMail</v>
          </cell>
          <cell r="EB46" t="str">
            <v>UMR</v>
          </cell>
          <cell r="EC46" t="str">
            <v>Mail</v>
          </cell>
          <cell r="ED46">
            <v>4.71764872387602E-5</v>
          </cell>
          <cell r="EE46">
            <v>5.8434033233774588E-5</v>
          </cell>
        </row>
        <row r="47">
          <cell r="EA47" t="str">
            <v>UMRSpecialty</v>
          </cell>
          <cell r="EB47" t="str">
            <v>UMR</v>
          </cell>
          <cell r="EC47" t="str">
            <v>Specialty</v>
          </cell>
          <cell r="ED47">
            <v>1.1060111707128242E-4</v>
          </cell>
          <cell r="EE47">
            <v>5.3290658735188966E-4</v>
          </cell>
        </row>
        <row r="48">
          <cell r="EA48" t="str">
            <v>UnionRetail 30</v>
          </cell>
          <cell r="EB48" t="str">
            <v>Union</v>
          </cell>
          <cell r="EC48" t="str">
            <v>Retail 30</v>
          </cell>
          <cell r="ED48">
            <v>6.2201097321245196E-3</v>
          </cell>
          <cell r="EE48">
            <v>6.0306259716617575E-3</v>
          </cell>
        </row>
        <row r="49">
          <cell r="EA49" t="str">
            <v>UnionRetail 90</v>
          </cell>
          <cell r="EB49" t="str">
            <v>Union</v>
          </cell>
          <cell r="EC49" t="str">
            <v>Retail 90</v>
          </cell>
          <cell r="ED49">
            <v>4.3127107347290831E-3</v>
          </cell>
          <cell r="EE49">
            <v>4.218681103956342E-3</v>
          </cell>
        </row>
        <row r="50">
          <cell r="EA50" t="str">
            <v>UnionMail</v>
          </cell>
          <cell r="EB50" t="str">
            <v>Union</v>
          </cell>
          <cell r="EC50" t="str">
            <v>Mail</v>
          </cell>
          <cell r="ED50">
            <v>4.3365134431916737E-4</v>
          </cell>
          <cell r="EE50">
            <v>5.0917183105900015E-4</v>
          </cell>
        </row>
        <row r="51">
          <cell r="EA51" t="str">
            <v>UnionSpecialty</v>
          </cell>
          <cell r="EB51" t="str">
            <v>Union</v>
          </cell>
          <cell r="EC51" t="str">
            <v>Specialty</v>
          </cell>
          <cell r="ED51">
            <v>1.2605571662674902E-4</v>
          </cell>
          <cell r="EE51">
            <v>7.0005499627261028E-4</v>
          </cell>
        </row>
        <row r="52">
          <cell r="EA52" t="str">
            <v>Workers' CompRetail 30</v>
          </cell>
          <cell r="EB52" t="str">
            <v>Workers' Comp</v>
          </cell>
          <cell r="EC52" t="str">
            <v>Retail 30</v>
          </cell>
          <cell r="ED52">
            <v>7.8315052707951006E-3</v>
          </cell>
          <cell r="EE52">
            <v>7.2176253546220089E-3</v>
          </cell>
        </row>
        <row r="53">
          <cell r="EA53" t="str">
            <v>Workers' CompRetail 90</v>
          </cell>
          <cell r="EB53" t="str">
            <v>Workers' Comp</v>
          </cell>
          <cell r="EC53" t="str">
            <v>Retail 90</v>
          </cell>
          <cell r="ED53">
            <v>5.9348435936112326E-3</v>
          </cell>
          <cell r="EE53">
            <v>5.6454040127899936E-3</v>
          </cell>
        </row>
        <row r="54">
          <cell r="EA54" t="str">
            <v>Workers' CompMail</v>
          </cell>
          <cell r="EB54" t="str">
            <v>Workers' Comp</v>
          </cell>
          <cell r="EC54" t="str">
            <v>Mail</v>
          </cell>
          <cell r="ED54">
            <v>4.71764872387602E-5</v>
          </cell>
          <cell r="EE54">
            <v>5.8434033233774588E-5</v>
          </cell>
        </row>
        <row r="55">
          <cell r="EA55" t="str">
            <v>Workers' CompSpecialty</v>
          </cell>
          <cell r="EB55" t="str">
            <v>Workers' Comp</v>
          </cell>
          <cell r="EC55" t="str">
            <v>Specialty</v>
          </cell>
          <cell r="ED55">
            <v>1.1060111707128242E-4</v>
          </cell>
          <cell r="EE55">
            <v>5.3290658735188966E-4</v>
          </cell>
        </row>
        <row r="56">
          <cell r="EA56" t="str">
            <v>OthersRetail 30</v>
          </cell>
          <cell r="EB56" t="str">
            <v>Others</v>
          </cell>
          <cell r="EC56" t="str">
            <v>Retail 30</v>
          </cell>
          <cell r="ED56">
            <v>7.8315052707951006E-3</v>
          </cell>
          <cell r="EE56">
            <v>7.2176253546220089E-3</v>
          </cell>
        </row>
        <row r="57">
          <cell r="EA57" t="str">
            <v>OthersRetail 90</v>
          </cell>
          <cell r="EB57" t="str">
            <v>Others</v>
          </cell>
          <cell r="EC57" t="str">
            <v>Retail 90</v>
          </cell>
          <cell r="ED57">
            <v>5.9348435936112326E-3</v>
          </cell>
          <cell r="EE57">
            <v>5.6454040127899936E-3</v>
          </cell>
        </row>
        <row r="58">
          <cell r="EA58" t="str">
            <v>OthersMail</v>
          </cell>
          <cell r="EB58" t="str">
            <v>Others</v>
          </cell>
          <cell r="EC58" t="str">
            <v>Mail</v>
          </cell>
          <cell r="ED58">
            <v>4.71764872387602E-5</v>
          </cell>
          <cell r="EE58">
            <v>5.8434033233774588E-5</v>
          </cell>
        </row>
        <row r="59">
          <cell r="EA59" t="str">
            <v>OthersSpecialty</v>
          </cell>
          <cell r="EB59" t="str">
            <v>Others</v>
          </cell>
          <cell r="EC59" t="str">
            <v>Specialty</v>
          </cell>
          <cell r="ED59">
            <v>1.1060111707128242E-4</v>
          </cell>
          <cell r="EE59">
            <v>5.3290658735188966E-4</v>
          </cell>
        </row>
        <row r="60">
          <cell r="EA60"/>
          <cell r="EB60"/>
          <cell r="EC60"/>
          <cell r="ED60"/>
          <cell r="EE60"/>
        </row>
      </sheetData>
      <sheetData sheetId="25"/>
      <sheetData sheetId="26"/>
      <sheetData sheetId="27"/>
      <sheetData sheetId="28"/>
      <sheetData sheetId="29"/>
      <sheetData sheetId="30">
        <row r="2">
          <cell r="C2">
            <v>13</v>
          </cell>
        </row>
        <row r="11">
          <cell r="B11" t="str">
            <v>Drug Name</v>
          </cell>
          <cell r="C11" t="str">
            <v>Therapeutic Class</v>
          </cell>
          <cell r="D11" t="str">
            <v>Selected Generic Ind</v>
          </cell>
          <cell r="E11" t="str">
            <v>Rebatable</v>
          </cell>
          <cell r="F11" t="str">
            <v>Overall</v>
          </cell>
          <cell r="G11" t="str">
            <v>R30</v>
          </cell>
          <cell r="H11" t="str">
            <v>R90</v>
          </cell>
          <cell r="I11" t="str">
            <v>Mail</v>
          </cell>
          <cell r="J11" t="str">
            <v>Specialty</v>
          </cell>
          <cell r="K11" t="str">
            <v>Overall</v>
          </cell>
          <cell r="L11" t="str">
            <v>R30</v>
          </cell>
          <cell r="M11" t="str">
            <v>R90</v>
          </cell>
          <cell r="N11" t="str">
            <v>Mail</v>
          </cell>
          <cell r="O11" t="str">
            <v>Specialty</v>
          </cell>
        </row>
      </sheetData>
      <sheetData sheetId="31">
        <row r="2">
          <cell r="C2">
            <v>13</v>
          </cell>
        </row>
        <row r="11">
          <cell r="B11" t="str">
            <v>Drug Name</v>
          </cell>
          <cell r="C11" t="str">
            <v>Therapeutic Class</v>
          </cell>
          <cell r="D11" t="str">
            <v>Selected Generic Ind</v>
          </cell>
          <cell r="E11" t="str">
            <v>NonRebatable</v>
          </cell>
          <cell r="F11" t="str">
            <v>Overall</v>
          </cell>
          <cell r="G11" t="str">
            <v>R30</v>
          </cell>
          <cell r="H11" t="str">
            <v>R90</v>
          </cell>
          <cell r="I11" t="str">
            <v>Mail</v>
          </cell>
          <cell r="J11" t="str">
            <v>Specialty</v>
          </cell>
          <cell r="K11" t="str">
            <v>Overall</v>
          </cell>
          <cell r="L11" t="str">
            <v>R30</v>
          </cell>
          <cell r="M11" t="str">
            <v>R90</v>
          </cell>
          <cell r="N11" t="str">
            <v>Mail</v>
          </cell>
          <cell r="O11" t="str">
            <v>Specialty</v>
          </cell>
        </row>
      </sheetData>
      <sheetData sheetId="32">
        <row r="2">
          <cell r="C2">
            <v>15</v>
          </cell>
        </row>
        <row r="13">
          <cell r="E13" t="str">
            <v>TC Remove</v>
          </cell>
          <cell r="F13" t="str">
            <v>Overall</v>
          </cell>
          <cell r="G13" t="str">
            <v>Non-Specialty</v>
          </cell>
          <cell r="H13" t="str">
            <v>Specialty</v>
          </cell>
          <cell r="I13" t="str">
            <v>Overall</v>
          </cell>
          <cell r="J13" t="str">
            <v>Non-Specialty</v>
          </cell>
          <cell r="K13" t="str">
            <v>Specialty</v>
          </cell>
          <cell r="L13" t="str">
            <v>Overall</v>
          </cell>
          <cell r="M13" t="str">
            <v>Non-Specialty</v>
          </cell>
          <cell r="N13" t="str">
            <v>Specialty</v>
          </cell>
          <cell r="O13" t="str">
            <v>Overall</v>
          </cell>
          <cell r="P13" t="str">
            <v>Non-Specialty</v>
          </cell>
          <cell r="Q13" t="str">
            <v>Specialty</v>
          </cell>
          <cell r="R13" t="str">
            <v>Overall</v>
          </cell>
          <cell r="S13" t="str">
            <v>Non-Specialty</v>
          </cell>
          <cell r="T13" t="str">
            <v>Specialty</v>
          </cell>
        </row>
        <row r="14">
          <cell r="C14"/>
          <cell r="E14">
            <v>1</v>
          </cell>
        </row>
      </sheetData>
      <sheetData sheetId="33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442D176-DF40-4DCE-A1CA-65EF7A2931F7}" autoFormatId="16" applyNumberFormats="0" applyBorderFormats="0" applyFontFormats="0" applyPatternFormats="0" applyAlignmentFormats="0" applyWidthHeightFormats="0">
  <queryTableRefresh nextId="145">
    <queryTableFields count="14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1E8306-C02E-45EE-893F-DE1BE3D69963}" name="Table1_1" displayName="Table1_1" ref="A1:EN405" tableType="queryTable" totalsRowShown="0">
  <autoFilter ref="A1:EN405" xr:uid="{0A34DD58-64FD-42A8-AB71-FD0402AEE49D}"/>
  <tableColumns count="144">
    <tableColumn id="1" xr3:uid="{24DB4F96-87EF-4062-8042-993A7F895F5B}" uniqueName="1" name="Column1" queryTableFieldId="1" dataDxfId="4"/>
    <tableColumn id="2" xr3:uid="{FDB5CA50-85A3-4FA2-84C8-E98A4A62A07A}" uniqueName="2" name="Column2" queryTableFieldId="2"/>
    <tableColumn id="3" xr3:uid="{45968C4B-6ABC-42C7-9C6A-6614F2741D9A}" uniqueName="3" name="Column3" queryTableFieldId="3"/>
    <tableColumn id="4" xr3:uid="{EE6AA4C7-904E-449D-B71A-2561A63F14B2}" uniqueName="4" name="Column4" queryTableFieldId="4"/>
    <tableColumn id="5" xr3:uid="{CDFC6A3F-DD58-4444-A005-D26694BA73D9}" uniqueName="5" name="Column5" queryTableFieldId="5"/>
    <tableColumn id="6" xr3:uid="{0B42EBFD-937E-498A-8038-C55F12B49FBD}" uniqueName="6" name="Column6" queryTableFieldId="6"/>
    <tableColumn id="7" xr3:uid="{AE165BE3-4488-4832-8F14-A555949971C9}" uniqueName="7" name="Column7" queryTableFieldId="7"/>
    <tableColumn id="8" xr3:uid="{96DBAD7E-55AE-481B-9766-08F6C348C848}" uniqueName="8" name="Column8" queryTableFieldId="8"/>
    <tableColumn id="9" xr3:uid="{AF85FAD2-FCDD-456A-9060-175F4971BB47}" uniqueName="9" name="Column9" queryTableFieldId="9"/>
    <tableColumn id="10" xr3:uid="{578BCA45-1AC7-4A86-8CB0-B1603EF9500B}" uniqueName="10" name="Column10" queryTableFieldId="10"/>
    <tableColumn id="11" xr3:uid="{29D7093C-54DA-4177-9491-F7D7506C9139}" uniqueName="11" name="Column11" queryTableFieldId="11"/>
    <tableColumn id="12" xr3:uid="{E425E331-25C5-4307-BB5E-B43870938C89}" uniqueName="12" name="Column12" queryTableFieldId="12"/>
    <tableColumn id="13" xr3:uid="{A64049C3-1A65-4BDD-8F06-3B5AE43F6D75}" uniqueName="13" name="Column13" queryTableFieldId="13"/>
    <tableColumn id="14" xr3:uid="{E07102DE-094F-4FD9-ADAD-DB78D6FD9A86}" uniqueName="14" name="Column14" queryTableFieldId="14"/>
    <tableColumn id="15" xr3:uid="{2F0117E0-0D71-4706-A9F1-3A166CB5064A}" uniqueName="15" name="Column15" queryTableFieldId="15"/>
    <tableColumn id="16" xr3:uid="{C953382F-A601-40EA-AA38-094A8397999F}" uniqueName="16" name="Column16" queryTableFieldId="16"/>
    <tableColumn id="17" xr3:uid="{55DCF253-332A-4574-AA7A-7CB83A04EA8E}" uniqueName="17" name="Column17" queryTableFieldId="17"/>
    <tableColumn id="18" xr3:uid="{6C68A0BC-D5BD-48D8-A921-D295132FDD59}" uniqueName="18" name="Column18" queryTableFieldId="18" dataDxfId="3"/>
    <tableColumn id="19" xr3:uid="{EE456689-F36B-45C6-AE58-AF927651096A}" uniqueName="19" name="Column19" queryTableFieldId="19"/>
    <tableColumn id="20" xr3:uid="{83532540-DA73-432C-9515-7321A197BED5}" uniqueName="20" name="Column20" queryTableFieldId="20"/>
    <tableColumn id="21" xr3:uid="{4D86DD9D-057B-4D96-AF11-DC828BDB3225}" uniqueName="21" name="Column21" queryTableFieldId="21"/>
    <tableColumn id="22" xr3:uid="{7DF06528-88FC-49DE-8D57-C988AF2D0051}" uniqueName="22" name="Column22" queryTableFieldId="22"/>
    <tableColumn id="23" xr3:uid="{2C559C2D-16FD-48E0-B9F8-4B3EBC6A1AD1}" uniqueName="23" name="Column23" queryTableFieldId="23"/>
    <tableColumn id="24" xr3:uid="{DAA4B26B-81BF-43C0-83CF-2D9B90598825}" uniqueName="24" name="Column24" queryTableFieldId="24"/>
    <tableColumn id="25" xr3:uid="{EE4DAE1D-DE7F-4EC1-B39B-CF9936700A11}" uniqueName="25" name="Column25" queryTableFieldId="25"/>
    <tableColumn id="26" xr3:uid="{0B39DC8F-53B5-4E21-8DAF-1E68633DF061}" uniqueName="26" name="Column26" queryTableFieldId="26"/>
    <tableColumn id="27" xr3:uid="{7C80C527-915B-4E79-BAFA-4AFA212D1AAB}" uniqueName="27" name="Column27" queryTableFieldId="27"/>
    <tableColumn id="28" xr3:uid="{F90A92CE-B78A-41CC-B6CA-12DBD5F2B30A}" uniqueName="28" name="Column28" queryTableFieldId="28"/>
    <tableColumn id="29" xr3:uid="{D7B29A48-B356-417B-A938-24A15FC1CA2C}" uniqueName="29" name="Column29" queryTableFieldId="29"/>
    <tableColumn id="30" xr3:uid="{B18E6FAA-0C11-419B-9B2C-6DFCCB19D383}" uniqueName="30" name="Column30" queryTableFieldId="30"/>
    <tableColumn id="31" xr3:uid="{62711E66-17EF-41A7-BF3D-79D9B7A36DEE}" uniqueName="31" name="Column31" queryTableFieldId="31"/>
    <tableColumn id="32" xr3:uid="{B42D815E-1984-4C7D-850E-905C325690FB}" uniqueName="32" name="Column32" queryTableFieldId="32"/>
    <tableColumn id="33" xr3:uid="{D0BABFF4-F3B0-4647-8570-7169FB646F21}" uniqueName="33" name="Column33" queryTableFieldId="33"/>
    <tableColumn id="34" xr3:uid="{3FEE2DD9-A054-4A24-806D-D179D5CF1F9C}" uniqueName="34" name="Column34" queryTableFieldId="34"/>
    <tableColumn id="35" xr3:uid="{B547D83F-CED5-4DC7-8651-4A7AC6C6FD9B}" uniqueName="35" name="Column35" queryTableFieldId="35" dataDxfId="2"/>
    <tableColumn id="36" xr3:uid="{247CEB44-8E4D-4000-A8D5-49EF855FEEAB}" uniqueName="36" name="Column36" queryTableFieldId="36"/>
    <tableColumn id="37" xr3:uid="{142C633C-BEBD-47F3-A94A-17429611275F}" uniqueName="37" name="Column37" queryTableFieldId="37"/>
    <tableColumn id="38" xr3:uid="{03DFB4AB-7215-440E-9307-7BA02A9FFAD9}" uniqueName="38" name="Column38" queryTableFieldId="38"/>
    <tableColumn id="39" xr3:uid="{0B3B944B-1272-44C3-B2FC-3E0220D61A31}" uniqueName="39" name="Column39" queryTableFieldId="39"/>
    <tableColumn id="40" xr3:uid="{35F8CC12-66B7-40E4-90C0-250AC755968E}" uniqueName="40" name="Column40" queryTableFieldId="40"/>
    <tableColumn id="41" xr3:uid="{C5C98D09-A84B-4544-AB05-9A93AFC772DB}" uniqueName="41" name="Column41" queryTableFieldId="41"/>
    <tableColumn id="42" xr3:uid="{6BF03371-47B7-4915-B42F-CA3EDE0A765C}" uniqueName="42" name="Column42" queryTableFieldId="42"/>
    <tableColumn id="43" xr3:uid="{122CD1BB-531A-4215-9FD6-FE244F3D91E6}" uniqueName="43" name="Column43" queryTableFieldId="43"/>
    <tableColumn id="44" xr3:uid="{A7E1C456-BA41-489E-99A3-C00A3F20FE20}" uniqueName="44" name="Column44" queryTableFieldId="44"/>
    <tableColumn id="45" xr3:uid="{710AA114-EF96-4C80-A542-0D5AD71676AF}" uniqueName="45" name="Column45" queryTableFieldId="45"/>
    <tableColumn id="46" xr3:uid="{BDD6B238-C27E-469E-9657-678D87B34EDD}" uniqueName="46" name="Column46" queryTableFieldId="46"/>
    <tableColumn id="47" xr3:uid="{A8C81E02-DCE0-4A4F-A5C3-735D49865D22}" uniqueName="47" name="Column47" queryTableFieldId="47"/>
    <tableColumn id="48" xr3:uid="{C2080C1F-1CC7-471D-96EB-F77C53CA3030}" uniqueName="48" name="Column48" queryTableFieldId="48"/>
    <tableColumn id="49" xr3:uid="{56E906AF-59F0-42FB-A26E-068E7146C9E7}" uniqueName="49" name="Column49" queryTableFieldId="49"/>
    <tableColumn id="50" xr3:uid="{C5FBB922-605E-44E6-8C3A-43B405D51450}" uniqueName="50" name="Column50" queryTableFieldId="50"/>
    <tableColumn id="51" xr3:uid="{37BC5DD5-F48C-4ECE-B2C7-B1D1C08F1145}" uniqueName="51" name="Column51" queryTableFieldId="51"/>
    <tableColumn id="52" xr3:uid="{16C6CCB9-33AA-464B-A2BC-93D43CD75007}" uniqueName="52" name="Column52" queryTableFieldId="52" dataDxfId="1"/>
    <tableColumn id="53" xr3:uid="{1F22B760-E59F-452D-8A2F-6C696E5E9D5E}" uniqueName="53" name="Column53" queryTableFieldId="53"/>
    <tableColumn id="54" xr3:uid="{DC772A2F-3262-47A6-A823-E114F17175DD}" uniqueName="54" name="Column54" queryTableFieldId="54"/>
    <tableColumn id="55" xr3:uid="{79FA7860-F5E2-4C4F-A453-250714A4DDAF}" uniqueName="55" name="Column55" queryTableFieldId="55"/>
    <tableColumn id="56" xr3:uid="{7BB4EE8C-7AB6-4404-8011-F4FF6DC300D5}" uniqueName="56" name="Column56" queryTableFieldId="56"/>
    <tableColumn id="57" xr3:uid="{EA2E5F44-9132-48D1-9E4B-6F44F2B62CEA}" uniqueName="57" name="Column57" queryTableFieldId="57"/>
    <tableColumn id="58" xr3:uid="{BCE2E10E-F690-496E-AABE-AE23F58F90E3}" uniqueName="58" name="Column58" queryTableFieldId="58"/>
    <tableColumn id="59" xr3:uid="{8395128A-A151-49B2-9050-A5816626DF81}" uniqueName="59" name="Column59" queryTableFieldId="59"/>
    <tableColumn id="60" xr3:uid="{DDFDD475-4016-4E1B-A317-9CB93A6B604C}" uniqueName="60" name="Column60" queryTableFieldId="60"/>
    <tableColumn id="61" xr3:uid="{D9F5282C-7718-44E5-92A0-45AA8FEE2792}" uniqueName="61" name="Column61" queryTableFieldId="61"/>
    <tableColumn id="62" xr3:uid="{2D82C73A-C8E0-4CAC-802B-2FF1DE4EDEFD}" uniqueName="62" name="Column62" queryTableFieldId="62"/>
    <tableColumn id="63" xr3:uid="{F7F2E404-2C52-482F-9425-5E8D18F0A88F}" uniqueName="63" name="Column63" queryTableFieldId="63"/>
    <tableColumn id="64" xr3:uid="{55F06029-9EE8-4A2C-997B-2786626FD81C}" uniqueName="64" name="Column64" queryTableFieldId="64"/>
    <tableColumn id="65" xr3:uid="{052F424F-9167-4C44-A802-815EAE0D3023}" uniqueName="65" name="Column65" queryTableFieldId="65"/>
    <tableColumn id="66" xr3:uid="{BE082B8F-D264-4E98-8F24-345691EE991F}" uniqueName="66" name="Column66" queryTableFieldId="66"/>
    <tableColumn id="67" xr3:uid="{2F2C35EA-1265-4DC0-859F-7DE836FE2E59}" uniqueName="67" name="Column67" queryTableFieldId="67"/>
    <tableColumn id="68" xr3:uid="{252A5B9E-D32B-460E-AE2A-FF51D168C2C9}" uniqueName="68" name="Column68" queryTableFieldId="68"/>
    <tableColumn id="69" xr3:uid="{75CC15D3-F9A2-4895-A1BF-78196DDCB0FE}" uniqueName="69" name="Column69" queryTableFieldId="69" dataDxfId="0"/>
    <tableColumn id="70" xr3:uid="{BA623493-DCCA-4545-A4E4-60F810D23E1D}" uniqueName="70" name="Column70" queryTableFieldId="70"/>
    <tableColumn id="71" xr3:uid="{E9E6CB34-73B4-4128-ABFF-936ECD284D33}" uniqueName="71" name="Column71" queryTableFieldId="71"/>
    <tableColumn id="72" xr3:uid="{B8F4ECAB-06A9-4091-81F1-A206A9D5E5B5}" uniqueName="72" name="Column72" queryTableFieldId="72"/>
    <tableColumn id="73" xr3:uid="{54C3EFCE-1971-4471-B16E-D9EFE65A934E}" uniqueName="73" name="Column73" queryTableFieldId="73"/>
    <tableColumn id="74" xr3:uid="{04BEC8EC-9961-4157-92E1-97B7B58C92BF}" uniqueName="74" name="Column74" queryTableFieldId="74"/>
    <tableColumn id="75" xr3:uid="{44D179D5-0BB6-4AD9-9609-F51FD71B98BC}" uniqueName="75" name="Column75" queryTableFieldId="75"/>
    <tableColumn id="76" xr3:uid="{CDE16C6F-AA94-4311-A152-DC363004F7B4}" uniqueName="76" name="Column76" queryTableFieldId="76"/>
    <tableColumn id="77" xr3:uid="{31F1B296-B787-4ABC-9B11-A38AD51A06A3}" uniqueName="77" name="Column77" queryTableFieldId="77"/>
    <tableColumn id="78" xr3:uid="{747AD8D7-CBB0-4C73-A9D7-5E3A6A399428}" uniqueName="78" name="Column78" queryTableFieldId="78"/>
    <tableColumn id="79" xr3:uid="{9967AC36-8F80-4A60-9003-FC49FAF5A83D}" uniqueName="79" name="Column79" queryTableFieldId="79"/>
    <tableColumn id="80" xr3:uid="{F9E7A95D-4298-4778-8816-DF7D0A1D726E}" uniqueName="80" name="Column80" queryTableFieldId="80"/>
    <tableColumn id="81" xr3:uid="{FAA0224C-8F3F-4172-8D8F-549BBC9AFF61}" uniqueName="81" name="Column81" queryTableFieldId="81"/>
    <tableColumn id="82" xr3:uid="{C4F7E76B-1003-4248-8A9B-AA46516EA62E}" uniqueName="82" name="Column82" queryTableFieldId="82"/>
    <tableColumn id="83" xr3:uid="{9359ED60-AC2D-4AF7-8268-0384A68B2268}" uniqueName="83" name="Column83" queryTableFieldId="83"/>
    <tableColumn id="84" xr3:uid="{76B64275-4F8B-438A-80B9-9678C567427F}" uniqueName="84" name="Column84" queryTableFieldId="84"/>
    <tableColumn id="85" xr3:uid="{571C3279-B58D-4C05-A144-5C140BE9CCE1}" uniqueName="85" name="Column85" queryTableFieldId="85"/>
    <tableColumn id="86" xr3:uid="{CEC6940B-AFC7-4B24-BD47-C24E69A9DBE8}" uniqueName="86" name="Column86" queryTableFieldId="86"/>
    <tableColumn id="87" xr3:uid="{97196235-3556-4830-889D-3A34B7093C3B}" uniqueName="87" name="Column87" queryTableFieldId="87"/>
    <tableColumn id="88" xr3:uid="{87D35DEC-DC86-4E93-8B79-B298D198ABB5}" uniqueName="88" name="Column88" queryTableFieldId="88"/>
    <tableColumn id="89" xr3:uid="{7B97E6A7-D4C3-45BB-A90C-2E72B6396DDA}" uniqueName="89" name="Column89" queryTableFieldId="89"/>
    <tableColumn id="90" xr3:uid="{E12B322F-65DE-4A07-B212-B5C6807C59A8}" uniqueName="90" name="Column90" queryTableFieldId="90"/>
    <tableColumn id="91" xr3:uid="{42C3E3DA-4FD8-4465-8BDE-439741C16A1E}" uniqueName="91" name="Column91" queryTableFieldId="91"/>
    <tableColumn id="92" xr3:uid="{84B95325-C770-4AF1-8926-A2A4DC2819BD}" uniqueName="92" name="Column92" queryTableFieldId="92"/>
    <tableColumn id="93" xr3:uid="{6890DE9F-8DBA-4D71-AC12-EEFBA941CF2C}" uniqueName="93" name="Column93" queryTableFieldId="93"/>
    <tableColumn id="94" xr3:uid="{D7715F05-3094-4194-9AA8-3B4CB5215487}" uniqueName="94" name="Column94" queryTableFieldId="94"/>
    <tableColumn id="95" xr3:uid="{D1EE29C7-A8AA-4AB5-9365-031FF356659C}" uniqueName="95" name="Column95" queryTableFieldId="95"/>
    <tableColumn id="96" xr3:uid="{AC3FBDBF-B09D-4B6B-AD54-EA187EDC24C6}" uniqueName="96" name="Column96" queryTableFieldId="96"/>
    <tableColumn id="97" xr3:uid="{09CD9795-57A7-4862-82A0-CAFE0F143B1A}" uniqueName="97" name="Column97" queryTableFieldId="97"/>
    <tableColumn id="98" xr3:uid="{63A3EC6C-758A-4B50-A623-B1C16551DEC6}" uniqueName="98" name="Column98" queryTableFieldId="98"/>
    <tableColumn id="99" xr3:uid="{A915C4BD-E779-4B83-9D58-3E85D8D0E8D3}" uniqueName="99" name="Column99" queryTableFieldId="99"/>
    <tableColumn id="100" xr3:uid="{5698440D-872A-4E16-819A-907307577A5E}" uniqueName="100" name="Column100" queryTableFieldId="100"/>
    <tableColumn id="101" xr3:uid="{4855790A-619B-4366-9495-7DA0E29C780E}" uniqueName="101" name="Column101" queryTableFieldId="101"/>
    <tableColumn id="102" xr3:uid="{A4682F79-947D-4DBD-94BA-58D124520265}" uniqueName="102" name="Column102" queryTableFieldId="102"/>
    <tableColumn id="103" xr3:uid="{7A8B42B9-987A-4966-95AE-4832FD90ADEF}" uniqueName="103" name="Column103" queryTableFieldId="103"/>
    <tableColumn id="104" xr3:uid="{2C24C57C-EC13-4670-B506-B79B84A16D22}" uniqueName="104" name="Column104" queryTableFieldId="104"/>
    <tableColumn id="105" xr3:uid="{E9A6C0A1-30B4-4334-87F4-F9EA217D7F21}" uniqueName="105" name="Column105" queryTableFieldId="105"/>
    <tableColumn id="106" xr3:uid="{9EB9ABB5-5BD4-475A-A4EC-697594E86730}" uniqueName="106" name="Column106" queryTableFieldId="106"/>
    <tableColumn id="107" xr3:uid="{2742DC58-DA6F-413A-8795-805280CD5D61}" uniqueName="107" name="Column107" queryTableFieldId="107"/>
    <tableColumn id="108" xr3:uid="{417B1A6D-07C4-419A-9A17-98055F744C41}" uniqueName="108" name="Column108" queryTableFieldId="108"/>
    <tableColumn id="109" xr3:uid="{2ECCA0C8-F164-4278-BB4D-679A68304048}" uniqueName="109" name="Column109" queryTableFieldId="109"/>
    <tableColumn id="110" xr3:uid="{6139652E-7A84-4C61-A315-368A61886182}" uniqueName="110" name="Column110" queryTableFieldId="110"/>
    <tableColumn id="111" xr3:uid="{2AE5901F-8C68-4684-88B5-C5E413E0F7A3}" uniqueName="111" name="Column111" queryTableFieldId="111"/>
    <tableColumn id="112" xr3:uid="{D137DF3E-3C6F-48FC-93C7-BFC44672EF68}" uniqueName="112" name="Column112" queryTableFieldId="112"/>
    <tableColumn id="113" xr3:uid="{91895D2A-476E-49AB-8E05-1B011D1E1544}" uniqueName="113" name="Column113" queryTableFieldId="113"/>
    <tableColumn id="114" xr3:uid="{DF221E76-505D-4009-8C8A-46886469A782}" uniqueName="114" name="Column114" queryTableFieldId="114"/>
    <tableColumn id="115" xr3:uid="{546C061F-4CAF-4E3B-B856-E75F051E3F0C}" uniqueName="115" name="Column115" queryTableFieldId="115"/>
    <tableColumn id="116" xr3:uid="{5577AF89-724F-4FA7-B960-B5E3A16798D3}" uniqueName="116" name="Column116" queryTableFieldId="116"/>
    <tableColumn id="117" xr3:uid="{2BDC396C-637C-476A-849F-90A8FEEF36B2}" uniqueName="117" name="Column117" queryTableFieldId="117"/>
    <tableColumn id="118" xr3:uid="{99C0A1F5-CC6F-42EA-A4A1-A7BE596002C6}" uniqueName="118" name="Column118" queryTableFieldId="118"/>
    <tableColumn id="119" xr3:uid="{5842089A-1FDA-4180-9C70-FD9BC47503E0}" uniqueName="119" name="Column119" queryTableFieldId="119"/>
    <tableColumn id="120" xr3:uid="{9DAF4C77-3DA1-4A2E-AADC-7153626F1E1E}" uniqueName="120" name="Column120" queryTableFieldId="120"/>
    <tableColumn id="121" xr3:uid="{9B935026-07CA-46D2-962F-308F4A819287}" uniqueName="121" name="Column121" queryTableFieldId="121"/>
    <tableColumn id="122" xr3:uid="{B44114D9-BD23-4424-80DB-A2EF5B6CFCAF}" uniqueName="122" name="Column122" queryTableFieldId="122"/>
    <tableColumn id="123" xr3:uid="{EA9C6F82-C8DC-40BB-92C9-283BFC083542}" uniqueName="123" name="Column123" queryTableFieldId="123"/>
    <tableColumn id="124" xr3:uid="{39B7062B-6F5B-4CFD-A38B-3F60B49E9F7E}" uniqueName="124" name="Column124" queryTableFieldId="124"/>
    <tableColumn id="125" xr3:uid="{F471425D-466F-44FB-891B-D614F5E5C693}" uniqueName="125" name="Column125" queryTableFieldId="125"/>
    <tableColumn id="126" xr3:uid="{DB35AD7B-3701-4BD5-BE53-B7CF7772C21F}" uniqueName="126" name="Column126" queryTableFieldId="126"/>
    <tableColumn id="127" xr3:uid="{09E4DE4B-C54D-4B65-84B0-1A97C9C46D65}" uniqueName="127" name="Column127" queryTableFieldId="127"/>
    <tableColumn id="128" xr3:uid="{D1FEDCC0-8095-4394-8001-872820CD5755}" uniqueName="128" name="Column128" queryTableFieldId="128"/>
    <tableColumn id="129" xr3:uid="{16E67781-4748-4A9A-9B59-287C4F475048}" uniqueName="129" name="Column129" queryTableFieldId="129"/>
    <tableColumn id="130" xr3:uid="{E5546B84-94A6-45D3-A09B-E0C93243FBC3}" uniqueName="130" name="Column130" queryTableFieldId="130"/>
    <tableColumn id="131" xr3:uid="{C1EAE7AB-15B0-4415-9F2F-D2E49FBC3468}" uniqueName="131" name="Column131" queryTableFieldId="131"/>
    <tableColumn id="132" xr3:uid="{73123A5F-C349-4E96-A65C-D27B928447C7}" uniqueName="132" name="Column132" queryTableFieldId="132"/>
    <tableColumn id="133" xr3:uid="{18350B72-E6AE-4F3A-8866-051FB09ACA17}" uniqueName="133" name="Column133" queryTableFieldId="133"/>
    <tableColumn id="134" xr3:uid="{BF2F0FC7-1593-429A-BDF7-17F488B296C1}" uniqueName="134" name="Column134" queryTableFieldId="134"/>
    <tableColumn id="135" xr3:uid="{107FBE84-267F-4419-8430-87E9A9E4EB93}" uniqueName="135" name="Column135" queryTableFieldId="135"/>
    <tableColumn id="136" xr3:uid="{6A9D0376-F838-4DC9-B641-592D9A4AE1C7}" uniqueName="136" name="Column136" queryTableFieldId="136"/>
    <tableColumn id="137" xr3:uid="{142E17C0-7B72-41CF-96B3-595F5FE2F824}" uniqueName="137" name="Column137" queryTableFieldId="137"/>
    <tableColumn id="138" xr3:uid="{331A9779-BA95-4496-BF51-C17000E58B1E}" uniqueName="138" name="Column138" queryTableFieldId="138"/>
    <tableColumn id="139" xr3:uid="{33747633-293A-47AD-9C9E-D7A035E82CF8}" uniqueName="139" name="Column139" queryTableFieldId="139"/>
    <tableColumn id="140" xr3:uid="{EE4F5DEF-C3AB-4082-8290-272B4C632F91}" uniqueName="140" name="Column140" queryTableFieldId="140"/>
    <tableColumn id="141" xr3:uid="{AEEBDF2B-01AE-44DA-8C9D-DD154A3BD9B2}" uniqueName="141" name="Column141" queryTableFieldId="141"/>
    <tableColumn id="142" xr3:uid="{71B738E6-4D78-46D4-B5B5-AD5382D921C5}" uniqueName="142" name="Column142" queryTableFieldId="142"/>
    <tableColumn id="143" xr3:uid="{C0B44055-8E09-464B-AB6B-D7866956ACDD}" uniqueName="143" name="Column143" queryTableFieldId="143"/>
    <tableColumn id="144" xr3:uid="{FB3DFC5C-7658-4FA6-A0EB-7BEDC3E57C64}" uniqueName="144" name="Column144" queryTableFieldId="14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67C67-E3E9-4918-BF49-495A28478D28}">
  <sheetPr codeName="wrk_PL"/>
  <dimension ref="A1:EE378"/>
  <sheetViews>
    <sheetView showGridLines="0" tabSelected="1" zoomScale="77" zoomScaleNormal="77" workbookViewId="0">
      <pane xSplit="8" ySplit="6" topLeftCell="AV7" activePane="bottomRight" state="frozen"/>
      <selection activeCell="H10" sqref="H10"/>
      <selection pane="topRight" activeCell="H10" sqref="H10"/>
      <selection pane="bottomLeft" activeCell="H10" sqref="H10"/>
      <selection pane="bottomRight" activeCell="BG22" sqref="BG22"/>
    </sheetView>
  </sheetViews>
  <sheetFormatPr defaultColWidth="8.81640625" defaultRowHeight="14.5" x14ac:dyDescent="0.35"/>
  <cols>
    <col min="1" max="1" width="2.6328125" hidden="1" customWidth="1"/>
    <col min="2" max="7" width="5.6328125" hidden="1" customWidth="1"/>
    <col min="8" max="8" width="11.1796875" customWidth="1"/>
    <col min="9" max="13" width="15.6328125" customWidth="1"/>
    <col min="14" max="23" width="12.6328125" customWidth="1"/>
    <col min="24" max="24" width="5.6328125" customWidth="1"/>
    <col min="25" max="25" width="11.6328125" customWidth="1"/>
    <col min="26" max="30" width="15.6328125" customWidth="1"/>
    <col min="31" max="40" width="12.6328125" customWidth="1"/>
    <col min="41" max="41" width="5.6328125" customWidth="1"/>
    <col min="42" max="42" width="11.6328125" customWidth="1"/>
    <col min="43" max="47" width="15.6328125" customWidth="1"/>
    <col min="48" max="52" width="12.6328125" customWidth="1"/>
    <col min="53" max="53" width="14" customWidth="1"/>
    <col min="54" max="54" width="13.453125" customWidth="1"/>
    <col min="55" max="55" width="13.81640625" customWidth="1"/>
    <col min="56" max="56" width="15.453125" customWidth="1"/>
    <col min="57" max="57" width="15" customWidth="1"/>
    <col min="58" max="58" width="5.6328125" customWidth="1"/>
    <col min="59" max="59" width="11.6328125" customWidth="1"/>
    <col min="60" max="64" width="15.6328125" customWidth="1"/>
    <col min="65" max="74" width="12.6328125" customWidth="1"/>
    <col min="75" max="75" width="5.6328125" customWidth="1"/>
    <col min="76" max="76" width="11.6328125" customWidth="1"/>
    <col min="77" max="81" width="15.6328125" customWidth="1"/>
    <col min="82" max="91" width="12.6328125" customWidth="1"/>
    <col min="92" max="92" width="5.6328125" customWidth="1"/>
    <col min="93" max="94" width="12.6328125" customWidth="1"/>
    <col min="95" max="95" width="13.6328125" customWidth="1"/>
    <col min="96" max="97" width="12.6328125" customWidth="1"/>
    <col min="98" max="98" width="14.6328125" customWidth="1"/>
    <col min="99" max="105" width="12.6328125" customWidth="1"/>
    <col min="106" max="106" width="9.1796875" customWidth="1"/>
    <col min="107" max="111" width="15.453125" customWidth="1"/>
    <col min="112" max="112" width="9.1796875" customWidth="1"/>
    <col min="113" max="125" width="15.6328125" customWidth="1"/>
  </cols>
  <sheetData>
    <row r="1" spans="2:117" x14ac:dyDescent="0.35">
      <c r="I1" s="1" t="str">
        <f>LEFT(I56,1)</f>
        <v>G</v>
      </c>
      <c r="J1" s="1" t="str">
        <f>I1</f>
        <v>G</v>
      </c>
      <c r="K1" s="1" t="str">
        <f>J1</f>
        <v>G</v>
      </c>
      <c r="L1" s="1" t="str">
        <f>K1</f>
        <v>G</v>
      </c>
      <c r="M1" s="1" t="str">
        <f>L1</f>
        <v>G</v>
      </c>
      <c r="N1" s="1" t="str">
        <f>LEFT(N56,1)</f>
        <v>B</v>
      </c>
      <c r="O1" s="1" t="str">
        <f>N1</f>
        <v>B</v>
      </c>
      <c r="P1" s="1" t="str">
        <f>O1</f>
        <v>B</v>
      </c>
      <c r="Q1" s="1" t="str">
        <f>P1</f>
        <v>B</v>
      </c>
      <c r="R1" s="1" t="str">
        <f>Q1</f>
        <v>B</v>
      </c>
      <c r="BH1" s="2"/>
      <c r="BI1" s="2"/>
      <c r="BJ1" s="2"/>
      <c r="BK1" s="2"/>
      <c r="BL1" s="2"/>
    </row>
    <row r="2" spans="2:117" x14ac:dyDescent="0.35">
      <c r="I2" s="1"/>
      <c r="J2" s="1"/>
      <c r="K2" s="1"/>
      <c r="L2" s="1"/>
      <c r="M2" s="1"/>
      <c r="N2" s="1"/>
      <c r="O2" s="1"/>
      <c r="P2" s="1"/>
      <c r="Q2" s="1"/>
      <c r="R2" s="1"/>
      <c r="BH2" s="2"/>
      <c r="BI2" s="2"/>
      <c r="BJ2" s="2"/>
      <c r="BK2" s="2"/>
      <c r="BL2" s="2"/>
    </row>
    <row r="3" spans="2:117" x14ac:dyDescent="0.35">
      <c r="I3" s="1"/>
      <c r="J3" s="1"/>
      <c r="K3" s="1"/>
      <c r="L3" s="1"/>
      <c r="M3" s="1"/>
      <c r="N3" s="1"/>
      <c r="O3" s="1"/>
      <c r="P3" s="1"/>
      <c r="Q3" s="1"/>
      <c r="R3" s="1"/>
      <c r="BH3" s="2"/>
      <c r="BI3" s="2"/>
      <c r="BJ3" s="2"/>
      <c r="BK3" s="2"/>
      <c r="BL3" s="2"/>
    </row>
    <row r="4" spans="2:117" x14ac:dyDescent="0.35">
      <c r="I4" s="1"/>
      <c r="J4" s="1"/>
      <c r="K4" s="1"/>
      <c r="L4" s="1"/>
      <c r="M4" s="1"/>
      <c r="N4" s="3"/>
      <c r="O4" s="1"/>
      <c r="P4" s="1"/>
      <c r="Q4" s="1"/>
      <c r="R4" s="1"/>
      <c r="S4" s="4"/>
      <c r="BH4" s="2"/>
      <c r="BI4" s="2"/>
      <c r="BJ4" s="2"/>
      <c r="BK4" s="2"/>
      <c r="BL4" s="2"/>
    </row>
    <row r="5" spans="2:117" ht="15" thickBot="1" x14ac:dyDescent="0.4">
      <c r="BH5" s="2"/>
      <c r="BI5" s="2"/>
      <c r="BJ5" s="2"/>
      <c r="BK5" s="2"/>
      <c r="BL5" s="2"/>
      <c r="BY5" s="5"/>
    </row>
    <row r="6" spans="2:117" ht="15" thickBot="1" x14ac:dyDescent="0.4">
      <c r="I6" s="6" t="s">
        <v>0</v>
      </c>
      <c r="J6" s="7"/>
      <c r="K6" s="7"/>
      <c r="L6" s="7"/>
      <c r="M6" s="7"/>
      <c r="N6" s="6"/>
      <c r="O6" s="7"/>
      <c r="P6" s="7"/>
      <c r="Q6" s="7"/>
      <c r="R6" s="7"/>
      <c r="S6" s="7"/>
      <c r="T6" s="7"/>
      <c r="U6" s="7"/>
      <c r="V6" s="7"/>
      <c r="W6" s="8"/>
      <c r="Z6" s="9" t="str">
        <f>"Pre-Shift + ANNUALIZATION"</f>
        <v>Pre-Shift + ANNUALIZATION</v>
      </c>
      <c r="AA6" s="10"/>
      <c r="AB6" s="10"/>
      <c r="AC6" s="10"/>
      <c r="AD6" s="10"/>
      <c r="AE6" s="11"/>
      <c r="AF6" s="10"/>
      <c r="AG6" s="10"/>
      <c r="AH6" s="10"/>
      <c r="AI6" s="10"/>
      <c r="AJ6" s="10"/>
      <c r="AK6" s="10"/>
      <c r="AL6" s="10"/>
      <c r="AM6" s="10"/>
      <c r="AN6" s="12"/>
      <c r="AQ6" s="13" t="str">
        <f>IF([1]Input!$K$123="No","Pre-Shift + Annualization", "Annualization + SHIFT") &amp; " + HEP C ADJ"</f>
        <v>Pre-Shift + Annualization + HEP C ADJ</v>
      </c>
      <c r="AR6" s="14"/>
      <c r="AS6" s="14"/>
      <c r="AT6" s="14"/>
      <c r="AU6" s="14"/>
      <c r="AV6" s="15"/>
      <c r="AW6" s="14"/>
      <c r="AX6" s="14"/>
      <c r="AY6" s="14"/>
      <c r="AZ6" s="14"/>
      <c r="BA6" s="14"/>
      <c r="BB6" s="14"/>
      <c r="BC6" s="14"/>
      <c r="BD6" s="14"/>
      <c r="BE6" s="16"/>
      <c r="BH6" s="17" t="str">
        <f>IF([1]Input!$K$123="No","Pre-Shift + Annualization + Hep C adj", "Annualization + Shift + Hep C adj") &amp; " + LIFT"</f>
        <v>Pre-Shift + Annualization + Hep C adj + LIFT</v>
      </c>
      <c r="BI6" s="18"/>
      <c r="BJ6" s="18"/>
      <c r="BK6" s="18"/>
      <c r="BL6" s="18"/>
      <c r="BM6" s="19"/>
      <c r="BN6" s="18"/>
      <c r="BO6" s="18"/>
      <c r="BP6" s="18"/>
      <c r="BQ6" s="18"/>
      <c r="BR6" s="18"/>
      <c r="BS6" s="18"/>
      <c r="BT6" s="18"/>
      <c r="BU6" s="18"/>
      <c r="BV6" s="20"/>
      <c r="BY6" s="17" t="str">
        <f>IF([1]Input!$K$123="No","Pre-Shift + Annualization + Hep C adj + Lift", "Annualization + Shift + Hep C adj + Lift") &amp; " + INCREMENTAL BRAND"</f>
        <v>Pre-Shift + Annualization + Hep C adj + Lift + INCREMENTAL BRAND</v>
      </c>
      <c r="BZ6" s="18"/>
      <c r="CA6" s="18"/>
      <c r="CB6" s="18"/>
      <c r="CC6" s="18"/>
      <c r="CD6" s="19"/>
      <c r="CE6" s="18"/>
      <c r="CF6" s="18"/>
      <c r="CG6" s="18"/>
      <c r="CH6" s="18"/>
      <c r="CI6" s="18"/>
      <c r="CJ6" s="18"/>
      <c r="CK6" s="18"/>
      <c r="CL6" s="18"/>
      <c r="CM6" s="20"/>
    </row>
    <row r="7" spans="2:117" ht="15" thickBot="1" x14ac:dyDescent="0.4"/>
    <row r="8" spans="2:117" ht="15" thickBot="1" x14ac:dyDescent="0.4">
      <c r="I8" s="21" t="s">
        <v>1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3"/>
      <c r="Z8" s="24" t="s">
        <v>1</v>
      </c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6"/>
      <c r="AQ8" s="27" t="s">
        <v>1</v>
      </c>
      <c r="AR8" s="28"/>
      <c r="AS8" s="28"/>
      <c r="AT8" s="28"/>
      <c r="AU8" s="29"/>
      <c r="AV8" s="28"/>
      <c r="AW8" s="28"/>
      <c r="AX8" s="28"/>
      <c r="AY8" s="28"/>
      <c r="AZ8" s="28"/>
      <c r="BA8" s="28"/>
      <c r="BB8" s="28"/>
      <c r="BC8" s="28"/>
      <c r="BD8" s="28"/>
      <c r="BE8" s="30"/>
      <c r="BH8" s="31" t="s">
        <v>1</v>
      </c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3"/>
      <c r="BY8" s="34" t="s">
        <v>1</v>
      </c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6"/>
      <c r="DC8" s="34" t="s">
        <v>1</v>
      </c>
      <c r="DD8" s="35"/>
      <c r="DE8" s="35"/>
      <c r="DF8" s="35"/>
      <c r="DG8" s="36"/>
      <c r="DI8" s="34" t="s">
        <v>1</v>
      </c>
      <c r="DJ8" s="35"/>
      <c r="DK8" s="35"/>
      <c r="DL8" s="35"/>
      <c r="DM8" s="36"/>
    </row>
    <row r="9" spans="2:117" ht="15" thickBot="1" x14ac:dyDescent="0.4">
      <c r="H9" s="37"/>
      <c r="I9" s="38" t="s">
        <v>2</v>
      </c>
      <c r="J9" s="39"/>
      <c r="K9" s="39"/>
      <c r="L9" s="39"/>
      <c r="M9" s="40"/>
      <c r="N9" s="38" t="s">
        <v>3</v>
      </c>
      <c r="O9" s="39"/>
      <c r="P9" s="39"/>
      <c r="Q9" s="39"/>
      <c r="R9" s="40"/>
      <c r="S9" s="38" t="s">
        <v>4</v>
      </c>
      <c r="T9" s="39"/>
      <c r="U9" s="39"/>
      <c r="V9" s="39"/>
      <c r="W9" s="40"/>
      <c r="Z9" s="41" t="s">
        <v>2</v>
      </c>
      <c r="AA9" s="42"/>
      <c r="AB9" s="42"/>
      <c r="AC9" s="42"/>
      <c r="AD9" s="43"/>
      <c r="AE9" s="41" t="s">
        <v>3</v>
      </c>
      <c r="AF9" s="42"/>
      <c r="AG9" s="42"/>
      <c r="AH9" s="42"/>
      <c r="AI9" s="43"/>
      <c r="AJ9" s="41" t="s">
        <v>4</v>
      </c>
      <c r="AK9" s="42"/>
      <c r="AL9" s="42"/>
      <c r="AM9" s="42"/>
      <c r="AN9" s="43"/>
      <c r="AQ9" s="44" t="s">
        <v>2</v>
      </c>
      <c r="AR9" s="45"/>
      <c r="AS9" s="45"/>
      <c r="AT9" s="45"/>
      <c r="AU9" s="46"/>
      <c r="AV9" s="44" t="s">
        <v>3</v>
      </c>
      <c r="AW9" s="45"/>
      <c r="AX9" s="45"/>
      <c r="AY9" s="45"/>
      <c r="AZ9" s="46"/>
      <c r="BA9" s="45" t="s">
        <v>4</v>
      </c>
      <c r="BB9" s="45"/>
      <c r="BC9" s="45"/>
      <c r="BD9" s="45"/>
      <c r="BE9" s="46"/>
      <c r="BH9" s="47" t="s">
        <v>2</v>
      </c>
      <c r="BI9" s="48"/>
      <c r="BJ9" s="48"/>
      <c r="BK9" s="48"/>
      <c r="BL9" s="49"/>
      <c r="BM9" s="47" t="s">
        <v>3</v>
      </c>
      <c r="BN9" s="48"/>
      <c r="BO9" s="48"/>
      <c r="BP9" s="48"/>
      <c r="BQ9" s="49"/>
      <c r="BR9" s="50" t="s">
        <v>4</v>
      </c>
      <c r="BS9" s="50"/>
      <c r="BT9" s="50"/>
      <c r="BU9" s="50"/>
      <c r="BV9" s="51"/>
      <c r="BY9" s="47" t="s">
        <v>2</v>
      </c>
      <c r="BZ9" s="48"/>
      <c r="CA9" s="48"/>
      <c r="CB9" s="48"/>
      <c r="CC9" s="49"/>
      <c r="CD9" s="47" t="s">
        <v>3</v>
      </c>
      <c r="CE9" s="48"/>
      <c r="CF9" s="48"/>
      <c r="CG9" s="48"/>
      <c r="CH9" s="49"/>
      <c r="CI9" s="50" t="s">
        <v>4</v>
      </c>
      <c r="CJ9" s="50"/>
      <c r="CK9" s="50"/>
      <c r="CL9" s="50"/>
      <c r="CM9" s="51"/>
      <c r="DC9" s="52" t="s">
        <v>5</v>
      </c>
      <c r="DD9" s="50"/>
      <c r="DE9" s="50"/>
      <c r="DF9" s="50"/>
      <c r="DG9" s="51"/>
      <c r="DI9" s="52" t="s">
        <v>6</v>
      </c>
      <c r="DJ9" s="50"/>
      <c r="DK9" s="50"/>
      <c r="DL9" s="50"/>
      <c r="DM9" s="51"/>
    </row>
    <row r="10" spans="2:117" ht="15" thickBot="1" x14ac:dyDescent="0.4">
      <c r="B10" s="53" t="s">
        <v>7</v>
      </c>
      <c r="C10" s="53" t="s">
        <v>8</v>
      </c>
      <c r="D10" s="53" t="s">
        <v>9</v>
      </c>
      <c r="E10" s="54" t="s">
        <v>10</v>
      </c>
      <c r="F10" s="54"/>
      <c r="H10" s="55"/>
      <c r="I10" s="56" t="str">
        <f>[1]Tables!$AA$4</f>
        <v>07/27 - 06/28</v>
      </c>
      <c r="J10" s="55" t="str">
        <f>[1]Tables!$AA$5</f>
        <v>07/28 - 06/29</v>
      </c>
      <c r="K10" s="55" t="str">
        <f>[1]Tables!$AA$6</f>
        <v>07/29 - 06/30</v>
      </c>
      <c r="L10" s="55" t="str">
        <f>[1]Tables!$AA$7</f>
        <v>07/30 - 06/31</v>
      </c>
      <c r="M10" s="57" t="str">
        <f>[1]Tables!$AA$8</f>
        <v>07/31 - 06/32</v>
      </c>
      <c r="N10" s="56" t="str">
        <f>[1]Tables!$AA$4</f>
        <v>07/27 - 06/28</v>
      </c>
      <c r="O10" s="55" t="str">
        <f>[1]Tables!$AA$5</f>
        <v>07/28 - 06/29</v>
      </c>
      <c r="P10" s="55" t="str">
        <f>[1]Tables!$AA$6</f>
        <v>07/29 - 06/30</v>
      </c>
      <c r="Q10" s="55" t="str">
        <f>[1]Tables!$AA$7</f>
        <v>07/30 - 06/31</v>
      </c>
      <c r="R10" s="57" t="str">
        <f>[1]Tables!$AA$8</f>
        <v>07/31 - 06/32</v>
      </c>
      <c r="S10" s="56" t="str">
        <f>[1]Tables!$AA$4</f>
        <v>07/27 - 06/28</v>
      </c>
      <c r="T10" s="55" t="str">
        <f>[1]Tables!$AA$5</f>
        <v>07/28 - 06/29</v>
      </c>
      <c r="U10" s="55" t="str">
        <f>[1]Tables!$AA$6</f>
        <v>07/29 - 06/30</v>
      </c>
      <c r="V10" s="55" t="str">
        <f>[1]Tables!$AA$7</f>
        <v>07/30 - 06/31</v>
      </c>
      <c r="W10" s="57" t="str">
        <f>[1]Tables!$AA$8</f>
        <v>07/31 - 06/32</v>
      </c>
      <c r="Y10" s="58"/>
      <c r="Z10" s="59" t="str">
        <f>[1]Tables!$AA$4</f>
        <v>07/27 - 06/28</v>
      </c>
      <c r="AA10" s="60" t="str">
        <f>[1]Tables!$AA$5</f>
        <v>07/28 - 06/29</v>
      </c>
      <c r="AB10" s="60" t="str">
        <f>[1]Tables!$AA$6</f>
        <v>07/29 - 06/30</v>
      </c>
      <c r="AC10" s="60" t="str">
        <f>[1]Tables!$AA$7</f>
        <v>07/30 - 06/31</v>
      </c>
      <c r="AD10" s="61" t="str">
        <f>[1]Tables!$AA$8</f>
        <v>07/31 - 06/32</v>
      </c>
      <c r="AE10" s="59" t="str">
        <f>[1]Tables!$AA$4</f>
        <v>07/27 - 06/28</v>
      </c>
      <c r="AF10" s="60" t="str">
        <f>[1]Tables!$AA$5</f>
        <v>07/28 - 06/29</v>
      </c>
      <c r="AG10" s="60" t="str">
        <f>[1]Tables!$AA$6</f>
        <v>07/29 - 06/30</v>
      </c>
      <c r="AH10" s="60" t="str">
        <f>[1]Tables!$AA$7</f>
        <v>07/30 - 06/31</v>
      </c>
      <c r="AI10" s="61" t="str">
        <f>[1]Tables!$AA$8</f>
        <v>07/31 - 06/32</v>
      </c>
      <c r="AJ10" s="59" t="str">
        <f>[1]Tables!$AA$4</f>
        <v>07/27 - 06/28</v>
      </c>
      <c r="AK10" s="60" t="str">
        <f>[1]Tables!$AA$5</f>
        <v>07/28 - 06/29</v>
      </c>
      <c r="AL10" s="60" t="str">
        <f>[1]Tables!$AA$6</f>
        <v>07/29 - 06/30</v>
      </c>
      <c r="AM10" s="60" t="str">
        <f>[1]Tables!$AA$7</f>
        <v>07/30 - 06/31</v>
      </c>
      <c r="AN10" s="61" t="str">
        <f>[1]Tables!$AA$8</f>
        <v>07/31 - 06/32</v>
      </c>
      <c r="AP10" s="58"/>
      <c r="AQ10" s="62" t="str">
        <f>[1]Tables!$AA$4</f>
        <v>07/27 - 06/28</v>
      </c>
      <c r="AR10" s="63" t="str">
        <f>[1]Tables!$AA$5</f>
        <v>07/28 - 06/29</v>
      </c>
      <c r="AS10" s="63" t="str">
        <f>[1]Tables!$AA$6</f>
        <v>07/29 - 06/30</v>
      </c>
      <c r="AT10" s="63" t="str">
        <f>[1]Tables!$AA$7</f>
        <v>07/30 - 06/31</v>
      </c>
      <c r="AU10" s="64" t="str">
        <f>[1]Tables!$AA$8</f>
        <v>07/31 - 06/32</v>
      </c>
      <c r="AV10" s="62" t="str">
        <f>[1]Tables!$AA$4</f>
        <v>07/27 - 06/28</v>
      </c>
      <c r="AW10" s="63" t="str">
        <f>[1]Tables!$AA$5</f>
        <v>07/28 - 06/29</v>
      </c>
      <c r="AX10" s="63" t="str">
        <f>[1]Tables!$AA$6</f>
        <v>07/29 - 06/30</v>
      </c>
      <c r="AY10" s="63" t="str">
        <f>[1]Tables!$AA$7</f>
        <v>07/30 - 06/31</v>
      </c>
      <c r="AZ10" s="64" t="str">
        <f>[1]Tables!$AA$8</f>
        <v>07/31 - 06/32</v>
      </c>
      <c r="BA10" s="63" t="str">
        <f>[1]Tables!$AA$4</f>
        <v>07/27 - 06/28</v>
      </c>
      <c r="BB10" s="63" t="str">
        <f>[1]Tables!$AA$5</f>
        <v>07/28 - 06/29</v>
      </c>
      <c r="BC10" s="63" t="str">
        <f>[1]Tables!$AA$6</f>
        <v>07/29 - 06/30</v>
      </c>
      <c r="BD10" s="63" t="str">
        <f>[1]Tables!$AA$7</f>
        <v>07/30 - 06/31</v>
      </c>
      <c r="BE10" s="64" t="str">
        <f>[1]Tables!$AA$8</f>
        <v>07/31 - 06/32</v>
      </c>
      <c r="BG10" s="58"/>
      <c r="BH10" s="65" t="str">
        <f>[1]Tables!$AA$4</f>
        <v>07/27 - 06/28</v>
      </c>
      <c r="BI10" s="66" t="str">
        <f>[1]Tables!$AA$5</f>
        <v>07/28 - 06/29</v>
      </c>
      <c r="BJ10" s="66" t="str">
        <f>[1]Tables!$AA$6</f>
        <v>07/29 - 06/30</v>
      </c>
      <c r="BK10" s="66" t="str">
        <f>[1]Tables!$AA$7</f>
        <v>07/30 - 06/31</v>
      </c>
      <c r="BL10" s="67" t="str">
        <f>[1]Tables!$AA$8</f>
        <v>07/31 - 06/32</v>
      </c>
      <c r="BM10" s="65" t="str">
        <f>[1]Tables!$AA$4</f>
        <v>07/27 - 06/28</v>
      </c>
      <c r="BN10" s="66" t="str">
        <f>[1]Tables!$AA$5</f>
        <v>07/28 - 06/29</v>
      </c>
      <c r="BO10" s="66" t="str">
        <f>[1]Tables!$AA$6</f>
        <v>07/29 - 06/30</v>
      </c>
      <c r="BP10" s="66" t="str">
        <f>[1]Tables!$AA$7</f>
        <v>07/30 - 06/31</v>
      </c>
      <c r="BQ10" s="67" t="str">
        <f>[1]Tables!$AA$8</f>
        <v>07/31 - 06/32</v>
      </c>
      <c r="BR10" s="66" t="str">
        <f>[1]Tables!$AA$4</f>
        <v>07/27 - 06/28</v>
      </c>
      <c r="BS10" s="66" t="str">
        <f>[1]Tables!$AA$5</f>
        <v>07/28 - 06/29</v>
      </c>
      <c r="BT10" s="66" t="str">
        <f>[1]Tables!$AA$6</f>
        <v>07/29 - 06/30</v>
      </c>
      <c r="BU10" s="66" t="str">
        <f>[1]Tables!$AA$7</f>
        <v>07/30 - 06/31</v>
      </c>
      <c r="BV10" s="67" t="str">
        <f>[1]Tables!$AA$8</f>
        <v>07/31 - 06/32</v>
      </c>
      <c r="BX10" s="58"/>
      <c r="BY10" s="65" t="str">
        <f>[1]Tables!$AA$4</f>
        <v>07/27 - 06/28</v>
      </c>
      <c r="BZ10" s="66" t="str">
        <f>[1]Tables!$AA$5</f>
        <v>07/28 - 06/29</v>
      </c>
      <c r="CA10" s="66" t="str">
        <f>[1]Tables!$AA$6</f>
        <v>07/29 - 06/30</v>
      </c>
      <c r="CB10" s="66" t="str">
        <f>[1]Tables!$AA$7</f>
        <v>07/30 - 06/31</v>
      </c>
      <c r="CC10" s="67" t="str">
        <f>[1]Tables!$AA$8</f>
        <v>07/31 - 06/32</v>
      </c>
      <c r="CD10" s="65" t="str">
        <f>[1]Tables!$AA$4</f>
        <v>07/27 - 06/28</v>
      </c>
      <c r="CE10" s="66" t="str">
        <f>[1]Tables!$AA$5</f>
        <v>07/28 - 06/29</v>
      </c>
      <c r="CF10" s="66" t="str">
        <f>[1]Tables!$AA$6</f>
        <v>07/29 - 06/30</v>
      </c>
      <c r="CG10" s="66" t="str">
        <f>[1]Tables!$AA$7</f>
        <v>07/30 - 06/31</v>
      </c>
      <c r="CH10" s="67" t="str">
        <f>[1]Tables!$AA$8</f>
        <v>07/31 - 06/32</v>
      </c>
      <c r="CI10" s="66" t="str">
        <f>[1]Tables!$AA$4</f>
        <v>07/27 - 06/28</v>
      </c>
      <c r="CJ10" s="66" t="str">
        <f>[1]Tables!$AA$5</f>
        <v>07/28 - 06/29</v>
      </c>
      <c r="CK10" s="66" t="str">
        <f>[1]Tables!$AA$6</f>
        <v>07/29 - 06/30</v>
      </c>
      <c r="CL10" s="66" t="str">
        <f>[1]Tables!$AA$7</f>
        <v>07/30 - 06/31</v>
      </c>
      <c r="CM10" s="67" t="str">
        <f>[1]Tables!$AA$8</f>
        <v>07/31 - 06/32</v>
      </c>
      <c r="DC10" s="65" t="str">
        <f>[1]Tables!$AA$4</f>
        <v>07/27 - 06/28</v>
      </c>
      <c r="DD10" s="66" t="str">
        <f>[1]Tables!$AA$5</f>
        <v>07/28 - 06/29</v>
      </c>
      <c r="DE10" s="66" t="str">
        <f>[1]Tables!$AA$6</f>
        <v>07/29 - 06/30</v>
      </c>
      <c r="DF10" s="66" t="str">
        <f>[1]Tables!$AA$7</f>
        <v>07/30 - 06/31</v>
      </c>
      <c r="DG10" s="67" t="str">
        <f>[1]Tables!$AA$8</f>
        <v>07/31 - 06/32</v>
      </c>
      <c r="DI10" s="65" t="str">
        <f>[1]Tables!$AA$4</f>
        <v>07/27 - 06/28</v>
      </c>
      <c r="DJ10" s="66" t="str">
        <f>[1]Tables!$AA$5</f>
        <v>07/28 - 06/29</v>
      </c>
      <c r="DK10" s="66" t="str">
        <f>[1]Tables!$AA$6</f>
        <v>07/29 - 06/30</v>
      </c>
      <c r="DL10" s="66" t="str">
        <f>[1]Tables!$AA$7</f>
        <v>07/30 - 06/31</v>
      </c>
      <c r="DM10" s="67" t="str">
        <f>[1]Tables!$AA$8</f>
        <v>07/31 - 06/32</v>
      </c>
    </row>
    <row r="11" spans="2:117" x14ac:dyDescent="0.35">
      <c r="B11" s="68" t="s">
        <v>11</v>
      </c>
      <c r="C11" s="69">
        <v>30</v>
      </c>
      <c r="D11" s="69" t="s">
        <v>12</v>
      </c>
      <c r="E11" s="68" t="s">
        <v>12</v>
      </c>
      <c r="F11" s="70" t="s">
        <v>13</v>
      </c>
      <c r="H11" s="71" t="s">
        <v>14</v>
      </c>
      <c r="I11" s="72" t="e" cm="1">
        <f t="array" aca="1" ref="I11" ca="1">SUMIFS(INDIRECT('[1]RA Output'!BP$1), rng_out_mail_ind, $B11, rng_out_ds, $C11, rng_out_sel_sp_ind, $D11, rng_out_sel_excl_ind,$E11)
+ SUMIFS(INDIRECT('[1]RA Output'!BP$1), rng_out_mail_ind, $B11, rng_out_ds, $C11, rng_out_sel_sp_ind, $D11, rng_out_sel_excl_ind,$F11, rng_out_sel_excl_yr_ind, "&gt;0", rng_out_sel_excl_ind,$F11)
+ IF([1]Tables!$C$16=[1]Tables!$CF$4, SUMIFS(INDIRECT('[1]RA Output'!BP$1), rng_out_mail_ind, $B11, rng_out_ds, $C11, rng_out_sel_sp_ind, $D11, rng_out_sel_excl_ind,$F11,rng_out_sel_excl_yr_ind, ""), 0)</f>
        <v>#REF!</v>
      </c>
      <c r="J11" s="5" t="e" cm="1">
        <f t="array" aca="1" ref="J11" ca="1">SUMIFS(INDIRECT('[1]RA Output'!BQ$1), rng_out_mail_ind, $B11, rng_out_ds, $C11, rng_out_sel_sp_ind, $D11, rng_out_sel_excl_ind,$E11)
+ SUMIFS(INDIRECT('[1]RA Output'!BQ$1), rng_out_mail_ind, $B11, rng_out_ds, $C11, rng_out_sel_sp_ind, $D11, rng_out_sel_excl_ind,$F11, rng_out_sel_excl_yr_ind, "&gt;0", rng_out_sel_excl_ind,$F11)
+ IF([1]Tables!$C$16=[1]Tables!$CF$4, SUMIFS(INDIRECT('[1]RA Output'!BQ$1), rng_out_mail_ind, $B11, rng_out_ds, $C11, rng_out_sel_sp_ind, $D11, rng_out_sel_excl_ind,$F11,rng_out_sel_excl_yr_ind, ""), 0)</f>
        <v>#REF!</v>
      </c>
      <c r="K11" s="5" t="e" cm="1">
        <f t="array" aca="1" ref="K11" ca="1">SUMIFS(INDIRECT('[1]RA Output'!BR$1), rng_out_mail_ind, $B11, rng_out_ds, $C11, rng_out_sel_sp_ind, $D11, rng_out_sel_excl_ind,$E11)
+ SUMIFS(INDIRECT('[1]RA Output'!BR$1), rng_out_mail_ind, $B11, rng_out_ds, $C11, rng_out_sel_sp_ind, $D11, rng_out_sel_excl_ind,$F11, rng_out_sel_excl_yr_ind, "&gt;0", rng_out_sel_excl_ind,$F11)
+ IF([1]Tables!$C$16=[1]Tables!$CF$4, SUMIFS(INDIRECT('[1]RA Output'!BR$1), rng_out_mail_ind, $B11, rng_out_ds, $C11, rng_out_sel_sp_ind, $D11, rng_out_sel_excl_ind,$F11,rng_out_sel_excl_yr_ind, ""), 0)</f>
        <v>#REF!</v>
      </c>
      <c r="L11" s="5" t="e" cm="1">
        <f t="array" aca="1" ref="L11" ca="1">SUMIFS(INDIRECT('[1]RA Output'!BS$1), rng_out_mail_ind, $B11, rng_out_ds, $C11, rng_out_sel_sp_ind, $D11, rng_out_sel_excl_ind,$E11)
+ SUMIFS(INDIRECT('[1]RA Output'!BS$1), rng_out_mail_ind, $B11, rng_out_ds, $C11, rng_out_sel_sp_ind, $D11, rng_out_sel_excl_ind,$F11, rng_out_sel_excl_yr_ind, "&gt;0", rng_out_sel_excl_ind,$F11)
+ IF([1]Tables!$C$16=[1]Tables!$CF$4, SUMIFS(INDIRECT('[1]RA Output'!BS$1), rng_out_mail_ind, $B11, rng_out_ds, $C11, rng_out_sel_sp_ind, $D11, rng_out_sel_excl_ind,$F11,rng_out_sel_excl_yr_ind, ""), 0)</f>
        <v>#REF!</v>
      </c>
      <c r="M11" s="73" t="e" cm="1">
        <f t="array" aca="1" ref="M11" ca="1">SUMIFS(INDIRECT('[1]RA Output'!BT$1), rng_out_mail_ind, $B11, rng_out_ds, $C11, rng_out_sel_sp_ind, $D11, rng_out_sel_excl_ind,$E11)
+ SUMIFS(INDIRECT('[1]RA Output'!BT$1), rng_out_mail_ind, $B11, rng_out_ds, $C11, rng_out_sel_sp_ind, $D11, rng_out_sel_excl_ind,$F11, rng_out_sel_excl_yr_ind, "&gt;0", rng_out_sel_excl_ind,$F11)
+ IF([1]Tables!$C$16=[1]Tables!$CF$4, SUMIFS(INDIRECT('[1]RA Output'!BT$1), rng_out_mail_ind, $B11, rng_out_ds, $C11, rng_out_sel_sp_ind, $D11, rng_out_sel_excl_ind,$F11,rng_out_sel_excl_yr_ind, ""), 0)</f>
        <v>#REF!</v>
      </c>
      <c r="N11" s="74">
        <f ca="1">IFERROR(I11/N$58, 0)</f>
        <v>0</v>
      </c>
      <c r="O11" s="75">
        <f ca="1">IFERROR(J11/O$58, 0)</f>
        <v>0</v>
      </c>
      <c r="P11" s="75">
        <f ca="1">IFERROR(K11/P$58, 0)</f>
        <v>0</v>
      </c>
      <c r="Q11" s="75">
        <f ca="1">IFERROR(L11/Q$58, 0)</f>
        <v>0</v>
      </c>
      <c r="R11" s="76">
        <f ca="1">IFERROR(M11/R$58, 0)</f>
        <v>0</v>
      </c>
      <c r="S11" s="74">
        <f ca="1">IFERROR(I11/S$58, 0)</f>
        <v>0</v>
      </c>
      <c r="T11" s="75">
        <f ca="1">IFERROR(J11/T$58, 0)</f>
        <v>0</v>
      </c>
      <c r="U11" s="75">
        <f ca="1">IFERROR(K11/U$58, 0)</f>
        <v>0</v>
      </c>
      <c r="V11" s="75">
        <f ca="1">IFERROR(L11/V$58, 0)</f>
        <v>0</v>
      </c>
      <c r="W11" s="76">
        <f ca="1">IFERROR(M11/W$58, 0)</f>
        <v>0</v>
      </c>
      <c r="Y11" s="77" t="s">
        <v>14</v>
      </c>
      <c r="Z11" s="78">
        <f ca="1">IFERROR(I11/[1]Tables!$AT$4,0)</f>
        <v>0</v>
      </c>
      <c r="AA11" s="79">
        <f ca="1">IFERROR(J11/[1]Tables!$AT$4,0)</f>
        <v>0</v>
      </c>
      <c r="AB11" s="79">
        <f ca="1">IFERROR(K11/[1]Tables!$AT$4,0)</f>
        <v>0</v>
      </c>
      <c r="AC11" s="79">
        <f ca="1">IFERROR(L11/[1]Tables!$AT$4,0)</f>
        <v>0</v>
      </c>
      <c r="AD11" s="80">
        <f ca="1">IFERROR(M11/[1]Tables!$AT$4,0)</f>
        <v>0</v>
      </c>
      <c r="AE11" s="81">
        <f ca="1">IFERROR(N11/[1]Tables!$AT$4, 0)</f>
        <v>0</v>
      </c>
      <c r="AF11" s="75">
        <f ca="1">IFERROR(O11/[1]Tables!$AT$4, 0)</f>
        <v>0</v>
      </c>
      <c r="AG11" s="75">
        <f ca="1">IFERROR(P11/[1]Tables!$AT$4, 0)</f>
        <v>0</v>
      </c>
      <c r="AH11" s="75">
        <f ca="1">IFERROR(Q11/[1]Tables!$AT$4, 0)</f>
        <v>0</v>
      </c>
      <c r="AI11" s="82">
        <f ca="1">IFERROR(R11/[1]Tables!$AT$4, 0)</f>
        <v>0</v>
      </c>
      <c r="AJ11" s="81">
        <f ca="1">IFERROR(S11/[1]Tables!$AT$4,0)</f>
        <v>0</v>
      </c>
      <c r="AK11" s="75">
        <f ca="1">IFERROR(T11/[1]Tables!$AT$4,0)</f>
        <v>0</v>
      </c>
      <c r="AL11" s="75">
        <f ca="1">IFERROR(U11/[1]Tables!$AT$4,0)</f>
        <v>0</v>
      </c>
      <c r="AM11" s="75">
        <f ca="1">IFERROR(V11/[1]Tables!$AT$4,0)</f>
        <v>0</v>
      </c>
      <c r="AN11" s="82">
        <f ca="1">IFERROR(W11/[1]Tables!$AT$4,0)</f>
        <v>0</v>
      </c>
      <c r="AP11" s="83" t="s">
        <v>14</v>
      </c>
      <c r="AQ11" s="84" t="e" cm="1">
        <f t="array" aca="1" ref="AQ11" ca="1">(SUMIFS(INDIRECT('[1]RA Output'!CP$1), rng_out_mail_ind, $B11, rng_out_ds, $C11, rng_out_sel_sp_ind, $D11, rng_out_sel_excl_ind,$E11)
+ SUMIFS(INDIRECT('[1]RA Output'!CP$1), rng_out_mail_ind, $B11, rng_out_ds, $C11, rng_out_sel_sp_ind, $D11, rng_out_sel_excl_ind,$F11, rng_out_sel_excl_yr_ind, "&gt;0", rng_out_sel_excl_ind,$F11)
+ IF([1]Tables!$C$16=[1]Tables!$CF$4, SUMIFS(INDIRECT('[1]RA Output'!CP$1), rng_out_mail_ind, $B11, rng_out_ds, $C11, rng_out_sel_sp_ind, $D11, rng_out_sel_excl_ind,$F11,rng_out_sel_excl_yr_ind, ""), 0))/[1]Tables!$AT$4</f>
        <v>#REF!</v>
      </c>
      <c r="AR11" s="5" t="e" cm="1">
        <f t="array" aca="1" ref="AR11" ca="1">(SUMIFS(INDIRECT('[1]RA Output'!CQ$1), rng_out_mail_ind, $B11, rng_out_ds, $C11, rng_out_sel_sp_ind, $D11, rng_out_sel_excl_ind,$E11)
+ SUMIFS(INDIRECT('[1]RA Output'!CQ$1), rng_out_mail_ind, $B11, rng_out_ds, $C11, rng_out_sel_sp_ind, $D11, rng_out_sel_excl_ind,$F11, rng_out_sel_excl_yr_ind, "&gt;0", rng_out_sel_excl_ind,$F11)
+ IF([1]Tables!$C$16=[1]Tables!$CF$4, SUMIFS(INDIRECT('[1]RA Output'!CQ$1), rng_out_mail_ind, $B11, rng_out_ds, $C11, rng_out_sel_sp_ind, $D11, rng_out_sel_excl_ind,$F11,rng_out_sel_excl_yr_ind, ""), 0))/[1]Tables!$AT$4</f>
        <v>#REF!</v>
      </c>
      <c r="AS11" s="5" t="e" cm="1">
        <f t="array" aca="1" ref="AS11" ca="1">(SUMIFS(INDIRECT('[1]RA Output'!CR$1), rng_out_mail_ind, $B11, rng_out_ds, $C11, rng_out_sel_sp_ind, $D11, rng_out_sel_excl_ind,$E11)
+ SUMIFS(INDIRECT('[1]RA Output'!CR$1), rng_out_mail_ind, $B11, rng_out_ds, $C11, rng_out_sel_sp_ind, $D11, rng_out_sel_excl_ind,$F11, rng_out_sel_excl_yr_ind, "&gt;0", rng_out_sel_excl_ind,$F11)
+ IF([1]Tables!$C$16=[1]Tables!$CF$4, SUMIFS(INDIRECT('[1]RA Output'!CR$1), rng_out_mail_ind, $B11, rng_out_ds, $C11, rng_out_sel_sp_ind, $D11, rng_out_sel_excl_ind,$F11,rng_out_sel_excl_yr_ind, ""), 0))/[1]Tables!$AT$4</f>
        <v>#REF!</v>
      </c>
      <c r="AT11" s="5" t="e" cm="1">
        <f t="array" aca="1" ref="AT11" ca="1">(SUMIFS(INDIRECT('[1]RA Output'!CS$1), rng_out_mail_ind, $B11, rng_out_ds, $C11, rng_out_sel_sp_ind, $D11, rng_out_sel_excl_ind,$E11)
+ SUMIFS(INDIRECT('[1]RA Output'!CS$1), rng_out_mail_ind, $B11, rng_out_ds, $C11, rng_out_sel_sp_ind, $D11, rng_out_sel_excl_ind,$F11, rng_out_sel_excl_yr_ind, "&gt;0", rng_out_sel_excl_ind,$F11)
+ IF([1]Tables!$C$16=[1]Tables!$CF$4, SUMIFS(INDIRECT('[1]RA Output'!CS$1), rng_out_mail_ind, $B11, rng_out_ds, $C11, rng_out_sel_sp_ind, $D11, rng_out_sel_excl_ind,$F11,rng_out_sel_excl_yr_ind, ""), 0))/[1]Tables!$AT$4</f>
        <v>#REF!</v>
      </c>
      <c r="AU11" s="85" t="e" cm="1">
        <f t="array" aca="1" ref="AU11" ca="1">(SUMIFS(INDIRECT('[1]RA Output'!CT$1), rng_out_mail_ind, $B11, rng_out_ds, $C11, rng_out_sel_sp_ind, $D11, rng_out_sel_excl_ind,$E11)
+ SUMIFS(INDIRECT('[1]RA Output'!CT$1), rng_out_mail_ind, $B11, rng_out_ds, $C11, rng_out_sel_sp_ind, $D11, rng_out_sel_excl_ind,$F11, rng_out_sel_excl_yr_ind, "&gt;0", rng_out_sel_excl_ind,$F11)
+ IF([1]Tables!$C$16=[1]Tables!$CF$4, SUMIFS(INDIRECT('[1]RA Output'!CT$1), rng_out_mail_ind, $B11, rng_out_ds, $C11, rng_out_sel_sp_ind, $D11, rng_out_sel_excl_ind,$F11,rng_out_sel_excl_yr_ind, ""), 0))/[1]Tables!$AT$4</f>
        <v>#REF!</v>
      </c>
      <c r="AV11" s="86">
        <f ca="1">IFERROR(AQ11/AV$58, 0)</f>
        <v>0</v>
      </c>
      <c r="AW11" s="75">
        <f ca="1">IFERROR(AR11/AW$58, 0)</f>
        <v>0</v>
      </c>
      <c r="AX11" s="75">
        <f ca="1">IFERROR(AS11/AX$58, 0)</f>
        <v>0</v>
      </c>
      <c r="AY11" s="75">
        <f ca="1">IFERROR(AT11/AY$58, 0)</f>
        <v>0</v>
      </c>
      <c r="AZ11" s="87">
        <f ca="1">IFERROR(AU11/AZ$58, 0)</f>
        <v>0</v>
      </c>
      <c r="BA11" s="75">
        <f ca="1">IFERROR(AQ11/BA$58, 0)</f>
        <v>0</v>
      </c>
      <c r="BB11" s="75">
        <f ca="1">IFERROR(AR11/BB$58, 0)</f>
        <v>0</v>
      </c>
      <c r="BC11" s="75">
        <f ca="1">IFERROR(AS11/BC$58, 0)</f>
        <v>0</v>
      </c>
      <c r="BD11" s="75">
        <f ca="1">IFERROR(AT11/BD$58, 0)</f>
        <v>0</v>
      </c>
      <c r="BE11" s="87">
        <f ca="1">IFERROR(AU11/BE$58, 0)</f>
        <v>0</v>
      </c>
      <c r="BG11" s="88" t="s">
        <v>14</v>
      </c>
      <c r="BH11" s="89" t="e" cm="1">
        <f t="array" aca="1" ref="BH11" ca="1">(SUMIFS(INDIRECT('[1]RA Output'!DP$1), rng_out_mail_ind, $B11, rng_out_ds, $C11, rng_out_sel_sp_ind, $D11, rng_out_sel_excl_ind,$E11)
+ SUMIFS(INDIRECT('[1]RA Output'!DP$1), rng_out_mail_ind, $B11, rng_out_ds, $C11, rng_out_sel_sp_ind, $D11, rng_out_sel_excl_ind,$F11, rng_out_sel_excl_yr_ind, "&gt;0")
+ IF([1]Tables!$C$16=[1]Tables!$CF$4, SUMIFS(INDIRECT('[1]RA Output'!DP$1), rng_out_mail_ind, $B11, rng_out_ds, $C11, rng_out_sel_sp_ind, $D11, rng_out_sel_excl_ind,$F11,rng_out_sel_excl_yr_ind, ""), 0))/[1]Tables!$AT$4</f>
        <v>#REF!</v>
      </c>
      <c r="BI11" s="90" t="e" cm="1">
        <f t="array" aca="1" ref="BI11" ca="1">(SUMIFS(INDIRECT('[1]RA Output'!DQ$1), rng_out_mail_ind, $B11, rng_out_ds, $C11, rng_out_sel_sp_ind, $D11, rng_out_sel_excl_ind,$E11)
+ SUMIFS(INDIRECT('[1]RA Output'!DQ$1), rng_out_mail_ind, $B11, rng_out_ds, $C11, rng_out_sel_sp_ind, $D11, rng_out_sel_excl_ind,$F11, rng_out_sel_excl_yr_ind, "&gt;0")
+ IF([1]Tables!$C$16=[1]Tables!$CF$4, SUMIFS(INDIRECT('[1]RA Output'!DQ$1), rng_out_mail_ind, $B11, rng_out_ds, $C11, rng_out_sel_sp_ind, $D11, rng_out_sel_excl_ind,$F11,rng_out_sel_excl_yr_ind, ""), 0))/[1]Tables!$AT$4</f>
        <v>#REF!</v>
      </c>
      <c r="BJ11" s="90" t="e" cm="1">
        <f t="array" aca="1" ref="BJ11" ca="1">(SUMIFS(INDIRECT('[1]RA Output'!DR$1), rng_out_mail_ind, $B11, rng_out_ds, $C11, rng_out_sel_sp_ind, $D11, rng_out_sel_excl_ind,$E11)
+ SUMIFS(INDIRECT('[1]RA Output'!DR$1), rng_out_mail_ind, $B11, rng_out_ds, $C11, rng_out_sel_sp_ind, $D11, rng_out_sel_excl_ind,$F11, rng_out_sel_excl_yr_ind, "&gt;0")
+ IF([1]Tables!$C$16=[1]Tables!$CF$4, SUMIFS(INDIRECT('[1]RA Output'!DR$1), rng_out_mail_ind, $B11, rng_out_ds, $C11, rng_out_sel_sp_ind, $D11, rng_out_sel_excl_ind,$F11,rng_out_sel_excl_yr_ind, ""), 0))/[1]Tables!$AT$4</f>
        <v>#REF!</v>
      </c>
      <c r="BK11" s="90" t="e" cm="1">
        <f t="array" aca="1" ref="BK11" ca="1">(SUMIFS(INDIRECT('[1]RA Output'!DS$1), rng_out_mail_ind, $B11, rng_out_ds, $C11, rng_out_sel_sp_ind, $D11, rng_out_sel_excl_ind,$E11)
+ SUMIFS(INDIRECT('[1]RA Output'!DS$1), rng_out_mail_ind, $B11, rng_out_ds, $C11, rng_out_sel_sp_ind, $D11, rng_out_sel_excl_ind,$F11, rng_out_sel_excl_yr_ind, "&gt;0")
+ IF([1]Tables!$C$16=[1]Tables!$CF$4, SUMIFS(INDIRECT('[1]RA Output'!DS$1), rng_out_mail_ind, $B11, rng_out_ds, $C11, rng_out_sel_sp_ind, $D11, rng_out_sel_excl_ind,$F11,rng_out_sel_excl_yr_ind, ""), 0))/[1]Tables!$AT$4</f>
        <v>#REF!</v>
      </c>
      <c r="BL11" s="91" t="e" cm="1">
        <f t="array" aca="1" ref="BL11" ca="1">(SUMIFS(INDIRECT('[1]RA Output'!DT$1), rng_out_mail_ind, $B11, rng_out_ds, $C11, rng_out_sel_sp_ind, $D11, rng_out_sel_excl_ind,$E11)
+ SUMIFS(INDIRECT('[1]RA Output'!DT$1), rng_out_mail_ind, $B11, rng_out_ds, $C11, rng_out_sel_sp_ind, $D11, rng_out_sel_excl_ind,$F11, rng_out_sel_excl_yr_ind, "&gt;0")
+ IF([1]Tables!$C$16=[1]Tables!$CF$4, SUMIFS(INDIRECT('[1]RA Output'!DT$1), rng_out_mail_ind, $B11, rng_out_ds, $C11, rng_out_sel_sp_ind, $D11, rng_out_sel_excl_ind,$F11,rng_out_sel_excl_yr_ind, ""), 0))/[1]Tables!$AT$4</f>
        <v>#REF!</v>
      </c>
      <c r="BM11" s="92">
        <f ca="1">IFERROR(BH11/BM$58, 0)</f>
        <v>0</v>
      </c>
      <c r="BN11" s="75">
        <f ca="1">IFERROR(BI11/BN$58, 0)</f>
        <v>0</v>
      </c>
      <c r="BO11" s="75">
        <f ca="1">IFERROR(BJ11/BO$58, 0)</f>
        <v>0</v>
      </c>
      <c r="BP11" s="75">
        <f ca="1">IFERROR(BK11/BP$58, 0)</f>
        <v>0</v>
      </c>
      <c r="BQ11" s="93">
        <f ca="1">IFERROR(BL11/BQ$58, 0)</f>
        <v>0</v>
      </c>
      <c r="BR11" s="94">
        <f ca="1">IFERROR(BH11/BR$58, 0)</f>
        <v>0</v>
      </c>
      <c r="BS11" s="95">
        <f ca="1">IFERROR(BI11/BS$58, 0)</f>
        <v>0</v>
      </c>
      <c r="BT11" s="95">
        <f ca="1">IFERROR(BJ11/BT$58, 0)</f>
        <v>0</v>
      </c>
      <c r="BU11" s="95">
        <f ca="1">IFERROR(BK11/BU$58, 0)</f>
        <v>0</v>
      </c>
      <c r="BV11" s="96">
        <f ca="1">IFERROR(BL11/BV$58, 0)</f>
        <v>0</v>
      </c>
      <c r="BX11" s="88" t="s">
        <v>14</v>
      </c>
      <c r="BY11" s="97" t="e">
        <f t="shared" ref="BY11:CC14" ca="1" si="0">CD11*CD58</f>
        <v>#VALUE!</v>
      </c>
      <c r="BZ11" s="79" t="e">
        <f t="shared" ca="1" si="0"/>
        <v>#VALUE!</v>
      </c>
      <c r="CA11" s="79" t="e">
        <f t="shared" ca="1" si="0"/>
        <v>#VALUE!</v>
      </c>
      <c r="CB11" s="79" t="e">
        <f t="shared" ca="1" si="0"/>
        <v>#VALUE!</v>
      </c>
      <c r="CC11" s="98" t="e">
        <f t="shared" ca="1" si="0"/>
        <v>#VALUE!</v>
      </c>
      <c r="CD11" s="92">
        <f ca="1">BM11-DC11</f>
        <v>0</v>
      </c>
      <c r="CE11" s="75">
        <f ca="1">BN11-DD11</f>
        <v>0</v>
      </c>
      <c r="CF11" s="75">
        <f ca="1">BO11-DE11</f>
        <v>0</v>
      </c>
      <c r="CG11" s="75">
        <f ca="1">BP11-DF11</f>
        <v>0</v>
      </c>
      <c r="CH11" s="93">
        <f ca="1">BQ11-DG11</f>
        <v>0</v>
      </c>
      <c r="CI11" s="94">
        <f t="shared" ref="CI11:CM15" ca="1" si="1">IFERROR(BY11/CI58, 0)</f>
        <v>0</v>
      </c>
      <c r="CJ11" s="95">
        <f t="shared" ca="1" si="1"/>
        <v>0</v>
      </c>
      <c r="CK11" s="95">
        <f t="shared" ca="1" si="1"/>
        <v>0</v>
      </c>
      <c r="CL11" s="95">
        <f t="shared" ca="1" si="1"/>
        <v>0</v>
      </c>
      <c r="CM11" s="96">
        <f t="shared" ca="1" si="1"/>
        <v>0</v>
      </c>
      <c r="DC11" s="99" cm="1">
        <f t="array" aca="1" ref="DC11" ca="1">IFERROR(BM11-BM11*BR67*(1-INDEX([1]Tables!$EA$4:$EE$60,MATCH([1]Tables!$C$22&amp;$BX11,[1]Tables!$EA$4:$EA$60,0),[1]Tables!$EE$1))*(1-DI11)/CD58, 0)</f>
        <v>0</v>
      </c>
      <c r="DD11" s="100" cm="1">
        <f t="array" aca="1" ref="DD11" ca="1">IFERROR(BN11-BN11*BS67*(1-INDEX([1]Tables!$EA$4:$EE$60,MATCH([1]Tables!$C$22&amp;$BX11,[1]Tables!$EA$4:$EA$60,0),[1]Tables!$EE$1))*(1-DJ11)/CE58, 0)</f>
        <v>0</v>
      </c>
      <c r="DE11" s="100" cm="1">
        <f t="array" aca="1" ref="DE11" ca="1">IFERROR(BO11-BO11*BT67*(1-INDEX([1]Tables!$EA$4:$EE$60,MATCH([1]Tables!$C$22&amp;$BX11,[1]Tables!$EA$4:$EA$60,0),[1]Tables!$EE$1))*(1-DK11)/CF58, 0)</f>
        <v>0</v>
      </c>
      <c r="DF11" s="100" cm="1">
        <f t="array" aca="1" ref="DF11" ca="1">IFERROR(BP11-BP11*BU67*(1-INDEX([1]Tables!$EA$4:$EE$60,MATCH([1]Tables!$C$22&amp;$BX11,[1]Tables!$EA$4:$EA$60,0),[1]Tables!$EE$1))*(1-DL11)/CG58, 0)</f>
        <v>0</v>
      </c>
      <c r="DG11" s="101" cm="1">
        <f t="array" aca="1" ref="DG11" ca="1">IFERROR(BQ11-BQ11*BV67*(1-INDEX([1]Tables!$EA$4:$EE$60,MATCH([1]Tables!$C$22&amp;$BX11,[1]Tables!$EA$4:$EA$60,0),[1]Tables!$EE$1))*(1-DM11)/CH58, 0)</f>
        <v>0</v>
      </c>
      <c r="DI11" s="102" cm="1">
        <f t="array" aca="1" ref="DI11" ca="1">IFERROR(((SUMPRODUCT((rng_out_mail_ind = $B11) * (rng_out_ds = $C11) * (rng_out_sel_sp_ind = $D11)   * (rng_out_sel_excl_ind = $E11) * (rng_out_base_post_yr1*rng_out_340B)) +
IF([1]Tables!$C$16=[1]Tables!$CF$4, SUMPRODUCT((rng_out_mail_ind = $B11) * (rng_out_ds = $C11) * (rng_out_sel_sp_ind = $D11) * (rng_out_sel_excl_ind = $F11) * (rng_out_base_post_yr1*rng_out_340B)), 0))/[1]Tables!$AT$4)/AQ11, 0)</f>
        <v>0</v>
      </c>
      <c r="DJ11" s="103" cm="1">
        <f t="array" aca="1" ref="DJ11" ca="1">IFERROR(((SUMPRODUCT((rng_out_mail_ind = $B11) * (rng_out_ds = $C11) * (rng_out_sel_sp_ind = $D11)   * (rng_out_sel_excl_ind = $E11) * (rng_out_base_post_yr2*rng_out_340B)) +
IF([1]Tables!$C$16=[1]Tables!$CF$4, SUMPRODUCT((rng_out_mail_ind = $B11) * (rng_out_ds = $C11) * (rng_out_sel_sp_ind = $D11) * (rng_out_sel_excl_ind = $F11) * (rng_out_base_post_yr2*rng_out_340B)), 0))/[1]Tables!$AT$4)/AR11, 0)</f>
        <v>0</v>
      </c>
      <c r="DK11" s="103" cm="1">
        <f t="array" aca="1" ref="DK11" ca="1">IFERROR(((SUMPRODUCT((rng_out_mail_ind = $B11) * (rng_out_ds = $C11) * (rng_out_sel_sp_ind = $D11)   * (rng_out_sel_excl_ind = $E11) * (rng_out_base_post_yr3*rng_out_340B)) +
IF([1]Tables!$C$16=[1]Tables!$CF$4, SUMPRODUCT((rng_out_mail_ind = $B11) * (rng_out_ds = $C11) * (rng_out_sel_sp_ind = $D11) * (rng_out_sel_excl_ind = $F11) * (rng_out_base_post_yr3*rng_out_340B)), 0))/[1]Tables!$AT$4)/AS11, 0)</f>
        <v>0</v>
      </c>
      <c r="DL11" s="103" cm="1">
        <f t="array" aca="1" ref="DL11" ca="1">IFERROR(((SUMPRODUCT((rng_out_mail_ind = $B11) * (rng_out_ds = $C11) * (rng_out_sel_sp_ind = $D11)   * (rng_out_sel_excl_ind = $E11) * (rng_out_base_post_yr4*rng_out_340B)) +
IF([1]Tables!$C$16=[1]Tables!$CF$4, SUMPRODUCT((rng_out_mail_ind = $B11) * (rng_out_ds = $C11) * (rng_out_sel_sp_ind = $D11) * (rng_out_sel_excl_ind = $F11) * (rng_out_base_post_yr4*rng_out_340B)), 0))/[1]Tables!$AT$4)/AT11, 0)</f>
        <v>0</v>
      </c>
      <c r="DM11" s="104" cm="1">
        <f t="array" aca="1" ref="DM11" ca="1">IFERROR(((SUMPRODUCT((rng_out_mail_ind = $B11) * (rng_out_ds = $C11) * (rng_out_sel_sp_ind = $D11)   * (rng_out_sel_excl_ind = $E11) * (rng_out_base_post_yr5*rng_out_340B)) +
IF([1]Tables!$C$16=[1]Tables!$CF$4, SUMPRODUCT((rng_out_mail_ind = $B11) * (rng_out_ds = $C11) * (rng_out_sel_sp_ind = $D11) * (rng_out_sel_excl_ind = $F11) * (rng_out_base_post_yr5*rng_out_340B)), 0))/[1]Tables!$AT$4)/AU11, 0)</f>
        <v>0</v>
      </c>
    </row>
    <row r="12" spans="2:117" x14ac:dyDescent="0.35">
      <c r="B12" s="105" t="s">
        <v>11</v>
      </c>
      <c r="C12" s="106">
        <v>90</v>
      </c>
      <c r="D12" s="106" t="s">
        <v>12</v>
      </c>
      <c r="E12" s="105" t="s">
        <v>12</v>
      </c>
      <c r="F12" s="107" t="s">
        <v>13</v>
      </c>
      <c r="H12" s="108" t="s">
        <v>15</v>
      </c>
      <c r="I12" s="72" t="e" cm="1">
        <f t="array" aca="1" ref="I12" ca="1">SUMIFS(INDIRECT('[1]RA Output'!BP$1), rng_out_mail_ind, $B12, rng_out_ds, $C12, rng_out_sel_sp_ind, $D12, rng_out_sel_excl_ind,$E12)
+ SUMIFS(INDIRECT('[1]RA Output'!BP$1), rng_out_mail_ind, $B12, rng_out_ds, $C12, rng_out_sel_sp_ind, $D12, rng_out_sel_excl_ind,$F12, rng_out_sel_excl_yr_ind, "&gt;0", rng_out_sel_excl_ind,$F12)
+ IF([1]Tables!$C$16=[1]Tables!$CF$4, SUMIFS(INDIRECT('[1]RA Output'!BP$1), rng_out_mail_ind, $B12, rng_out_ds, $C12, rng_out_sel_sp_ind, $D12, rng_out_sel_excl_ind,$F12,rng_out_sel_excl_yr_ind, ""), 0)</f>
        <v>#REF!</v>
      </c>
      <c r="J12" s="5" t="e" cm="1">
        <f t="array" aca="1" ref="J12" ca="1">SUMIFS(INDIRECT('[1]RA Output'!BQ$1), rng_out_mail_ind, $B12, rng_out_ds, $C12, rng_out_sel_sp_ind, $D12, rng_out_sel_excl_ind,$E12)
+ SUMIFS(INDIRECT('[1]RA Output'!BQ$1), rng_out_mail_ind, $B12, rng_out_ds, $C12, rng_out_sel_sp_ind, $D12, rng_out_sel_excl_ind,$F12, rng_out_sel_excl_yr_ind, "&gt;0", rng_out_sel_excl_ind,$F12)
+ IF([1]Tables!$C$16=[1]Tables!$CF$4, SUMIFS(INDIRECT('[1]RA Output'!BQ$1), rng_out_mail_ind, $B12, rng_out_ds, $C12, rng_out_sel_sp_ind, $D12, rng_out_sel_excl_ind,$F12,rng_out_sel_excl_yr_ind, ""), 0)</f>
        <v>#REF!</v>
      </c>
      <c r="K12" s="5" t="e" cm="1">
        <f t="array" aca="1" ref="K12" ca="1">SUMIFS(INDIRECT('[1]RA Output'!BR$1), rng_out_mail_ind, $B12, rng_out_ds, $C12, rng_out_sel_sp_ind, $D12, rng_out_sel_excl_ind,$E12)
+ SUMIFS(INDIRECT('[1]RA Output'!BR$1), rng_out_mail_ind, $B12, rng_out_ds, $C12, rng_out_sel_sp_ind, $D12, rng_out_sel_excl_ind,$F12, rng_out_sel_excl_yr_ind, "&gt;0", rng_out_sel_excl_ind,$F12)
+ IF([1]Tables!$C$16=[1]Tables!$CF$4, SUMIFS(INDIRECT('[1]RA Output'!BR$1), rng_out_mail_ind, $B12, rng_out_ds, $C12, rng_out_sel_sp_ind, $D12, rng_out_sel_excl_ind,$F12,rng_out_sel_excl_yr_ind, ""), 0)</f>
        <v>#REF!</v>
      </c>
      <c r="L12" s="5" t="e" cm="1">
        <f t="array" aca="1" ref="L12" ca="1">SUMIFS(INDIRECT('[1]RA Output'!BS$1), rng_out_mail_ind, $B12, rng_out_ds, $C12, rng_out_sel_sp_ind, $D12, rng_out_sel_excl_ind,$E12)
+ SUMIFS(INDIRECT('[1]RA Output'!BS$1), rng_out_mail_ind, $B12, rng_out_ds, $C12, rng_out_sel_sp_ind, $D12, rng_out_sel_excl_ind,$F12, rng_out_sel_excl_yr_ind, "&gt;0", rng_out_sel_excl_ind,$F12)
+ IF([1]Tables!$C$16=[1]Tables!$CF$4, SUMIFS(INDIRECT('[1]RA Output'!BS$1), rng_out_mail_ind, $B12, rng_out_ds, $C12, rng_out_sel_sp_ind, $D12, rng_out_sel_excl_ind,$F12,rng_out_sel_excl_yr_ind, ""), 0)</f>
        <v>#REF!</v>
      </c>
      <c r="M12" s="73" t="e" cm="1">
        <f t="array" aca="1" ref="M12" ca="1">SUMIFS(INDIRECT('[1]RA Output'!BT$1), rng_out_mail_ind, $B12, rng_out_ds, $C12, rng_out_sel_sp_ind, $D12, rng_out_sel_excl_ind,$E12)
+ SUMIFS(INDIRECT('[1]RA Output'!BT$1), rng_out_mail_ind, $B12, rng_out_ds, $C12, rng_out_sel_sp_ind, $D12, rng_out_sel_excl_ind,$F12, rng_out_sel_excl_yr_ind, "&gt;0", rng_out_sel_excl_ind,$F12)
+ IF([1]Tables!$C$16=[1]Tables!$CF$4, SUMIFS(INDIRECT('[1]RA Output'!BT$1), rng_out_mail_ind, $B12, rng_out_ds, $C12, rng_out_sel_sp_ind, $D12, rng_out_sel_excl_ind,$F12,rng_out_sel_excl_yr_ind, ""), 0)</f>
        <v>#REF!</v>
      </c>
      <c r="N12" s="74">
        <f ca="1">IFERROR(I12/N$59, 0)</f>
        <v>0</v>
      </c>
      <c r="O12" s="75">
        <f ca="1">IFERROR(J12/O$59, 0)</f>
        <v>0</v>
      </c>
      <c r="P12" s="75">
        <f ca="1">IFERROR(K12/P$59, 0)</f>
        <v>0</v>
      </c>
      <c r="Q12" s="75">
        <f ca="1">IFERROR(L12/Q$59, 0)</f>
        <v>0</v>
      </c>
      <c r="R12" s="76">
        <f ca="1">IFERROR(M12/R$59, 0)</f>
        <v>0</v>
      </c>
      <c r="S12" s="74">
        <f ca="1">IFERROR(I12/S$59, 0)</f>
        <v>0</v>
      </c>
      <c r="T12" s="75">
        <f ca="1">IFERROR(J12/T$59, 0)</f>
        <v>0</v>
      </c>
      <c r="U12" s="75">
        <f ca="1">IFERROR(K12/U$59, 0)</f>
        <v>0</v>
      </c>
      <c r="V12" s="75">
        <f ca="1">IFERROR(L12/V$59, 0)</f>
        <v>0</v>
      </c>
      <c r="W12" s="76">
        <f ca="1">IFERROR(M12/W$59, 0)</f>
        <v>0</v>
      </c>
      <c r="Y12" s="109" t="s">
        <v>15</v>
      </c>
      <c r="Z12" s="78">
        <f ca="1">IFERROR(I12/[1]Tables!$AT$4,0)</f>
        <v>0</v>
      </c>
      <c r="AA12" s="79">
        <f ca="1">IFERROR(J12/[1]Tables!$AT$4,0)</f>
        <v>0</v>
      </c>
      <c r="AB12" s="79">
        <f ca="1">IFERROR(K12/[1]Tables!$AT$4,0)</f>
        <v>0</v>
      </c>
      <c r="AC12" s="79">
        <f ca="1">IFERROR(L12/[1]Tables!$AT$4,0)</f>
        <v>0</v>
      </c>
      <c r="AD12" s="80">
        <f ca="1">IFERROR(M12/[1]Tables!$AT$4,0)</f>
        <v>0</v>
      </c>
      <c r="AE12" s="81">
        <f ca="1">IFERROR(N12/[1]Tables!$AT$4, 0)</f>
        <v>0</v>
      </c>
      <c r="AF12" s="75">
        <f ca="1">IFERROR(O12/[1]Tables!$AT$4, 0)</f>
        <v>0</v>
      </c>
      <c r="AG12" s="75">
        <f ca="1">IFERROR(P12/[1]Tables!$AT$4, 0)</f>
        <v>0</v>
      </c>
      <c r="AH12" s="75">
        <f ca="1">IFERROR(Q12/[1]Tables!$AT$4, 0)</f>
        <v>0</v>
      </c>
      <c r="AI12" s="82">
        <f ca="1">IFERROR(R12/[1]Tables!$AT$4, 0)</f>
        <v>0</v>
      </c>
      <c r="AJ12" s="81">
        <f ca="1">IFERROR(S12/[1]Tables!$AT$4,0)</f>
        <v>0</v>
      </c>
      <c r="AK12" s="75">
        <f ca="1">IFERROR(T12/[1]Tables!$AT$4,0)</f>
        <v>0</v>
      </c>
      <c r="AL12" s="75">
        <f ca="1">IFERROR(U12/[1]Tables!$AT$4,0)</f>
        <v>0</v>
      </c>
      <c r="AM12" s="75">
        <f ca="1">IFERROR(V12/[1]Tables!$AT$4,0)</f>
        <v>0</v>
      </c>
      <c r="AN12" s="82">
        <f ca="1">IFERROR(W12/[1]Tables!$AT$4,0)</f>
        <v>0</v>
      </c>
      <c r="AP12" s="110" t="s">
        <v>15</v>
      </c>
      <c r="AQ12" s="84" t="e" cm="1">
        <f t="array" aca="1" ref="AQ12" ca="1">(SUMIFS(INDIRECT('[1]RA Output'!CP$1), rng_out_mail_ind, $B12, rng_out_ds, $C12, rng_out_sel_sp_ind, $D12, rng_out_sel_excl_ind,$E12)
+ SUMIFS(INDIRECT('[1]RA Output'!CP$1), rng_out_mail_ind, $B12, rng_out_ds, $C12, rng_out_sel_sp_ind, $D12, rng_out_sel_excl_ind,$F12, rng_out_sel_excl_yr_ind, "&gt;0", rng_out_sel_excl_ind,$F12)
+ IF([1]Tables!$C$16=[1]Tables!$CF$4, SUMIFS(INDIRECT('[1]RA Output'!CP$1), rng_out_mail_ind, $B12, rng_out_ds, $C12, rng_out_sel_sp_ind, $D12, rng_out_sel_excl_ind,$F12,rng_out_sel_excl_yr_ind, ""), 0))/[1]Tables!$AT$4</f>
        <v>#REF!</v>
      </c>
      <c r="AR12" s="5" t="e" cm="1">
        <f t="array" aca="1" ref="AR12" ca="1">(SUMIFS(INDIRECT('[1]RA Output'!CQ$1), rng_out_mail_ind, $B12, rng_out_ds, $C12, rng_out_sel_sp_ind, $D12, rng_out_sel_excl_ind,$E12)
+ SUMIFS(INDIRECT('[1]RA Output'!CQ$1), rng_out_mail_ind, $B12, rng_out_ds, $C12, rng_out_sel_sp_ind, $D12, rng_out_sel_excl_ind,$F12, rng_out_sel_excl_yr_ind, "&gt;0", rng_out_sel_excl_ind,$F12)
+ IF([1]Tables!$C$16=[1]Tables!$CF$4, SUMIFS(INDIRECT('[1]RA Output'!CQ$1), rng_out_mail_ind, $B12, rng_out_ds, $C12, rng_out_sel_sp_ind, $D12, rng_out_sel_excl_ind,$F12,rng_out_sel_excl_yr_ind, ""), 0))/[1]Tables!$AT$4</f>
        <v>#REF!</v>
      </c>
      <c r="AS12" s="5" t="e" cm="1">
        <f t="array" aca="1" ref="AS12" ca="1">(SUMIFS(INDIRECT('[1]RA Output'!CR$1), rng_out_mail_ind, $B12, rng_out_ds, $C12, rng_out_sel_sp_ind, $D12, rng_out_sel_excl_ind,$E12)
+ SUMIFS(INDIRECT('[1]RA Output'!CR$1), rng_out_mail_ind, $B12, rng_out_ds, $C12, rng_out_sel_sp_ind, $D12, rng_out_sel_excl_ind,$F12, rng_out_sel_excl_yr_ind, "&gt;0", rng_out_sel_excl_ind,$F12)
+ IF([1]Tables!$C$16=[1]Tables!$CF$4, SUMIFS(INDIRECT('[1]RA Output'!CR$1), rng_out_mail_ind, $B12, rng_out_ds, $C12, rng_out_sel_sp_ind, $D12, rng_out_sel_excl_ind,$F12,rng_out_sel_excl_yr_ind, ""), 0))/[1]Tables!$AT$4</f>
        <v>#REF!</v>
      </c>
      <c r="AT12" s="5" t="e" cm="1">
        <f t="array" aca="1" ref="AT12" ca="1">(SUMIFS(INDIRECT('[1]RA Output'!CS$1), rng_out_mail_ind, $B12, rng_out_ds, $C12, rng_out_sel_sp_ind, $D12, rng_out_sel_excl_ind,$E12)
+ SUMIFS(INDIRECT('[1]RA Output'!CS$1), rng_out_mail_ind, $B12, rng_out_ds, $C12, rng_out_sel_sp_ind, $D12, rng_out_sel_excl_ind,$F12, rng_out_sel_excl_yr_ind, "&gt;0", rng_out_sel_excl_ind,$F12)
+ IF([1]Tables!$C$16=[1]Tables!$CF$4, SUMIFS(INDIRECT('[1]RA Output'!CS$1), rng_out_mail_ind, $B12, rng_out_ds, $C12, rng_out_sel_sp_ind, $D12, rng_out_sel_excl_ind,$F12,rng_out_sel_excl_yr_ind, ""), 0))/[1]Tables!$AT$4</f>
        <v>#REF!</v>
      </c>
      <c r="AU12" s="85" t="e" cm="1">
        <f t="array" aca="1" ref="AU12" ca="1">(SUMIFS(INDIRECT('[1]RA Output'!CT$1), rng_out_mail_ind, $B12, rng_out_ds, $C12, rng_out_sel_sp_ind, $D12, rng_out_sel_excl_ind,$E12)
+ SUMIFS(INDIRECT('[1]RA Output'!CT$1), rng_out_mail_ind, $B12, rng_out_ds, $C12, rng_out_sel_sp_ind, $D12, rng_out_sel_excl_ind,$F12, rng_out_sel_excl_yr_ind, "&gt;0", rng_out_sel_excl_ind,$F12)
+ IF([1]Tables!$C$16=[1]Tables!$CF$4, SUMIFS(INDIRECT('[1]RA Output'!CT$1), rng_out_mail_ind, $B12, rng_out_ds, $C12, rng_out_sel_sp_ind, $D12, rng_out_sel_excl_ind,$F12,rng_out_sel_excl_yr_ind, ""), 0))/[1]Tables!$AT$4</f>
        <v>#REF!</v>
      </c>
      <c r="AV12" s="86">
        <f ca="1">IFERROR(AQ12/AV$59, 0)</f>
        <v>0</v>
      </c>
      <c r="AW12" s="75">
        <f ca="1">IFERROR(AR12/AW$59, 0)</f>
        <v>0</v>
      </c>
      <c r="AX12" s="75">
        <f ca="1">IFERROR(AS12/AX$59, 0)</f>
        <v>0</v>
      </c>
      <c r="AY12" s="75">
        <f ca="1">IFERROR(AT12/AY$59, 0)</f>
        <v>0</v>
      </c>
      <c r="AZ12" s="87">
        <f ca="1">IFERROR(AU12/AZ$59, 0)</f>
        <v>0</v>
      </c>
      <c r="BA12" s="75">
        <f ca="1">IFERROR(AQ12/BA$59, 0)</f>
        <v>0</v>
      </c>
      <c r="BB12" s="75">
        <f ca="1">IFERROR(AR12/BB$59, 0)</f>
        <v>0</v>
      </c>
      <c r="BC12" s="75">
        <f ca="1">IFERROR(AS12/BC$59, 0)</f>
        <v>0</v>
      </c>
      <c r="BD12" s="75">
        <f ca="1">IFERROR(AT12/BD$59, 0)</f>
        <v>0</v>
      </c>
      <c r="BE12" s="87">
        <f ca="1">IFERROR(AU12/BE$59, 0)</f>
        <v>0</v>
      </c>
      <c r="BG12" s="111" t="s">
        <v>15</v>
      </c>
      <c r="BH12" s="89" t="e" cm="1">
        <f t="array" aca="1" ref="BH12" ca="1">(SUMIFS(INDIRECT('[1]RA Output'!DP$1), rng_out_mail_ind, $B12, rng_out_ds, $C12, rng_out_sel_sp_ind, $D12, rng_out_sel_excl_ind,$E12)
+ SUMIFS(INDIRECT('[1]RA Output'!DP$1), rng_out_mail_ind, $B12, rng_out_ds, $C12, rng_out_sel_sp_ind, $D12, rng_out_sel_excl_ind,$F12, rng_out_sel_excl_yr_ind, "&gt;0")
+ IF([1]Tables!$C$16=[1]Tables!$CF$4, SUMIFS(INDIRECT('[1]RA Output'!DP$1), rng_out_mail_ind, $B12, rng_out_ds, $C12, rng_out_sel_sp_ind, $D12, rng_out_sel_excl_ind,$F12,rng_out_sel_excl_yr_ind, ""), 0))/[1]Tables!$AT$4</f>
        <v>#REF!</v>
      </c>
      <c r="BI12" s="90" t="e" cm="1">
        <f t="array" aca="1" ref="BI12" ca="1">(SUMIFS(INDIRECT('[1]RA Output'!DQ$1), rng_out_mail_ind, $B12, rng_out_ds, $C12, rng_out_sel_sp_ind, $D12, rng_out_sel_excl_ind,$E12)
+ SUMIFS(INDIRECT('[1]RA Output'!DQ$1), rng_out_mail_ind, $B12, rng_out_ds, $C12, rng_out_sel_sp_ind, $D12, rng_out_sel_excl_ind,$F12, rng_out_sel_excl_yr_ind, "&gt;0")
+ IF([1]Tables!$C$16=[1]Tables!$CF$4, SUMIFS(INDIRECT('[1]RA Output'!DQ$1), rng_out_mail_ind, $B12, rng_out_ds, $C12, rng_out_sel_sp_ind, $D12, rng_out_sel_excl_ind,$F12,rng_out_sel_excl_yr_ind, ""), 0))/[1]Tables!$AT$4</f>
        <v>#REF!</v>
      </c>
      <c r="BJ12" s="90" t="e" cm="1">
        <f t="array" aca="1" ref="BJ12" ca="1">(SUMIFS(INDIRECT('[1]RA Output'!DR$1), rng_out_mail_ind, $B12, rng_out_ds, $C12, rng_out_sel_sp_ind, $D12, rng_out_sel_excl_ind,$E12)
+ SUMIFS(INDIRECT('[1]RA Output'!DR$1), rng_out_mail_ind, $B12, rng_out_ds, $C12, rng_out_sel_sp_ind, $D12, rng_out_sel_excl_ind,$F12, rng_out_sel_excl_yr_ind, "&gt;0")
+ IF([1]Tables!$C$16=[1]Tables!$CF$4, SUMIFS(INDIRECT('[1]RA Output'!DR$1), rng_out_mail_ind, $B12, rng_out_ds, $C12, rng_out_sel_sp_ind, $D12, rng_out_sel_excl_ind,$F12,rng_out_sel_excl_yr_ind, ""), 0))/[1]Tables!$AT$4</f>
        <v>#REF!</v>
      </c>
      <c r="BK12" s="90" t="e" cm="1">
        <f t="array" aca="1" ref="BK12" ca="1">(SUMIFS(INDIRECT('[1]RA Output'!DS$1), rng_out_mail_ind, $B12, rng_out_ds, $C12, rng_out_sel_sp_ind, $D12, rng_out_sel_excl_ind,$E12)
+ SUMIFS(INDIRECT('[1]RA Output'!DS$1), rng_out_mail_ind, $B12, rng_out_ds, $C12, rng_out_sel_sp_ind, $D12, rng_out_sel_excl_ind,$F12, rng_out_sel_excl_yr_ind, "&gt;0")
+ IF([1]Tables!$C$16=[1]Tables!$CF$4, SUMIFS(INDIRECT('[1]RA Output'!DS$1), rng_out_mail_ind, $B12, rng_out_ds, $C12, rng_out_sel_sp_ind, $D12, rng_out_sel_excl_ind,$F12,rng_out_sel_excl_yr_ind, ""), 0))/[1]Tables!$AT$4</f>
        <v>#REF!</v>
      </c>
      <c r="BL12" s="91" t="e" cm="1">
        <f t="array" aca="1" ref="BL12" ca="1">(SUMIFS(INDIRECT('[1]RA Output'!DT$1), rng_out_mail_ind, $B12, rng_out_ds, $C12, rng_out_sel_sp_ind, $D12, rng_out_sel_excl_ind,$E12)
+ SUMIFS(INDIRECT('[1]RA Output'!DT$1), rng_out_mail_ind, $B12, rng_out_ds, $C12, rng_out_sel_sp_ind, $D12, rng_out_sel_excl_ind,$F12, rng_out_sel_excl_yr_ind, "&gt;0")
+ IF([1]Tables!$C$16=[1]Tables!$CF$4, SUMIFS(INDIRECT('[1]RA Output'!DT$1), rng_out_mail_ind, $B12, rng_out_ds, $C12, rng_out_sel_sp_ind, $D12, rng_out_sel_excl_ind,$F12,rng_out_sel_excl_yr_ind, ""), 0))/[1]Tables!$AT$4</f>
        <v>#REF!</v>
      </c>
      <c r="BM12" s="92">
        <f ca="1">IFERROR(BH12/BM$59, 0)</f>
        <v>0</v>
      </c>
      <c r="BN12" s="75">
        <f ca="1">IFERROR(BI12/BN$59, 0)</f>
        <v>0</v>
      </c>
      <c r="BO12" s="75">
        <f ca="1">IFERROR(BJ12/BO$59, 0)</f>
        <v>0</v>
      </c>
      <c r="BP12" s="75">
        <f ca="1">IFERROR(BK12/BP$59, 0)</f>
        <v>0</v>
      </c>
      <c r="BQ12" s="93">
        <f ca="1">IFERROR(BL12/BQ$59, 0)</f>
        <v>0</v>
      </c>
      <c r="BR12" s="92">
        <f ca="1">IFERROR(BH12/BR$59, 0)</f>
        <v>0</v>
      </c>
      <c r="BS12" s="75">
        <f ca="1">IFERROR(BI12/BS$59, 0)</f>
        <v>0</v>
      </c>
      <c r="BT12" s="75">
        <f ca="1">IFERROR(BJ12/BT$59, 0)</f>
        <v>0</v>
      </c>
      <c r="BU12" s="75">
        <f ca="1">IFERROR(BK12/BU$59, 0)</f>
        <v>0</v>
      </c>
      <c r="BV12" s="93">
        <f ca="1">IFERROR(BL12/BV$59, 0)</f>
        <v>0</v>
      </c>
      <c r="BX12" s="111" t="s">
        <v>15</v>
      </c>
      <c r="BY12" s="97" t="e">
        <f t="shared" ca="1" si="0"/>
        <v>#VALUE!</v>
      </c>
      <c r="BZ12" s="79" t="e">
        <f t="shared" ca="1" si="0"/>
        <v>#VALUE!</v>
      </c>
      <c r="CA12" s="79" t="e">
        <f t="shared" ca="1" si="0"/>
        <v>#VALUE!</v>
      </c>
      <c r="CB12" s="79" t="e">
        <f t="shared" ca="1" si="0"/>
        <v>#VALUE!</v>
      </c>
      <c r="CC12" s="98" t="e">
        <f t="shared" ca="1" si="0"/>
        <v>#VALUE!</v>
      </c>
      <c r="CD12" s="92">
        <f t="shared" ref="CD12:CH14" ca="1" si="2">BM12-DC12</f>
        <v>0</v>
      </c>
      <c r="CE12" s="75">
        <f t="shared" ca="1" si="2"/>
        <v>0</v>
      </c>
      <c r="CF12" s="75">
        <f t="shared" ca="1" si="2"/>
        <v>0</v>
      </c>
      <c r="CG12" s="75">
        <f t="shared" ca="1" si="2"/>
        <v>0</v>
      </c>
      <c r="CH12" s="93">
        <f t="shared" ca="1" si="2"/>
        <v>0</v>
      </c>
      <c r="CI12" s="92">
        <f t="shared" ca="1" si="1"/>
        <v>0</v>
      </c>
      <c r="CJ12" s="75">
        <f t="shared" ca="1" si="1"/>
        <v>0</v>
      </c>
      <c r="CK12" s="75">
        <f t="shared" ca="1" si="1"/>
        <v>0</v>
      </c>
      <c r="CL12" s="75">
        <f t="shared" ca="1" si="1"/>
        <v>0</v>
      </c>
      <c r="CM12" s="93">
        <f t="shared" ca="1" si="1"/>
        <v>0</v>
      </c>
      <c r="DC12" s="112" cm="1">
        <f t="array" aca="1" ref="DC12" ca="1">IFERROR(BM12-BM12*BR68*(1-INDEX([1]Tables!$EA$4:$EE$60,MATCH([1]Tables!$C$22&amp;$BX12,[1]Tables!$EA$4:$EA$60,0),[1]Tables!$EE$1))*(1-DI12)/CD59, 0)</f>
        <v>0</v>
      </c>
      <c r="DD12" s="113" cm="1">
        <f t="array" aca="1" ref="DD12" ca="1">IFERROR(BN12-BN12*BS68*(1-INDEX([1]Tables!$EA$4:$EE$60,MATCH([1]Tables!$C$22&amp;$BX12,[1]Tables!$EA$4:$EA$60,0),[1]Tables!$EE$1))*(1-DJ12)/CE59, 0)</f>
        <v>0</v>
      </c>
      <c r="DE12" s="113" cm="1">
        <f t="array" aca="1" ref="DE12" ca="1">IFERROR(BO12-BO12*BT68*(1-INDEX([1]Tables!$EA$4:$EE$60,MATCH([1]Tables!$C$22&amp;$BX12,[1]Tables!$EA$4:$EA$60,0),[1]Tables!$EE$1))*(1-DK12)/CF59, 0)</f>
        <v>0</v>
      </c>
      <c r="DF12" s="113" cm="1">
        <f t="array" aca="1" ref="DF12" ca="1">IFERROR(BP12-BP12*BU68*(1-INDEX([1]Tables!$EA$4:$EE$60,MATCH([1]Tables!$C$22&amp;$BX12,[1]Tables!$EA$4:$EA$60,0),[1]Tables!$EE$1))*(1-DL12)/CG59, 0)</f>
        <v>0</v>
      </c>
      <c r="DG12" s="114" cm="1">
        <f t="array" aca="1" ref="DG12" ca="1">IFERROR(BQ12-BQ12*BV68*(1-INDEX([1]Tables!$EA$4:$EE$60,MATCH([1]Tables!$C$22&amp;$BX12,[1]Tables!$EA$4:$EA$60,0),[1]Tables!$EE$1))*(1-DM12)/CH59, 0)</f>
        <v>0</v>
      </c>
      <c r="DI12" s="115" cm="1">
        <f t="array" aca="1" ref="DI12" ca="1">IFERROR(((SUMPRODUCT((rng_out_mail_ind = $B12) * (rng_out_ds = $C12) * (rng_out_sel_sp_ind = $D12)   * (rng_out_sel_excl_ind = $E12) * (rng_out_base_post_yr1*rng_out_340B)) +
IF([1]Tables!$C$16=[1]Tables!$CF$4, SUMPRODUCT((rng_out_mail_ind = $B12) * (rng_out_ds = $C12) * (rng_out_sel_sp_ind = $D12) * (rng_out_sel_excl_ind = $F12) * (rng_out_base_post_yr1*rng_out_340B)), 0))/[1]Tables!$AT$4)/AQ12, 0)</f>
        <v>0</v>
      </c>
      <c r="DJ12" s="116" cm="1">
        <f t="array" aca="1" ref="DJ12" ca="1">IFERROR(((SUMPRODUCT((rng_out_mail_ind = $B12) * (rng_out_ds = $C12) * (rng_out_sel_sp_ind = $D12)   * (rng_out_sel_excl_ind = $E12) * (rng_out_base_post_yr2*rng_out_340B)) +
IF([1]Tables!$C$16=[1]Tables!$CF$4, SUMPRODUCT((rng_out_mail_ind = $B12) * (rng_out_ds = $C12) * (rng_out_sel_sp_ind = $D12) * (rng_out_sel_excl_ind = $F12) * (rng_out_base_post_yr2*rng_out_340B)), 0))/[1]Tables!$AT$4)/AR12, 0)</f>
        <v>0</v>
      </c>
      <c r="DK12" s="116" cm="1">
        <f t="array" aca="1" ref="DK12" ca="1">IFERROR(((SUMPRODUCT((rng_out_mail_ind = $B12) * (rng_out_ds = $C12) * (rng_out_sel_sp_ind = $D12)   * (rng_out_sel_excl_ind = $E12) * (rng_out_base_post_yr3*rng_out_340B)) +
IF([1]Tables!$C$16=[1]Tables!$CF$4, SUMPRODUCT((rng_out_mail_ind = $B12) * (rng_out_ds = $C12) * (rng_out_sel_sp_ind = $D12) * (rng_out_sel_excl_ind = $F12) * (rng_out_base_post_yr3*rng_out_340B)), 0))/[1]Tables!$AT$4)/AS12, 0)</f>
        <v>0</v>
      </c>
      <c r="DL12" s="116" cm="1">
        <f t="array" aca="1" ref="DL12" ca="1">IFERROR(((SUMPRODUCT((rng_out_mail_ind = $B12) * (rng_out_ds = $C12) * (rng_out_sel_sp_ind = $D12)   * (rng_out_sel_excl_ind = $E12) * (rng_out_base_post_yr4*rng_out_340B)) +
IF([1]Tables!$C$16=[1]Tables!$CF$4, SUMPRODUCT((rng_out_mail_ind = $B12) * (rng_out_ds = $C12) * (rng_out_sel_sp_ind = $D12) * (rng_out_sel_excl_ind = $F12) * (rng_out_base_post_yr4*rng_out_340B)), 0))/[1]Tables!$AT$4)/AT12, 0)</f>
        <v>0</v>
      </c>
      <c r="DM12" s="117" cm="1">
        <f t="array" aca="1" ref="DM12" ca="1">IFERROR(((SUMPRODUCT((rng_out_mail_ind = $B12) * (rng_out_ds = $C12) * (rng_out_sel_sp_ind = $D12)   * (rng_out_sel_excl_ind = $E12) * (rng_out_base_post_yr5*rng_out_340B)) +
IF([1]Tables!$C$16=[1]Tables!$CF$4, SUMPRODUCT((rng_out_mail_ind = $B12) * (rng_out_ds = $C12) * (rng_out_sel_sp_ind = $D12) * (rng_out_sel_excl_ind = $F12) * (rng_out_base_post_yr5*rng_out_340B)), 0))/[1]Tables!$AT$4)/AU12, 0)</f>
        <v>0</v>
      </c>
    </row>
    <row r="13" spans="2:117" x14ac:dyDescent="0.35">
      <c r="B13" s="105" t="s">
        <v>16</v>
      </c>
      <c r="C13" s="106"/>
      <c r="D13" s="106" t="s">
        <v>12</v>
      </c>
      <c r="E13" s="105" t="s">
        <v>12</v>
      </c>
      <c r="F13" s="107" t="s">
        <v>13</v>
      </c>
      <c r="H13" s="118" t="s">
        <v>7</v>
      </c>
      <c r="I13" s="72" t="e" cm="1">
        <f t="array" aca="1" ref="I13" ca="1">SUMIFS(INDIRECT('[1]RA Output'!BP$1), rng_out_mail_ind, $B13, rng_out_sel_sp_ind, $D13, rng_out_sel_excl_ind,$E13)
+ SUMIFS(INDIRECT('[1]RA Output'!BP$1), rng_out_mail_ind, $B13, rng_out_sel_sp_ind, $D13, rng_out_sel_excl_ind,$F13, rng_out_sel_excl_yr_ind, "&gt;0")
+ IF([1]Tables!$C$16=[1]Tables!$CF$4, SUMIFS(INDIRECT('[1]RA Output'!BP$1), rng_out_mail_ind, $B13, rng_out_sel_sp_ind, $D13, rng_out_sel_excl_ind,$F13,rng_out_sel_excl_yr_ind, ""), 0)</f>
        <v>#REF!</v>
      </c>
      <c r="J13" s="5" t="e" cm="1">
        <f t="array" aca="1" ref="J13" ca="1">SUMIFS(INDIRECT('[1]RA Output'!BQ$1), rng_out_mail_ind, $B13, rng_out_sel_sp_ind, $D13, rng_out_sel_excl_ind,$E13)
+ SUMIFS(INDIRECT('[1]RA Output'!BQ$1), rng_out_mail_ind, $B13, rng_out_sel_sp_ind, $D13, rng_out_sel_excl_ind,$F13, rng_out_sel_excl_yr_ind, "&gt;0")
+ IF([1]Tables!$C$16=[1]Tables!$CF$4, SUMIFS(INDIRECT('[1]RA Output'!BQ$1), rng_out_mail_ind, $B13, rng_out_sel_sp_ind, $D13, rng_out_sel_excl_ind,$F13,rng_out_sel_excl_yr_ind, ""), 0)</f>
        <v>#REF!</v>
      </c>
      <c r="K13" s="5" t="e" cm="1">
        <f t="array" aca="1" ref="K13" ca="1">SUMIFS(INDIRECT('[1]RA Output'!BR$1), rng_out_mail_ind, $B13, rng_out_sel_sp_ind, $D13, rng_out_sel_excl_ind,$E13)
+ SUMIFS(INDIRECT('[1]RA Output'!BR$1), rng_out_mail_ind, $B13, rng_out_sel_sp_ind, $D13, rng_out_sel_excl_ind,$F13, rng_out_sel_excl_yr_ind, "&gt;0")
+ IF([1]Tables!$C$16=[1]Tables!$CF$4, SUMIFS(INDIRECT('[1]RA Output'!BR$1), rng_out_mail_ind, $B13, rng_out_sel_sp_ind, $D13, rng_out_sel_excl_ind,$F13,rng_out_sel_excl_yr_ind, ""), 0)</f>
        <v>#REF!</v>
      </c>
      <c r="L13" s="5" t="e" cm="1">
        <f t="array" aca="1" ref="L13" ca="1">SUMIFS(INDIRECT('[1]RA Output'!BS$1), rng_out_mail_ind, $B13, rng_out_sel_sp_ind, $D13, rng_out_sel_excl_ind,$E13)
+ SUMIFS(INDIRECT('[1]RA Output'!BS$1), rng_out_mail_ind, $B13, rng_out_sel_sp_ind, $D13, rng_out_sel_excl_ind,$F13, rng_out_sel_excl_yr_ind, "&gt;0")
+ IF([1]Tables!$C$16=[1]Tables!$CF$4, SUMIFS(INDIRECT('[1]RA Output'!BS$1), rng_out_mail_ind, $B13, rng_out_sel_sp_ind, $D13, rng_out_sel_excl_ind,$F13,rng_out_sel_excl_yr_ind, ""), 0)</f>
        <v>#REF!</v>
      </c>
      <c r="M13" s="73" t="e" cm="1">
        <f t="array" aca="1" ref="M13" ca="1">SUMIFS(INDIRECT('[1]RA Output'!BT$1), rng_out_mail_ind, $B13, rng_out_sel_sp_ind, $D13, rng_out_sel_excl_ind,$E13)
+ SUMIFS(INDIRECT('[1]RA Output'!BT$1), rng_out_mail_ind, $B13, rng_out_sel_sp_ind, $D13, rng_out_sel_excl_ind,$F13, rng_out_sel_excl_yr_ind, "&gt;0")
+ IF([1]Tables!$C$16=[1]Tables!$CF$4, SUMIFS(INDIRECT('[1]RA Output'!BT$1), rng_out_mail_ind, $B13, rng_out_sel_sp_ind, $D13, rng_out_sel_excl_ind,$F13,rng_out_sel_excl_yr_ind, ""), 0)</f>
        <v>#REF!</v>
      </c>
      <c r="N13" s="74">
        <f ca="1">IFERROR(I13/N$60, 0)</f>
        <v>0</v>
      </c>
      <c r="O13" s="75">
        <f ca="1">IFERROR(J13/O$60, 0)</f>
        <v>0</v>
      </c>
      <c r="P13" s="75">
        <f ca="1">IFERROR(K13/P$60, 0)</f>
        <v>0</v>
      </c>
      <c r="Q13" s="75">
        <f ca="1">IFERROR(L13/Q$60, 0)</f>
        <v>0</v>
      </c>
      <c r="R13" s="76">
        <f ca="1">IFERROR(M13/R$60, 0)</f>
        <v>0</v>
      </c>
      <c r="S13" s="74">
        <f ca="1">IFERROR(I13/S$60, 0)</f>
        <v>0</v>
      </c>
      <c r="T13" s="75">
        <f ca="1">IFERROR(J13/T$60, 0)</f>
        <v>0</v>
      </c>
      <c r="U13" s="75">
        <f ca="1">IFERROR(K13/U$60, 0)</f>
        <v>0</v>
      </c>
      <c r="V13" s="75">
        <f ca="1">IFERROR(L13/V$60, 0)</f>
        <v>0</v>
      </c>
      <c r="W13" s="76">
        <f ca="1">IFERROR(M13/W$60, 0)</f>
        <v>0</v>
      </c>
      <c r="Y13" s="119" t="s">
        <v>7</v>
      </c>
      <c r="Z13" s="78">
        <f ca="1">IFERROR(I13/[1]Tables!$AT$4,0)</f>
        <v>0</v>
      </c>
      <c r="AA13" s="79">
        <f ca="1">IFERROR(J13/[1]Tables!$AT$4,0)</f>
        <v>0</v>
      </c>
      <c r="AB13" s="79">
        <f ca="1">IFERROR(K13/[1]Tables!$AT$4,0)</f>
        <v>0</v>
      </c>
      <c r="AC13" s="79">
        <f ca="1">IFERROR(L13/[1]Tables!$AT$4,0)</f>
        <v>0</v>
      </c>
      <c r="AD13" s="80">
        <f ca="1">IFERROR(M13/[1]Tables!$AT$4,0)</f>
        <v>0</v>
      </c>
      <c r="AE13" s="81">
        <f ca="1">IFERROR(N13/[1]Tables!$AT$4, 0)</f>
        <v>0</v>
      </c>
      <c r="AF13" s="75">
        <f ca="1">IFERROR(O13/[1]Tables!$AT$4, 0)</f>
        <v>0</v>
      </c>
      <c r="AG13" s="75">
        <f ca="1">IFERROR(P13/[1]Tables!$AT$4, 0)</f>
        <v>0</v>
      </c>
      <c r="AH13" s="75">
        <f ca="1">IFERROR(Q13/[1]Tables!$AT$4, 0)</f>
        <v>0</v>
      </c>
      <c r="AI13" s="82">
        <f ca="1">IFERROR(R13/[1]Tables!$AT$4, 0)</f>
        <v>0</v>
      </c>
      <c r="AJ13" s="81">
        <f ca="1">IFERROR(S13/[1]Tables!$AT$4,0)</f>
        <v>0</v>
      </c>
      <c r="AK13" s="75">
        <f ca="1">IFERROR(T13/[1]Tables!$AT$4,0)</f>
        <v>0</v>
      </c>
      <c r="AL13" s="75">
        <f ca="1">IFERROR(U13/[1]Tables!$AT$4,0)</f>
        <v>0</v>
      </c>
      <c r="AM13" s="75">
        <f ca="1">IFERROR(V13/[1]Tables!$AT$4,0)</f>
        <v>0</v>
      </c>
      <c r="AN13" s="82">
        <f ca="1">IFERROR(W13/[1]Tables!$AT$4,0)</f>
        <v>0</v>
      </c>
      <c r="AP13" s="120" t="s">
        <v>7</v>
      </c>
      <c r="AQ13" s="84" t="e" cm="1">
        <f t="array" aca="1" ref="AQ13" ca="1">(SUMIFS(INDIRECT('[1]RA Output'!CP$1), rng_out_mail_ind, $B13, rng_out_sel_sp_ind, $D13, rng_out_sel_excl_ind,$E13)
+ SUMIFS(INDIRECT('[1]RA Output'!CP$1), rng_out_mail_ind, $B13, rng_out_sel_sp_ind, $D13, rng_out_sel_excl_ind,$F13, rng_out_sel_excl_yr_ind, "&gt;0")
+ IF([1]Tables!$C$16=[1]Tables!$CF$4, SUMIFS(INDIRECT('[1]RA Output'!CP$1), rng_out_mail_ind, $B13, rng_out_sel_sp_ind, $D13, rng_out_sel_excl_ind,$F13,rng_out_sel_excl_yr_ind, ""), 0))/[1]Tables!$AT$4</f>
        <v>#REF!</v>
      </c>
      <c r="AR13" s="5" t="e" cm="1">
        <f t="array" aca="1" ref="AR13" ca="1">(SUMIFS(INDIRECT('[1]RA Output'!CQ$1), rng_out_mail_ind, $B13, rng_out_sel_sp_ind, $D13, rng_out_sel_excl_ind,$E13)
+ SUMIFS(INDIRECT('[1]RA Output'!CQ$1), rng_out_mail_ind, $B13, rng_out_sel_sp_ind, $D13, rng_out_sel_excl_ind,$F13, rng_out_sel_excl_yr_ind, "&gt;0")
+ IF([1]Tables!$C$16=[1]Tables!$CF$4, SUMIFS(INDIRECT('[1]RA Output'!CQ$1), rng_out_mail_ind, $B13, rng_out_sel_sp_ind, $D13, rng_out_sel_excl_ind,$F13,rng_out_sel_excl_yr_ind, ""), 0))/[1]Tables!$AT$4</f>
        <v>#REF!</v>
      </c>
      <c r="AS13" s="5" t="e" cm="1">
        <f t="array" aca="1" ref="AS13" ca="1">(SUMIFS(INDIRECT('[1]RA Output'!CR$1), rng_out_mail_ind, $B13, rng_out_sel_sp_ind, $D13, rng_out_sel_excl_ind,$E13)
+ SUMIFS(INDIRECT('[1]RA Output'!CR$1), rng_out_mail_ind, $B13, rng_out_sel_sp_ind, $D13, rng_out_sel_excl_ind,$F13, rng_out_sel_excl_yr_ind, "&gt;0")
+ IF([1]Tables!$C$16=[1]Tables!$CF$4, SUMIFS(INDIRECT('[1]RA Output'!CR$1), rng_out_mail_ind, $B13, rng_out_sel_sp_ind, $D13, rng_out_sel_excl_ind,$F13,rng_out_sel_excl_yr_ind, ""), 0))/[1]Tables!$AT$4</f>
        <v>#REF!</v>
      </c>
      <c r="AT13" s="5" t="e" cm="1">
        <f t="array" aca="1" ref="AT13" ca="1">(SUMIFS(INDIRECT('[1]RA Output'!CS$1), rng_out_mail_ind, $B13, rng_out_sel_sp_ind, $D13, rng_out_sel_excl_ind,$E13)
+ SUMIFS(INDIRECT('[1]RA Output'!CS$1), rng_out_mail_ind, $B13, rng_out_sel_sp_ind, $D13, rng_out_sel_excl_ind,$F13, rng_out_sel_excl_yr_ind, "&gt;0")
+ IF([1]Tables!$C$16=[1]Tables!$CF$4, SUMIFS(INDIRECT('[1]RA Output'!CS$1), rng_out_mail_ind, $B13, rng_out_sel_sp_ind, $D13, rng_out_sel_excl_ind,$F13,rng_out_sel_excl_yr_ind, ""), 0))/[1]Tables!$AT$4</f>
        <v>#REF!</v>
      </c>
      <c r="AU13" s="85" t="e" cm="1">
        <f t="array" aca="1" ref="AU13" ca="1">(SUMIFS(INDIRECT('[1]RA Output'!CT$1), rng_out_mail_ind, $B13, rng_out_sel_sp_ind, $D13, rng_out_sel_excl_ind,$E13)
+ SUMIFS(INDIRECT('[1]RA Output'!CT$1), rng_out_mail_ind, $B13, rng_out_sel_sp_ind, $D13, rng_out_sel_excl_ind,$F13, rng_out_sel_excl_yr_ind, "&gt;0")
+ IF([1]Tables!$C$16=[1]Tables!$CF$4, SUMIFS(INDIRECT('[1]RA Output'!CT$1), rng_out_mail_ind, $B13, rng_out_sel_sp_ind, $D13, rng_out_sel_excl_ind,$F13,rng_out_sel_excl_yr_ind, ""), 0))/[1]Tables!$AT$4</f>
        <v>#REF!</v>
      </c>
      <c r="AV13" s="86">
        <f ca="1">IFERROR(AQ13/AV$60, 0)</f>
        <v>0</v>
      </c>
      <c r="AW13" s="75">
        <f ca="1">IFERROR(AR13/AW$60, 0)</f>
        <v>0</v>
      </c>
      <c r="AX13" s="75">
        <f ca="1">IFERROR(AS13/AX$60, 0)</f>
        <v>0</v>
      </c>
      <c r="AY13" s="75">
        <f ca="1">IFERROR(AT13/AY$60, 0)</f>
        <v>0</v>
      </c>
      <c r="AZ13" s="87">
        <f ca="1">IFERROR(AU13/AZ$60, 0)</f>
        <v>0</v>
      </c>
      <c r="BA13" s="75">
        <f ca="1">IFERROR(AQ13/BA$60, 0)</f>
        <v>0</v>
      </c>
      <c r="BB13" s="75">
        <f ca="1">IFERROR(AR13/BB$60, 0)</f>
        <v>0</v>
      </c>
      <c r="BC13" s="75">
        <f ca="1">IFERROR(AS13/BC$60, 0)</f>
        <v>0</v>
      </c>
      <c r="BD13" s="75">
        <f ca="1">IFERROR(AT13/BD$60, 0)</f>
        <v>0</v>
      </c>
      <c r="BE13" s="87">
        <f ca="1">IFERROR(AU13/BE$60, 0)</f>
        <v>0</v>
      </c>
      <c r="BG13" s="121" t="s">
        <v>7</v>
      </c>
      <c r="BH13" s="89" t="e" cm="1">
        <f t="array" aca="1" ref="BH13" ca="1">(SUMIFS(INDIRECT('[1]RA Output'!DP$1), rng_out_mail_ind, $B13, rng_out_sel_sp_ind, $D13, rng_out_sel_excl_ind,$E13)
+ SUMIFS(INDIRECT('[1]RA Output'!DP$1), rng_out_mail_ind, $B13, rng_out_sel_sp_ind, $D13, rng_out_sel_excl_ind,$F13, rng_out_sel_excl_yr_ind, "&gt;0")
+ IF([1]Tables!$C$16=[1]Tables!$CF$4, SUMIFS(INDIRECT('[1]RA Output'!DP$1), rng_out_mail_ind, $B13, rng_out_sel_sp_ind, $D13, rng_out_sel_excl_ind,$F13,rng_out_sel_excl_yr_ind, ""), 0))/[1]Tables!$AT$4</f>
        <v>#REF!</v>
      </c>
      <c r="BI13" s="90" t="e" cm="1">
        <f t="array" aca="1" ref="BI13" ca="1">(SUMIFS(INDIRECT('[1]RA Output'!DQ$1), rng_out_mail_ind, $B13, rng_out_sel_sp_ind, $D13, rng_out_sel_excl_ind,$E13)
+ SUMIFS(INDIRECT('[1]RA Output'!DQ$1), rng_out_mail_ind, $B13, rng_out_sel_sp_ind, $D13, rng_out_sel_excl_ind,$F13, rng_out_sel_excl_yr_ind, "&gt;0")
+ IF([1]Tables!$C$16=[1]Tables!$CF$4, SUMIFS(INDIRECT('[1]RA Output'!DQ$1), rng_out_mail_ind, $B13, rng_out_sel_sp_ind, $D13, rng_out_sel_excl_ind,$F13,rng_out_sel_excl_yr_ind, ""), 0))/[1]Tables!$AT$4</f>
        <v>#REF!</v>
      </c>
      <c r="BJ13" s="90" t="e" cm="1">
        <f t="array" aca="1" ref="BJ13" ca="1">(SUMIFS(INDIRECT('[1]RA Output'!DR$1), rng_out_mail_ind, $B13, rng_out_sel_sp_ind, $D13, rng_out_sel_excl_ind,$E13)
+ SUMIFS(INDIRECT('[1]RA Output'!DR$1), rng_out_mail_ind, $B13, rng_out_sel_sp_ind, $D13, rng_out_sel_excl_ind,$F13, rng_out_sel_excl_yr_ind, "&gt;0")
+ IF([1]Tables!$C$16=[1]Tables!$CF$4, SUMIFS(INDIRECT('[1]RA Output'!DR$1), rng_out_mail_ind, $B13, rng_out_sel_sp_ind, $D13, rng_out_sel_excl_ind,$F13,rng_out_sel_excl_yr_ind, ""), 0))/[1]Tables!$AT$4</f>
        <v>#REF!</v>
      </c>
      <c r="BK13" s="90" t="e" cm="1">
        <f t="array" aca="1" ref="BK13" ca="1">(SUMIFS(INDIRECT('[1]RA Output'!DS$1), rng_out_mail_ind, $B13, rng_out_sel_sp_ind, $D13, rng_out_sel_excl_ind,$E13)
+ SUMIFS(INDIRECT('[1]RA Output'!DS$1), rng_out_mail_ind, $B13, rng_out_sel_sp_ind, $D13, rng_out_sel_excl_ind,$F13, rng_out_sel_excl_yr_ind, "&gt;0")
+ IF([1]Tables!$C$16=[1]Tables!$CF$4, SUMIFS(INDIRECT('[1]RA Output'!DS$1), rng_out_mail_ind, $B13, rng_out_sel_sp_ind, $D13, rng_out_sel_excl_ind,$F13,rng_out_sel_excl_yr_ind, ""), 0))/[1]Tables!$AT$4</f>
        <v>#REF!</v>
      </c>
      <c r="BL13" s="91" t="e" cm="1">
        <f t="array" aca="1" ref="BL13" ca="1">(SUMIFS(INDIRECT('[1]RA Output'!DT$1), rng_out_mail_ind, $B13, rng_out_sel_sp_ind, $D13, rng_out_sel_excl_ind,$E13)
+ SUMIFS(INDIRECT('[1]RA Output'!DT$1), rng_out_mail_ind, $B13, rng_out_sel_sp_ind, $D13, rng_out_sel_excl_ind,$F13, rng_out_sel_excl_yr_ind, "&gt;0")
+ IF([1]Tables!$C$16=[1]Tables!$CF$4, SUMIFS(INDIRECT('[1]RA Output'!DT$1), rng_out_mail_ind, $B13, rng_out_sel_sp_ind, $D13, rng_out_sel_excl_ind,$F13,rng_out_sel_excl_yr_ind, ""), 0))/[1]Tables!$AT$4</f>
        <v>#REF!</v>
      </c>
      <c r="BM13" s="92">
        <f ca="1">IFERROR(BH13/BM$60, 0)</f>
        <v>0</v>
      </c>
      <c r="BN13" s="75">
        <f ca="1">IFERROR(BI13/BN$60, 0)</f>
        <v>0</v>
      </c>
      <c r="BO13" s="75">
        <f ca="1">IFERROR(BJ13/BO$60, 0)</f>
        <v>0</v>
      </c>
      <c r="BP13" s="75">
        <f ca="1">IFERROR(BK13/BP$60, 0)</f>
        <v>0</v>
      </c>
      <c r="BQ13" s="93">
        <f ca="1">IFERROR(BL13/BQ$60, 0)</f>
        <v>0</v>
      </c>
      <c r="BR13" s="92">
        <f ca="1">IFERROR(BH13/BR$60, 0)</f>
        <v>0</v>
      </c>
      <c r="BS13" s="75">
        <f ca="1">IFERROR(BI13/BS$60, 0)</f>
        <v>0</v>
      </c>
      <c r="BT13" s="75">
        <f ca="1">IFERROR(BJ13/BT$60, 0)</f>
        <v>0</v>
      </c>
      <c r="BU13" s="75">
        <f ca="1">IFERROR(BK13/BU$60, 0)</f>
        <v>0</v>
      </c>
      <c r="BV13" s="93">
        <f ca="1">IFERROR(BL13/BV$60, 0)</f>
        <v>0</v>
      </c>
      <c r="BX13" s="121" t="s">
        <v>7</v>
      </c>
      <c r="BY13" s="97" t="e">
        <f t="shared" ca="1" si="0"/>
        <v>#VALUE!</v>
      </c>
      <c r="BZ13" s="79" t="e">
        <f t="shared" ca="1" si="0"/>
        <v>#VALUE!</v>
      </c>
      <c r="CA13" s="79" t="e">
        <f t="shared" ca="1" si="0"/>
        <v>#VALUE!</v>
      </c>
      <c r="CB13" s="79" t="e">
        <f t="shared" ca="1" si="0"/>
        <v>#VALUE!</v>
      </c>
      <c r="CC13" s="98" t="e">
        <f t="shared" ca="1" si="0"/>
        <v>#VALUE!</v>
      </c>
      <c r="CD13" s="92">
        <f t="shared" ca="1" si="2"/>
        <v>0</v>
      </c>
      <c r="CE13" s="75">
        <f t="shared" ca="1" si="2"/>
        <v>0</v>
      </c>
      <c r="CF13" s="75">
        <f t="shared" ca="1" si="2"/>
        <v>0</v>
      </c>
      <c r="CG13" s="75">
        <f t="shared" ca="1" si="2"/>
        <v>0</v>
      </c>
      <c r="CH13" s="93">
        <f t="shared" ca="1" si="2"/>
        <v>0</v>
      </c>
      <c r="CI13" s="92">
        <f t="shared" ca="1" si="1"/>
        <v>0</v>
      </c>
      <c r="CJ13" s="75">
        <f t="shared" ca="1" si="1"/>
        <v>0</v>
      </c>
      <c r="CK13" s="75">
        <f t="shared" ca="1" si="1"/>
        <v>0</v>
      </c>
      <c r="CL13" s="75">
        <f t="shared" ca="1" si="1"/>
        <v>0</v>
      </c>
      <c r="CM13" s="93">
        <f t="shared" ca="1" si="1"/>
        <v>0</v>
      </c>
      <c r="DC13" s="112" cm="1">
        <f t="array" aca="1" ref="DC13" ca="1">IFERROR(BM13-BM13*BR69*(1-INDEX([1]Tables!$EA$4:$EE$60,MATCH([1]Tables!$C$22&amp;$BX13,[1]Tables!$EA$4:$EA$60,0),[1]Tables!$EE$1))*(1-DI13)/CD60, 0)</f>
        <v>0</v>
      </c>
      <c r="DD13" s="113" cm="1">
        <f t="array" aca="1" ref="DD13" ca="1">IFERROR(BN13-BN13*BS69*(1-INDEX([1]Tables!$EA$4:$EE$60,MATCH([1]Tables!$C$22&amp;$BX13,[1]Tables!$EA$4:$EA$60,0),[1]Tables!$EE$1))*(1-DJ13)/CE60, 0)</f>
        <v>0</v>
      </c>
      <c r="DE13" s="113" cm="1">
        <f t="array" aca="1" ref="DE13" ca="1">IFERROR(BO13-BO13*BT69*(1-INDEX([1]Tables!$EA$4:$EE$60,MATCH([1]Tables!$C$22&amp;$BX13,[1]Tables!$EA$4:$EA$60,0),[1]Tables!$EE$1))*(1-DK13)/CF60, 0)</f>
        <v>0</v>
      </c>
      <c r="DF13" s="113" cm="1">
        <f t="array" aca="1" ref="DF13" ca="1">IFERROR(BP13-BP13*BU69*(1-INDEX([1]Tables!$EA$4:$EE$60,MATCH([1]Tables!$C$22&amp;$BX13,[1]Tables!$EA$4:$EA$60,0),[1]Tables!$EE$1))*(1-DL13)/CG60, 0)</f>
        <v>0</v>
      </c>
      <c r="DG13" s="114" cm="1">
        <f t="array" aca="1" ref="DG13" ca="1">IFERROR(BQ13-BQ13*BV69*(1-INDEX([1]Tables!$EA$4:$EE$60,MATCH([1]Tables!$C$22&amp;$BX13,[1]Tables!$EA$4:$EA$60,0),[1]Tables!$EE$1))*(1-DM13)/CH60, 0)</f>
        <v>0</v>
      </c>
      <c r="DI13" s="115" cm="1">
        <f t="array" aca="1" ref="DI13" ca="1">IFERROR(((SUMPRODUCT((rng_out_mail_ind = $B13) * (rng_out_sel_sp_ind = $D13)   * (rng_out_sel_excl_ind = $E13) * (rng_out_base_post_yr1*rng_out_340B)) +
IF([1]Tables!$C$16=[1]Tables!$CF$4, SUMPRODUCT((rng_out_mail_ind = $B13) * (rng_out_sel_sp_ind = $D13) * (rng_out_sel_excl_ind = $F13) * (rng_out_base_post_yr1*rng_out_340B)), 0))/[1]Tables!$AT$4)/AQ13, 0)</f>
        <v>0</v>
      </c>
      <c r="DJ13" s="116" cm="1">
        <f t="array" aca="1" ref="DJ13" ca="1">IFERROR(((SUMPRODUCT((rng_out_mail_ind = $B13) * (rng_out_sel_sp_ind = $D13)   * (rng_out_sel_excl_ind = $E13) *(rng_out_base_post_yr2*rng_out_340B)) +
IF([1]Tables!$C$16=[1]Tables!$CF$4, SUMPRODUCT((rng_out_mail_ind = $B13) * (rng_out_sel_sp_ind = $D13) * (rng_out_sel_excl_ind = $F13) * (rng_out_base_post_yr2*rng_out_340B)), 0))/[1]Tables!$AT$4)/AR13, 0)</f>
        <v>0</v>
      </c>
      <c r="DK13" s="116" cm="1">
        <f t="array" aca="1" ref="DK13" ca="1">IFERROR(((SUMPRODUCT((rng_out_mail_ind = $B13) * (rng_out_sel_sp_ind = $D13)   * (rng_out_sel_excl_ind = $E13) * (rng_out_base_post_yr3*rng_out_340B)) +
IF([1]Tables!$C$16=[1]Tables!$CF$4, SUMPRODUCT((rng_out_mail_ind = $B13) * (rng_out_sel_sp_ind = $D13) * (rng_out_sel_excl_ind = $F13) * (rng_out_base_post_yr3*rng_out_340B)), 0))/[1]Tables!$AT$4)/AS13, 0)</f>
        <v>0</v>
      </c>
      <c r="DL13" s="116" cm="1">
        <f t="array" aca="1" ref="DL13" ca="1">IFERROR(((SUMPRODUCT((rng_out_mail_ind = $B13) * (rng_out_sel_sp_ind = $D13)   * (rng_out_sel_excl_ind = $E13) * (rng_out_base_post_yr4*rng_out_340B)) +
IF([1]Tables!$C$16=[1]Tables!$CF$4, SUMPRODUCT((rng_out_mail_ind = $B13) * (rng_out_sel_sp_ind = $D13) * (rng_out_sel_excl_ind = $F13) * (rng_out_base_post_yr4*rng_out_340B)), 0))/[1]Tables!$AT$4)/AT13, 0)</f>
        <v>0</v>
      </c>
      <c r="DM13" s="117" cm="1">
        <f t="array" aca="1" ref="DM13" ca="1">IFERROR(((SUMPRODUCT((rng_out_mail_ind = $B13) * (rng_out_sel_sp_ind = $D13)   * (rng_out_sel_excl_ind = $E13) * (rng_out_base_post_yr5*rng_out_340B)) +
IF([1]Tables!$C$16=[1]Tables!$CF$4, SUMPRODUCT((rng_out_mail_ind = $B13) * (rng_out_sel_sp_ind = $D13) * (rng_out_sel_excl_ind = $F13) * (rng_out_base_post_yr5*rng_out_340B)), 0))/[1]Tables!$AT$4)/AU13, 0)</f>
        <v>0</v>
      </c>
    </row>
    <row r="14" spans="2:117" ht="15" thickBot="1" x14ac:dyDescent="0.4">
      <c r="B14" s="122"/>
      <c r="C14" s="123"/>
      <c r="D14" s="123" t="s">
        <v>13</v>
      </c>
      <c r="E14" s="122" t="s">
        <v>12</v>
      </c>
      <c r="F14" s="124" t="s">
        <v>13</v>
      </c>
      <c r="H14" s="118" t="s">
        <v>17</v>
      </c>
      <c r="I14" s="72" t="e" cm="1">
        <f t="array" aca="1" ref="I14" ca="1">SUMIFS(INDIRECT('[1]RA Output'!BP$1), rng_out_sel_sp_ind, $D14, rng_out_sel_excl_ind,$E14)
+ SUMIFS(INDIRECT('[1]RA Output'!BP$1), rng_out_sel_sp_ind, $D14, rng_out_sel_excl_ind,$F14, rng_out_sel_excl_yr_ind, "&gt;0")
+ IF([1]Tables!$C$16=[1]Tables!$CF$4, SUMIFS(INDIRECT('[1]RA Output'!BP$1), rng_out_sel_sp_ind, $D14, rng_out_sel_excl_ind,$F14, rng_out_sel_excl_yr_ind, ""), 0)</f>
        <v>#REF!</v>
      </c>
      <c r="J14" s="5" t="e" cm="1">
        <f t="array" aca="1" ref="J14" ca="1">SUMIFS(INDIRECT('[1]RA Output'!BQ$1), rng_out_sel_sp_ind, $D14, rng_out_sel_excl_ind,$E14)
+ SUMIFS(INDIRECT('[1]RA Output'!BQ$1), rng_out_sel_sp_ind, $D14, rng_out_sel_excl_ind,$F14, rng_out_sel_excl_yr_ind, "&gt;0")
+ IF([1]Tables!$C$16=[1]Tables!$CF$4, SUMIFS(INDIRECT('[1]RA Output'!BQ$1), rng_out_sel_sp_ind, $D14, rng_out_sel_excl_ind,$F14, rng_out_sel_excl_yr_ind, ""), 0)</f>
        <v>#REF!</v>
      </c>
      <c r="K14" s="5" t="e" cm="1">
        <f t="array" aca="1" ref="K14" ca="1">SUMIFS(INDIRECT('[1]RA Output'!BR$1), rng_out_sel_sp_ind, $D14, rng_out_sel_excl_ind,$E14)
+ SUMIFS(INDIRECT('[1]RA Output'!BR$1), rng_out_sel_sp_ind, $D14, rng_out_sel_excl_ind,$F14, rng_out_sel_excl_yr_ind, "&gt;0")
+ IF([1]Tables!$C$16=[1]Tables!$CF$4, SUMIFS(INDIRECT('[1]RA Output'!BR$1), rng_out_sel_sp_ind, $D14, rng_out_sel_excl_ind,$F14, rng_out_sel_excl_yr_ind, ""), 0)</f>
        <v>#REF!</v>
      </c>
      <c r="L14" s="5" t="e" cm="1">
        <f t="array" aca="1" ref="L14" ca="1">SUMIFS(INDIRECT('[1]RA Output'!BS$1), rng_out_sel_sp_ind, $D14, rng_out_sel_excl_ind,$E14)
+ SUMIFS(INDIRECT('[1]RA Output'!BS$1), rng_out_sel_sp_ind, $D14, rng_out_sel_excl_ind,$F14, rng_out_sel_excl_yr_ind, "&gt;0")
+ IF([1]Tables!$C$16=[1]Tables!$CF$4, SUMIFS(INDIRECT('[1]RA Output'!BS$1), rng_out_sel_sp_ind, $D14, rng_out_sel_excl_ind,$F14, rng_out_sel_excl_yr_ind, ""), 0)</f>
        <v>#REF!</v>
      </c>
      <c r="M14" s="125" t="e" cm="1">
        <f t="array" aca="1" ref="M14" ca="1">SUMIFS(INDIRECT('[1]RA Output'!BT$1), rng_out_sel_sp_ind, $D14, rng_out_sel_excl_ind,$E14)
+ SUMIFS(INDIRECT('[1]RA Output'!BT$1), rng_out_sel_sp_ind, $D14, rng_out_sel_excl_ind,$F14, rng_out_sel_excl_yr_ind, "&gt;0")
+ IF([1]Tables!$C$16=[1]Tables!$CF$4, SUMIFS(INDIRECT('[1]RA Output'!BT$1), rng_out_sel_sp_ind, $D14, rng_out_sel_excl_ind,$F14, rng_out_sel_excl_yr_ind, ""), 0)</f>
        <v>#REF!</v>
      </c>
      <c r="N14" s="74">
        <f ca="1">IFERROR(I14/N$61, 0)</f>
        <v>0</v>
      </c>
      <c r="O14" s="75">
        <f ca="1">IFERROR(J14/O$61, 0)</f>
        <v>0</v>
      </c>
      <c r="P14" s="75">
        <f ca="1">IFERROR(K14/P$61, 0)</f>
        <v>0</v>
      </c>
      <c r="Q14" s="75">
        <f ca="1">IFERROR(L14/Q$61, 0)</f>
        <v>0</v>
      </c>
      <c r="R14" s="126">
        <f ca="1">IFERROR(M14/R$61, 0)</f>
        <v>0</v>
      </c>
      <c r="S14" s="75">
        <f ca="1">IFERROR(I14/S$61, 0)</f>
        <v>0</v>
      </c>
      <c r="T14" s="75">
        <f ca="1">IFERROR(J14/T$61, 0)</f>
        <v>0</v>
      </c>
      <c r="U14" s="75">
        <f ca="1">IFERROR(K14/U$61, 0)</f>
        <v>0</v>
      </c>
      <c r="V14" s="75">
        <f ca="1">IFERROR(L14/V$61, 0)</f>
        <v>0</v>
      </c>
      <c r="W14" s="76">
        <f ca="1">IFERROR(M14/W$61, 0)</f>
        <v>0</v>
      </c>
      <c r="Y14" s="119" t="s">
        <v>17</v>
      </c>
      <c r="Z14" s="127">
        <f ca="1">IFERROR(I14/[1]Tables!$AT$4,0)</f>
        <v>0</v>
      </c>
      <c r="AA14" s="128">
        <f ca="1">IFERROR(J14/[1]Tables!$AT$4,0)</f>
        <v>0</v>
      </c>
      <c r="AB14" s="128">
        <f ca="1">IFERROR(K14/[1]Tables!$AT$4,0)</f>
        <v>0</v>
      </c>
      <c r="AC14" s="128">
        <f ca="1">IFERROR(L14/[1]Tables!$AT$4,0)</f>
        <v>0</v>
      </c>
      <c r="AD14" s="129">
        <f ca="1">IFERROR(M14/[1]Tables!$AT$4,0)</f>
        <v>0</v>
      </c>
      <c r="AE14" s="130">
        <f ca="1">IFERROR(N14/[1]Tables!$AT$4, 0)</f>
        <v>0</v>
      </c>
      <c r="AF14" s="131">
        <f ca="1">IFERROR(O14/[1]Tables!$AT$4, 0)</f>
        <v>0</v>
      </c>
      <c r="AG14" s="131">
        <f ca="1">IFERROR(P14/[1]Tables!$AT$4, 0)</f>
        <v>0</v>
      </c>
      <c r="AH14" s="131">
        <f ca="1">IFERROR(Q14/[1]Tables!$AT$4, 0)</f>
        <v>0</v>
      </c>
      <c r="AI14" s="132">
        <f ca="1">IFERROR(R14/[1]Tables!$AT$4, 0)</f>
        <v>0</v>
      </c>
      <c r="AJ14" s="131">
        <f ca="1">IFERROR(S14/[1]Tables!$AT$4,0)</f>
        <v>0</v>
      </c>
      <c r="AK14" s="131">
        <f ca="1">IFERROR(T14/[1]Tables!$AT$4,0)</f>
        <v>0</v>
      </c>
      <c r="AL14" s="131">
        <f ca="1">IFERROR(U14/[1]Tables!$AT$4,0)</f>
        <v>0</v>
      </c>
      <c r="AM14" s="131">
        <f ca="1">IFERROR(V14/[1]Tables!$AT$4,0)</f>
        <v>0</v>
      </c>
      <c r="AN14" s="132">
        <f ca="1">IFERROR(W14/[1]Tables!$AT$4,0)</f>
        <v>0</v>
      </c>
      <c r="AP14" s="120" t="s">
        <v>17</v>
      </c>
      <c r="AQ14" s="133" t="e" cm="1">
        <f t="array" aca="1" ref="AQ14" ca="1">(SUMIFS(INDIRECT('[1]RA Output'!CP$1), rng_out_sel_sp_ind, $D14, rng_out_sel_excl_ind,$E14)
+ SUMIFS(INDIRECT('[1]RA Output'!CP$1), rng_out_sel_sp_ind, $D14, rng_out_sel_excl_ind,$F14, rng_out_sel_excl_yr_ind, "&gt;0")
+ IF([1]Tables!$C$16=[1]Tables!$CF$4, SUMIFS(INDIRECT('[1]RA Output'!CP$1), rng_out_sel_sp_ind, $D14, rng_out_sel_excl_ind,$F14, rng_out_sel_excl_yr_ind, ""), 0))/[1]Tables!$AT$4</f>
        <v>#REF!</v>
      </c>
      <c r="AR14" s="134" t="e" cm="1">
        <f t="array" aca="1" ref="AR14" ca="1">(SUMIFS(INDIRECT('[1]RA Output'!CQ$1), rng_out_sel_sp_ind, $D14, rng_out_sel_excl_ind,$E14)
+ SUMIFS(INDIRECT('[1]RA Output'!CQ$1), rng_out_sel_sp_ind, $D14, rng_out_sel_excl_ind,$F14, rng_out_sel_excl_yr_ind, "&gt;0")
+ IF([1]Tables!$C$16=[1]Tables!$CF$4, SUMIFS(INDIRECT('[1]RA Output'!CQ$1), rng_out_sel_sp_ind, $D14, rng_out_sel_excl_ind,$F14, rng_out_sel_excl_yr_ind, ""), 0))/[1]Tables!$AT$4</f>
        <v>#REF!</v>
      </c>
      <c r="AS14" s="134" t="e" cm="1">
        <f t="array" aca="1" ref="AS14" ca="1">(SUMIFS(INDIRECT('[1]RA Output'!CR$1), rng_out_sel_sp_ind, $D14, rng_out_sel_excl_ind,$E14)
+ SUMIFS(INDIRECT('[1]RA Output'!CR$1), rng_out_sel_sp_ind, $D14, rng_out_sel_excl_ind,$F14, rng_out_sel_excl_yr_ind, "&gt;0")
+ IF([1]Tables!$C$16=[1]Tables!$CF$4, SUMIFS(INDIRECT('[1]RA Output'!CR$1), rng_out_sel_sp_ind, $D14, rng_out_sel_excl_ind,$F14, rng_out_sel_excl_yr_ind, ""), 0))/[1]Tables!$AT$4</f>
        <v>#REF!</v>
      </c>
      <c r="AT14" s="134" t="e" cm="1">
        <f t="array" aca="1" ref="AT14" ca="1">(SUMIFS(INDIRECT('[1]RA Output'!CS$1), rng_out_sel_sp_ind, $D14, rng_out_sel_excl_ind,$E14)
+ SUMIFS(INDIRECT('[1]RA Output'!CS$1), rng_out_sel_sp_ind, $D14, rng_out_sel_excl_ind,$F14, rng_out_sel_excl_yr_ind, "&gt;0")
+ IF([1]Tables!$C$16=[1]Tables!$CF$4, SUMIFS(INDIRECT('[1]RA Output'!CS$1), rng_out_sel_sp_ind, $D14, rng_out_sel_excl_ind,$F14, rng_out_sel_excl_yr_ind, ""), 0))/[1]Tables!$AT$4</f>
        <v>#REF!</v>
      </c>
      <c r="AU14" s="135" t="e" cm="1">
        <f t="array" aca="1" ref="AU14" ca="1">(SUMIFS(INDIRECT('[1]RA Output'!CT$1), rng_out_sel_sp_ind, $D14, rng_out_sel_excl_ind,$E14)
+ SUMIFS(INDIRECT('[1]RA Output'!CT$1), rng_out_sel_sp_ind, $D14, rng_out_sel_excl_ind,$F14, rng_out_sel_excl_yr_ind, "&gt;0")
+ IF([1]Tables!$C$16=[1]Tables!$CF$4, SUMIFS(INDIRECT('[1]RA Output'!CT$1), rng_out_sel_sp_ind, $D14, rng_out_sel_excl_ind,$F14, rng_out_sel_excl_yr_ind, ""), 0))/[1]Tables!$AT$4</f>
        <v>#REF!</v>
      </c>
      <c r="AV14" s="136">
        <f ca="1">IFERROR(AQ14/AV$61, 0)</f>
        <v>0</v>
      </c>
      <c r="AW14" s="137">
        <f ca="1">IFERROR(AR14/AW$61, 0)</f>
        <v>0</v>
      </c>
      <c r="AX14" s="137">
        <f ca="1">IFERROR(AS14/AX$61, 0)</f>
        <v>0</v>
      </c>
      <c r="AY14" s="137">
        <f ca="1">IFERROR(AT14/AY$61, 0)</f>
        <v>0</v>
      </c>
      <c r="AZ14" s="138">
        <f ca="1">IFERROR(AU14/AZ$61, 0)</f>
        <v>0</v>
      </c>
      <c r="BA14" s="137">
        <f ca="1">IFERROR(AQ14/BA$61, 0)</f>
        <v>0</v>
      </c>
      <c r="BB14" s="137">
        <f ca="1">IFERROR(AR14/BB$61, 0)</f>
        <v>0</v>
      </c>
      <c r="BC14" s="137">
        <f ca="1">IFERROR(AS14/BC$61, 0)</f>
        <v>0</v>
      </c>
      <c r="BD14" s="137">
        <f ca="1">IFERROR(AT14/BD$61, 0)</f>
        <v>0</v>
      </c>
      <c r="BE14" s="138">
        <f ca="1">IFERROR(AU14/BE$61, 0)</f>
        <v>0</v>
      </c>
      <c r="BG14" s="121" t="s">
        <v>17</v>
      </c>
      <c r="BH14" s="139" t="e" cm="1">
        <f t="array" aca="1" ref="BH14" ca="1">(SUMIFS(INDIRECT('[1]RA Output'!DP$1), rng_out_sel_sp_ind, $D14, rng_out_sel_excl_ind,$E14)
+ SUMIFS(INDIRECT('[1]RA Output'!DP$1), rng_out_sel_sp_ind, $D14, rng_out_sel_excl_ind,$F14, rng_out_sel_excl_yr_ind, "&gt;0")
+ IF([1]Tables!$C$16=[1]Tables!$CF$4, SUMIFS(INDIRECT('[1]RA Output'!DP$1), rng_out_sel_sp_ind, $D14, rng_out_sel_excl_ind,$F14,rng_out_sel_excl_yr_ind, ""), 0))/[1]Tables!$AT$4</f>
        <v>#REF!</v>
      </c>
      <c r="BI14" s="140" t="e" cm="1">
        <f t="array" aca="1" ref="BI14" ca="1">(SUMIFS(INDIRECT('[1]RA Output'!DQ$1), rng_out_sel_sp_ind, $D14, rng_out_sel_excl_ind,$E14)
+ SUMIFS(INDIRECT('[1]RA Output'!DQ$1), rng_out_sel_sp_ind, $D14, rng_out_sel_excl_ind,$F14, rng_out_sel_excl_yr_ind, "&gt;0")
+ IF([1]Tables!$C$16=[1]Tables!$CF$4, SUMIFS(INDIRECT('[1]RA Output'!DQ$1), rng_out_sel_sp_ind, $D14, rng_out_sel_excl_ind,$F14,rng_out_sel_excl_yr_ind, ""), 0))/[1]Tables!$AT$4</f>
        <v>#REF!</v>
      </c>
      <c r="BJ14" s="140" t="e" cm="1">
        <f t="array" aca="1" ref="BJ14" ca="1">(SUMIFS(INDIRECT('[1]RA Output'!DR$1), rng_out_sel_sp_ind, $D14, rng_out_sel_excl_ind,$E14)
+ SUMIFS(INDIRECT('[1]RA Output'!DR$1), rng_out_sel_sp_ind, $D14, rng_out_sel_excl_ind,$F14, rng_out_sel_excl_yr_ind, "&gt;0")
+ IF([1]Tables!$C$16=[1]Tables!$CF$4, SUMIFS(INDIRECT('[1]RA Output'!DR$1), rng_out_sel_sp_ind, $D14, rng_out_sel_excl_ind,$F14,rng_out_sel_excl_yr_ind, ""), 0))/[1]Tables!$AT$4</f>
        <v>#REF!</v>
      </c>
      <c r="BK14" s="140" t="e" cm="1">
        <f t="array" aca="1" ref="BK14" ca="1">(SUMIFS(INDIRECT('[1]RA Output'!DS$1), rng_out_sel_sp_ind, $D14, rng_out_sel_excl_ind,$E14)
+ SUMIFS(INDIRECT('[1]RA Output'!DS$1), rng_out_sel_sp_ind, $D14, rng_out_sel_excl_ind,$F14, rng_out_sel_excl_yr_ind, "&gt;0")
+ IF([1]Tables!$C$16=[1]Tables!$CF$4, SUMIFS(INDIRECT('[1]RA Output'!DS$1), rng_out_sel_sp_ind, $D14, rng_out_sel_excl_ind,$F14,rng_out_sel_excl_yr_ind, ""), 0))/[1]Tables!$AT$4</f>
        <v>#REF!</v>
      </c>
      <c r="BL14" s="141" t="e" cm="1">
        <f t="array" aca="1" ref="BL14" ca="1">(SUMIFS(INDIRECT('[1]RA Output'!DT$1), rng_out_sel_sp_ind, $D14, rng_out_sel_excl_ind,$E14)
+ SUMIFS(INDIRECT('[1]RA Output'!DT$1), rng_out_sel_sp_ind, $D14, rng_out_sel_excl_ind,$F14, rng_out_sel_excl_yr_ind, "&gt;0")
+ IF([1]Tables!$C$16=[1]Tables!$CF$4, SUMIFS(INDIRECT('[1]RA Output'!DT$1), rng_out_sel_sp_ind, $D14, rng_out_sel_excl_ind,$F14,rng_out_sel_excl_yr_ind, ""), 0))/[1]Tables!$AT$4</f>
        <v>#REF!</v>
      </c>
      <c r="BM14" s="142">
        <f ca="1">IFERROR(BH14/BM$61, 0)</f>
        <v>0</v>
      </c>
      <c r="BN14" s="143">
        <f ca="1">IFERROR(BI14/BN$61, 0)</f>
        <v>0</v>
      </c>
      <c r="BO14" s="143">
        <f ca="1">IFERROR(BJ14/BO$61, 0)</f>
        <v>0</v>
      </c>
      <c r="BP14" s="143">
        <f ca="1">IFERROR(BK14/BP$61, 0)</f>
        <v>0</v>
      </c>
      <c r="BQ14" s="144">
        <f ca="1">IFERROR(BL14/BQ$61, 0)</f>
        <v>0</v>
      </c>
      <c r="BR14" s="143">
        <f ca="1">IFERROR(BH14/BR$61, 0)</f>
        <v>0</v>
      </c>
      <c r="BS14" s="143">
        <f ca="1">IFERROR(BI14/BS$61, 0)</f>
        <v>0</v>
      </c>
      <c r="BT14" s="143">
        <f ca="1">IFERROR(BJ14/BT$61, 0)</f>
        <v>0</v>
      </c>
      <c r="BU14" s="143">
        <f ca="1">IFERROR(BK14/BU$61, 0)</f>
        <v>0</v>
      </c>
      <c r="BV14" s="144">
        <f ca="1">IFERROR(BL14/BV$61, 0)</f>
        <v>0</v>
      </c>
      <c r="BX14" s="121" t="s">
        <v>17</v>
      </c>
      <c r="BY14" s="145" t="e">
        <f t="shared" ca="1" si="0"/>
        <v>#VALUE!</v>
      </c>
      <c r="BZ14" s="146" t="e">
        <f t="shared" ca="1" si="0"/>
        <v>#VALUE!</v>
      </c>
      <c r="CA14" s="146" t="e">
        <f t="shared" ca="1" si="0"/>
        <v>#VALUE!</v>
      </c>
      <c r="CB14" s="146" t="e">
        <f t="shared" ca="1" si="0"/>
        <v>#VALUE!</v>
      </c>
      <c r="CC14" s="147" t="e">
        <f t="shared" ca="1" si="0"/>
        <v>#VALUE!</v>
      </c>
      <c r="CD14" s="142">
        <f t="shared" ca="1" si="2"/>
        <v>0</v>
      </c>
      <c r="CE14" s="143">
        <f t="shared" ca="1" si="2"/>
        <v>0</v>
      </c>
      <c r="CF14" s="143">
        <f t="shared" ca="1" si="2"/>
        <v>0</v>
      </c>
      <c r="CG14" s="143">
        <f t="shared" ca="1" si="2"/>
        <v>0</v>
      </c>
      <c r="CH14" s="144">
        <f t="shared" ca="1" si="2"/>
        <v>0</v>
      </c>
      <c r="CI14" s="143">
        <f t="shared" ca="1" si="1"/>
        <v>0</v>
      </c>
      <c r="CJ14" s="143">
        <f t="shared" ca="1" si="1"/>
        <v>0</v>
      </c>
      <c r="CK14" s="143">
        <f t="shared" ca="1" si="1"/>
        <v>0</v>
      </c>
      <c r="CL14" s="143">
        <f t="shared" ca="1" si="1"/>
        <v>0</v>
      </c>
      <c r="CM14" s="144">
        <f t="shared" ca="1" si="1"/>
        <v>0</v>
      </c>
      <c r="DC14" s="148" cm="1">
        <f t="array" aca="1" ref="DC14" ca="1">IFERROR(BM14-BM14*BR70*(1-INDEX([1]Tables!$EA$4:$EE$60,MATCH([1]Tables!$C$22&amp;$BX14,[1]Tables!$EA$4:$EA$60,0),[1]Tables!$EE$1))*(1-DI14)/CD61, 0)</f>
        <v>0</v>
      </c>
      <c r="DD14" s="149" cm="1">
        <f t="array" aca="1" ref="DD14" ca="1">IFERROR(BN14-BN14*BS70*(1-INDEX([1]Tables!$EA$4:$EE$60,MATCH([1]Tables!$C$22&amp;$BX14,[1]Tables!$EA$4:$EA$60,0),[1]Tables!$EE$1))*(1-DJ14)/CE61, 0)</f>
        <v>0</v>
      </c>
      <c r="DE14" s="149" cm="1">
        <f t="array" aca="1" ref="DE14" ca="1">IFERROR(BO14-BO14*BT70*(1-INDEX([1]Tables!$EA$4:$EE$60,MATCH([1]Tables!$C$22&amp;$BX14,[1]Tables!$EA$4:$EA$60,0),[1]Tables!$EE$1))*(1-DK14)/CF61, 0)</f>
        <v>0</v>
      </c>
      <c r="DF14" s="149" cm="1">
        <f t="array" aca="1" ref="DF14" ca="1">IFERROR(BP14-BP14*BU70*(1-INDEX([1]Tables!$EA$4:$EE$60,MATCH([1]Tables!$C$22&amp;$BX14,[1]Tables!$EA$4:$EA$60,0),[1]Tables!$EE$1))*(1-DL14)/CG61, 0)</f>
        <v>0</v>
      </c>
      <c r="DG14" s="150" cm="1">
        <f t="array" aca="1" ref="DG14" ca="1">IFERROR(BQ14-BQ14*BV70*(1-INDEX([1]Tables!$EA$4:$EE$60,MATCH([1]Tables!$C$22&amp;$BX14,[1]Tables!$EA$4:$EA$60,0),[1]Tables!$EE$1))*(1-DM14)/CH61, 0)</f>
        <v>0</v>
      </c>
      <c r="DI14" s="151" cm="1">
        <f t="array" aca="1" ref="DI14" ca="1">IFERROR(((SUMPRODUCT((rng_out_sel_sp_ind = $D14)   * (rng_out_sel_excl_ind = $E14) * (rng_out_base_post_yr1*rng_out_340B)) +
IF([1]Tables!$C$16=[1]Tables!$CF$4, SUMPRODUCT((rng_out_sel_sp_ind = $D14) * (rng_out_sel_excl_ind = $F14) * (rng_out_base_post_yr1*rng_out_340B)), 0))/[1]Tables!$AT$4)/AQ14, 0)</f>
        <v>0</v>
      </c>
      <c r="DJ14" s="152" cm="1">
        <f t="array" aca="1" ref="DJ14" ca="1">IFERROR(((SUMPRODUCT((rng_out_sel_sp_ind = $D14)   * (rng_out_sel_excl_ind = $E14) * (rng_out_base_post_yr2*rng_out_340B)) +
IF([1]Tables!$C$16=[1]Tables!$CF$4, SUMPRODUCT((rng_out_sel_sp_ind = $D14) * (rng_out_sel_excl_ind = $F14) * (rng_out_base_post_yr2*rng_out_340B)), 0))/[1]Tables!$AT$4)/AR14, 0)</f>
        <v>0</v>
      </c>
      <c r="DK14" s="152" cm="1">
        <f t="array" aca="1" ref="DK14" ca="1">IFERROR(((SUMPRODUCT((rng_out_sel_sp_ind = $D14)   * (rng_out_sel_excl_ind = $E14) * (rng_out_base_post_yr3*rng_out_340B)) +
IF([1]Tables!$C$16=[1]Tables!$CF$4, SUMPRODUCT((rng_out_sel_sp_ind = $D14) * (rng_out_sel_excl_ind = $F14) * (rng_out_base_post_yr3*rng_out_340B)), 0))/[1]Tables!$AT$4)/AS14, 0)</f>
        <v>0</v>
      </c>
      <c r="DL14" s="152" cm="1">
        <f t="array" aca="1" ref="DL14" ca="1">IFERROR(((SUMPRODUCT((rng_out_sel_sp_ind = $D14)   * (rng_out_sel_excl_ind = $E14) * (rng_out_base_post_yr4*rng_out_340B)) +
IF([1]Tables!$C$16=[1]Tables!$CF$4, SUMPRODUCT((rng_out_sel_sp_ind = $D14) * (rng_out_sel_excl_ind = $F14) * (rng_out_base_post_yr4*rng_out_340B)), 0))/[1]Tables!$AT$4)/AT14, 0)</f>
        <v>0</v>
      </c>
      <c r="DM14" s="153" cm="1">
        <f t="array" aca="1" ref="DM14" ca="1">IFERROR(((SUMPRODUCT((rng_out_sel_sp_ind = $D14)   * (rng_out_sel_excl_ind = $E14) * (rng_out_base_post_yr5*rng_out_340B)) +
IF([1]Tables!$C$16=[1]Tables!$CF$4, SUMPRODUCT((rng_out_sel_sp_ind = $D14) * (rng_out_sel_excl_ind = $F14) * (rng_out_base_post_yr5*rng_out_340B)), 0))/[1]Tables!$AT$4)/AU14, 0)</f>
        <v>0</v>
      </c>
    </row>
    <row r="15" spans="2:117" ht="15" thickBot="1" x14ac:dyDescent="0.4">
      <c r="H15" s="154" t="s">
        <v>18</v>
      </c>
      <c r="I15" s="155" t="e">
        <f ca="1">SUM(I11:I14)</f>
        <v>#REF!</v>
      </c>
      <c r="J15" s="155" t="e">
        <f ca="1">SUM(J11:J14)</f>
        <v>#REF!</v>
      </c>
      <c r="K15" s="155" t="e">
        <f ca="1">SUM(K11:K14)</f>
        <v>#REF!</v>
      </c>
      <c r="L15" s="155" t="e">
        <f ca="1">SUM(L11:L14)</f>
        <v>#REF!</v>
      </c>
      <c r="M15" s="156" t="e">
        <f ca="1">SUM(M11:M14)</f>
        <v>#REF!</v>
      </c>
      <c r="N15" s="157">
        <f ca="1">IFERROR(I15/N$62, 0)</f>
        <v>0</v>
      </c>
      <c r="O15" s="157">
        <f ca="1">IFERROR(J15/O$62, 0)</f>
        <v>0</v>
      </c>
      <c r="P15" s="157">
        <f ca="1">IFERROR(K15/P$62, 0)</f>
        <v>0</v>
      </c>
      <c r="Q15" s="157">
        <f ca="1">IFERROR(L15/Q$62, 0)</f>
        <v>0</v>
      </c>
      <c r="R15" s="158">
        <f ca="1">IFERROR(M15/R$62, 0)</f>
        <v>0</v>
      </c>
      <c r="S15" s="157">
        <f ca="1">IFERROR(I15/S$62, 0)</f>
        <v>0</v>
      </c>
      <c r="T15" s="157">
        <f ca="1">IFERROR(J15/T$62, 0)</f>
        <v>0</v>
      </c>
      <c r="U15" s="157">
        <f ca="1">IFERROR(K15/U$62, 0)</f>
        <v>0</v>
      </c>
      <c r="V15" s="157">
        <f ca="1">IFERROR(L15/V$62, 0)</f>
        <v>0</v>
      </c>
      <c r="W15" s="158">
        <f ca="1">IFERROR(M15/W$62, 0)</f>
        <v>0</v>
      </c>
      <c r="Y15" s="159" t="s">
        <v>18</v>
      </c>
      <c r="Z15" s="160">
        <f ca="1">SUM(Z11:Z14)</f>
        <v>0</v>
      </c>
      <c r="AA15" s="161">
        <f ca="1">SUM(AA11:AA14)</f>
        <v>0</v>
      </c>
      <c r="AB15" s="161">
        <f ca="1">SUM(AB11:AB14)</f>
        <v>0</v>
      </c>
      <c r="AC15" s="161">
        <f ca="1">SUM(AC11:AC14)</f>
        <v>0</v>
      </c>
      <c r="AD15" s="162">
        <f ca="1">SUM(AD11:AD14)</f>
        <v>0</v>
      </c>
      <c r="AE15" s="163">
        <f ca="1">IFERROR(N15/[1]Tables!$AT$4, 0)</f>
        <v>0</v>
      </c>
      <c r="AF15" s="164">
        <f ca="1">IFERROR(O15/[1]Tables!$AT$4, 0)</f>
        <v>0</v>
      </c>
      <c r="AG15" s="164">
        <f ca="1">IFERROR(P15/[1]Tables!$AT$4, 0)</f>
        <v>0</v>
      </c>
      <c r="AH15" s="164">
        <f ca="1">IFERROR(Q15/[1]Tables!$AT$4, 0)</f>
        <v>0</v>
      </c>
      <c r="AI15" s="165">
        <f ca="1">IFERROR(R15/[1]Tables!$AT$4, 0)</f>
        <v>0</v>
      </c>
      <c r="AJ15" s="164">
        <f ca="1">IFERROR(S15/[1]Tables!$AT$4,0)</f>
        <v>0</v>
      </c>
      <c r="AK15" s="164">
        <f ca="1">IFERROR(T15/[1]Tables!$AT$4,0)</f>
        <v>0</v>
      </c>
      <c r="AL15" s="164">
        <f ca="1">IFERROR(U15/[1]Tables!$AT$4,0)</f>
        <v>0</v>
      </c>
      <c r="AM15" s="164">
        <f ca="1">IFERROR(V15/[1]Tables!$AT$4,0)</f>
        <v>0</v>
      </c>
      <c r="AN15" s="165">
        <f ca="1">IFERROR(W15/[1]Tables!$AT$4,0)</f>
        <v>0</v>
      </c>
      <c r="AP15" s="166" t="s">
        <v>18</v>
      </c>
      <c r="AQ15" s="167" t="e">
        <f ca="1">SUM(AQ11:AQ14)</f>
        <v>#REF!</v>
      </c>
      <c r="AR15" s="134" t="e">
        <f ca="1">SUM(AR11:AR14)</f>
        <v>#REF!</v>
      </c>
      <c r="AS15" s="134" t="e">
        <f ca="1">SUM(AS11:AS14)</f>
        <v>#REF!</v>
      </c>
      <c r="AT15" s="134" t="e">
        <f ca="1">SUM(AT11:AT14)</f>
        <v>#REF!</v>
      </c>
      <c r="AU15" s="135" t="e">
        <f ca="1">SUM(AU11:AU14)</f>
        <v>#REF!</v>
      </c>
      <c r="AV15" s="168">
        <f ca="1">IFERROR(AQ15/AV$62, 0)</f>
        <v>0</v>
      </c>
      <c r="AW15" s="169">
        <f ca="1">IFERROR(AR15/AW$62, 0)</f>
        <v>0</v>
      </c>
      <c r="AX15" s="169">
        <f ca="1">IFERROR(AS15/AX$62, 0)</f>
        <v>0</v>
      </c>
      <c r="AY15" s="169">
        <f ca="1">IFERROR(AT15/AY$62, 0)</f>
        <v>0</v>
      </c>
      <c r="AZ15" s="170">
        <f ca="1">IFERROR(AU15/AZ$62, 0)</f>
        <v>0</v>
      </c>
      <c r="BA15" s="169">
        <f ca="1">IFERROR(AQ15/BA$62, 0)</f>
        <v>0</v>
      </c>
      <c r="BB15" s="169">
        <f ca="1">IFERROR(AR15/BB$62, 0)</f>
        <v>0</v>
      </c>
      <c r="BC15" s="169">
        <f ca="1">IFERROR(AS15/BC$62, 0)</f>
        <v>0</v>
      </c>
      <c r="BD15" s="169">
        <f ca="1">IFERROR(AT15/BD$62, 0)</f>
        <v>0</v>
      </c>
      <c r="BE15" s="170">
        <f ca="1">IFERROR(AU15/BE$62, 0)</f>
        <v>0</v>
      </c>
      <c r="BG15" s="171" t="s">
        <v>18</v>
      </c>
      <c r="BH15" s="172" t="e">
        <f ca="1">SUM(BH11:BH14)</f>
        <v>#REF!</v>
      </c>
      <c r="BI15" s="173" t="e">
        <f ca="1">SUM(BI11:BI14)</f>
        <v>#REF!</v>
      </c>
      <c r="BJ15" s="173" t="e">
        <f ca="1">SUM(BJ11:BJ14)</f>
        <v>#REF!</v>
      </c>
      <c r="BK15" s="173" t="e">
        <f ca="1">SUM(BK11:BK14)</f>
        <v>#REF!</v>
      </c>
      <c r="BL15" s="174" t="e">
        <f ca="1">SUM(BL11:BL14)</f>
        <v>#REF!</v>
      </c>
      <c r="BM15" s="175">
        <f ca="1">IFERROR(BH15/BM$62, 0)</f>
        <v>0</v>
      </c>
      <c r="BN15" s="176">
        <f ca="1">IFERROR(BI15/BN$62, 0)</f>
        <v>0</v>
      </c>
      <c r="BO15" s="176">
        <f ca="1">IFERROR(BJ15/BO$62, 0)</f>
        <v>0</v>
      </c>
      <c r="BP15" s="176">
        <f ca="1">IFERROR(BK15/BP$62, 0)</f>
        <v>0</v>
      </c>
      <c r="BQ15" s="177">
        <f ca="1">IFERROR(BL15/BQ$62, 0)</f>
        <v>0</v>
      </c>
      <c r="BR15" s="176">
        <f ca="1">IFERROR(BH15/BR$62, 0)</f>
        <v>0</v>
      </c>
      <c r="BS15" s="176">
        <f ca="1">IFERROR(BI15/BS$62, 0)</f>
        <v>0</v>
      </c>
      <c r="BT15" s="176">
        <f ca="1">IFERROR(BJ15/BT$62, 0)</f>
        <v>0</v>
      </c>
      <c r="BU15" s="176">
        <f ca="1">IFERROR(BK15/BU$62, 0)</f>
        <v>0</v>
      </c>
      <c r="BV15" s="177">
        <f ca="1">IFERROR(BL15/BV$62, 0)</f>
        <v>0</v>
      </c>
      <c r="BX15" s="171" t="s">
        <v>18</v>
      </c>
      <c r="BY15" s="172" t="e">
        <f ca="1">SUM(BY11:BY14)</f>
        <v>#VALUE!</v>
      </c>
      <c r="BZ15" s="173" t="e">
        <f ca="1">SUM(BZ11:BZ14)</f>
        <v>#VALUE!</v>
      </c>
      <c r="CA15" s="173" t="e">
        <f ca="1">SUM(CA11:CA14)</f>
        <v>#VALUE!</v>
      </c>
      <c r="CB15" s="173" t="e">
        <f ca="1">SUM(CB11:CB14)</f>
        <v>#VALUE!</v>
      </c>
      <c r="CC15" s="174" t="e">
        <f ca="1">SUM(CC11:CC14)</f>
        <v>#VALUE!</v>
      </c>
      <c r="CD15" s="175">
        <f ca="1">IFERROR(BY15/CD62, 0)</f>
        <v>0</v>
      </c>
      <c r="CE15" s="176">
        <f ca="1">IFERROR(BZ15/CE62, 0)</f>
        <v>0</v>
      </c>
      <c r="CF15" s="176">
        <f ca="1">IFERROR(CA15/CF62, 0)</f>
        <v>0</v>
      </c>
      <c r="CG15" s="176">
        <f ca="1">IFERROR(CB15/CG62, 0)</f>
        <v>0</v>
      </c>
      <c r="CH15" s="177">
        <f ca="1">IFERROR(CC15/CH62, 0)</f>
        <v>0</v>
      </c>
      <c r="CI15" s="176">
        <f t="shared" ca="1" si="1"/>
        <v>0</v>
      </c>
      <c r="CJ15" s="176">
        <f t="shared" ca="1" si="1"/>
        <v>0</v>
      </c>
      <c r="CK15" s="176">
        <f t="shared" ca="1" si="1"/>
        <v>0</v>
      </c>
      <c r="CL15" s="176">
        <f t="shared" ca="1" si="1"/>
        <v>0</v>
      </c>
      <c r="CM15" s="177">
        <f t="shared" ca="1" si="1"/>
        <v>0</v>
      </c>
    </row>
    <row r="16" spans="2:117" ht="15" thickBot="1" x14ac:dyDescent="0.4">
      <c r="AQ16" s="5"/>
      <c r="AR16" s="5"/>
      <c r="AS16" s="5"/>
      <c r="AT16" s="5"/>
      <c r="AU16" s="5"/>
      <c r="CD16" s="92"/>
    </row>
    <row r="17" spans="2:117" ht="15" thickBot="1" x14ac:dyDescent="0.4">
      <c r="I17" s="21" t="s">
        <v>19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3"/>
      <c r="Z17" s="24" t="s">
        <v>19</v>
      </c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6"/>
      <c r="AQ17" s="178" t="s">
        <v>19</v>
      </c>
      <c r="AR17" s="179"/>
      <c r="AS17" s="179"/>
      <c r="AT17" s="179"/>
      <c r="AU17" s="180"/>
      <c r="AV17" s="28"/>
      <c r="AW17" s="28"/>
      <c r="AX17" s="28"/>
      <c r="AY17" s="28"/>
      <c r="AZ17" s="28"/>
      <c r="BA17" s="28"/>
      <c r="BB17" s="28"/>
      <c r="BC17" s="28"/>
      <c r="BD17" s="28"/>
      <c r="BE17" s="30"/>
      <c r="BH17" s="31" t="s">
        <v>19</v>
      </c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3"/>
      <c r="BY17" s="34" t="s">
        <v>19</v>
      </c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6"/>
      <c r="DC17" s="34" t="s">
        <v>19</v>
      </c>
      <c r="DD17" s="35"/>
      <c r="DE17" s="35"/>
      <c r="DF17" s="35"/>
      <c r="DG17" s="36"/>
      <c r="DI17" s="34" t="s">
        <v>19</v>
      </c>
      <c r="DJ17" s="35"/>
      <c r="DK17" s="35"/>
      <c r="DL17" s="35"/>
      <c r="DM17" s="36"/>
    </row>
    <row r="18" spans="2:117" ht="15" thickBot="1" x14ac:dyDescent="0.4">
      <c r="H18" s="37"/>
      <c r="I18" s="38" t="s">
        <v>2</v>
      </c>
      <c r="J18" s="39"/>
      <c r="K18" s="39"/>
      <c r="L18" s="39"/>
      <c r="M18" s="40"/>
      <c r="N18" s="38" t="s">
        <v>3</v>
      </c>
      <c r="O18" s="39"/>
      <c r="P18" s="39"/>
      <c r="Q18" s="39"/>
      <c r="R18" s="40"/>
      <c r="S18" s="38" t="s">
        <v>4</v>
      </c>
      <c r="T18" s="39"/>
      <c r="U18" s="39"/>
      <c r="V18" s="39"/>
      <c r="W18" s="40"/>
      <c r="Z18" s="41" t="s">
        <v>2</v>
      </c>
      <c r="AA18" s="42"/>
      <c r="AB18" s="42"/>
      <c r="AC18" s="42"/>
      <c r="AD18" s="43"/>
      <c r="AE18" s="41" t="s">
        <v>3</v>
      </c>
      <c r="AF18" s="42"/>
      <c r="AG18" s="42"/>
      <c r="AH18" s="42"/>
      <c r="AI18" s="43"/>
      <c r="AJ18" s="41" t="s">
        <v>4</v>
      </c>
      <c r="AK18" s="42"/>
      <c r="AL18" s="42"/>
      <c r="AM18" s="42"/>
      <c r="AN18" s="43"/>
      <c r="AQ18" s="181" t="s">
        <v>2</v>
      </c>
      <c r="AR18" s="182"/>
      <c r="AS18" s="182"/>
      <c r="AT18" s="182"/>
      <c r="AU18" s="183"/>
      <c r="AV18" s="44" t="s">
        <v>3</v>
      </c>
      <c r="AW18" s="45"/>
      <c r="AX18" s="45"/>
      <c r="AY18" s="45"/>
      <c r="AZ18" s="46"/>
      <c r="BA18" s="45" t="s">
        <v>4</v>
      </c>
      <c r="BB18" s="45"/>
      <c r="BC18" s="45"/>
      <c r="BD18" s="45"/>
      <c r="BE18" s="46"/>
      <c r="BH18" s="47" t="s">
        <v>2</v>
      </c>
      <c r="BI18" s="48"/>
      <c r="BJ18" s="48"/>
      <c r="BK18" s="48"/>
      <c r="BL18" s="49"/>
      <c r="BM18" s="47" t="s">
        <v>3</v>
      </c>
      <c r="BN18" s="48"/>
      <c r="BO18" s="48"/>
      <c r="BP18" s="48"/>
      <c r="BQ18" s="49"/>
      <c r="BR18" s="50" t="s">
        <v>4</v>
      </c>
      <c r="BS18" s="50"/>
      <c r="BT18" s="50"/>
      <c r="BU18" s="50"/>
      <c r="BV18" s="51"/>
      <c r="BY18" s="47" t="s">
        <v>2</v>
      </c>
      <c r="BZ18" s="48"/>
      <c r="CA18" s="48"/>
      <c r="CB18" s="48"/>
      <c r="CC18" s="49"/>
      <c r="CD18" s="47" t="s">
        <v>3</v>
      </c>
      <c r="CE18" s="48"/>
      <c r="CF18" s="48"/>
      <c r="CG18" s="48"/>
      <c r="CH18" s="49"/>
      <c r="CI18" s="50" t="s">
        <v>4</v>
      </c>
      <c r="CJ18" s="50"/>
      <c r="CK18" s="50"/>
      <c r="CL18" s="50"/>
      <c r="CM18" s="51"/>
      <c r="DC18" s="52" t="s">
        <v>5</v>
      </c>
      <c r="DD18" s="50"/>
      <c r="DE18" s="50"/>
      <c r="DF18" s="50"/>
      <c r="DG18" s="51"/>
      <c r="DI18" s="52" t="s">
        <v>6</v>
      </c>
      <c r="DJ18" s="50"/>
      <c r="DK18" s="50"/>
      <c r="DL18" s="50"/>
      <c r="DM18" s="51"/>
    </row>
    <row r="19" spans="2:117" ht="15" thickBot="1" x14ac:dyDescent="0.4">
      <c r="F19" s="53"/>
      <c r="H19" s="55"/>
      <c r="I19" s="56" t="str">
        <f>[1]Tables!$AA$4</f>
        <v>07/27 - 06/28</v>
      </c>
      <c r="J19" s="55" t="str">
        <f>[1]Tables!$AA$5</f>
        <v>07/28 - 06/29</v>
      </c>
      <c r="K19" s="55" t="str">
        <f>[1]Tables!$AA$6</f>
        <v>07/29 - 06/30</v>
      </c>
      <c r="L19" s="55" t="str">
        <f>[1]Tables!$AA$7</f>
        <v>07/30 - 06/31</v>
      </c>
      <c r="M19" s="57" t="str">
        <f>[1]Tables!$AA$8</f>
        <v>07/31 - 06/32</v>
      </c>
      <c r="N19" s="56" t="str">
        <f>[1]Tables!$AA$4</f>
        <v>07/27 - 06/28</v>
      </c>
      <c r="O19" s="55" t="str">
        <f>[1]Tables!$AA$5</f>
        <v>07/28 - 06/29</v>
      </c>
      <c r="P19" s="55" t="str">
        <f>[1]Tables!$AA$6</f>
        <v>07/29 - 06/30</v>
      </c>
      <c r="Q19" s="55" t="str">
        <f>[1]Tables!$AA$7</f>
        <v>07/30 - 06/31</v>
      </c>
      <c r="R19" s="57" t="str">
        <f>[1]Tables!$AA$8</f>
        <v>07/31 - 06/32</v>
      </c>
      <c r="S19" s="56" t="str">
        <f>[1]Tables!$AA$4</f>
        <v>07/27 - 06/28</v>
      </c>
      <c r="T19" s="55" t="str">
        <f>[1]Tables!$AA$5</f>
        <v>07/28 - 06/29</v>
      </c>
      <c r="U19" s="55" t="str">
        <f>[1]Tables!$AA$6</f>
        <v>07/29 - 06/30</v>
      </c>
      <c r="V19" s="55" t="str">
        <f>[1]Tables!$AA$7</f>
        <v>07/30 - 06/31</v>
      </c>
      <c r="W19" s="57" t="str">
        <f>[1]Tables!$AA$8</f>
        <v>07/31 - 06/32</v>
      </c>
      <c r="Y19" s="58"/>
      <c r="Z19" s="59" t="str">
        <f>[1]Tables!$AA$4</f>
        <v>07/27 - 06/28</v>
      </c>
      <c r="AA19" s="60" t="str">
        <f>[1]Tables!$AA$5</f>
        <v>07/28 - 06/29</v>
      </c>
      <c r="AB19" s="60" t="str">
        <f>[1]Tables!$AA$6</f>
        <v>07/29 - 06/30</v>
      </c>
      <c r="AC19" s="60" t="str">
        <f>[1]Tables!$AA$7</f>
        <v>07/30 - 06/31</v>
      </c>
      <c r="AD19" s="61" t="str">
        <f>[1]Tables!$AA$8</f>
        <v>07/31 - 06/32</v>
      </c>
      <c r="AE19" s="59" t="str">
        <f>[1]Tables!$AA$4</f>
        <v>07/27 - 06/28</v>
      </c>
      <c r="AF19" s="60" t="str">
        <f>[1]Tables!$AA$5</f>
        <v>07/28 - 06/29</v>
      </c>
      <c r="AG19" s="60" t="str">
        <f>[1]Tables!$AA$6</f>
        <v>07/29 - 06/30</v>
      </c>
      <c r="AH19" s="60" t="str">
        <f>[1]Tables!$AA$7</f>
        <v>07/30 - 06/31</v>
      </c>
      <c r="AI19" s="61" t="str">
        <f>[1]Tables!$AA$8</f>
        <v>07/31 - 06/32</v>
      </c>
      <c r="AJ19" s="59" t="str">
        <f>[1]Tables!$AA$4</f>
        <v>07/27 - 06/28</v>
      </c>
      <c r="AK19" s="60" t="str">
        <f>[1]Tables!$AA$5</f>
        <v>07/28 - 06/29</v>
      </c>
      <c r="AL19" s="60" t="str">
        <f>[1]Tables!$AA$6</f>
        <v>07/29 - 06/30</v>
      </c>
      <c r="AM19" s="60" t="str">
        <f>[1]Tables!$AA$7</f>
        <v>07/30 - 06/31</v>
      </c>
      <c r="AN19" s="61" t="str">
        <f>[1]Tables!$AA$8</f>
        <v>07/31 - 06/32</v>
      </c>
      <c r="AP19" s="58"/>
      <c r="AQ19" s="184" t="str">
        <f>[1]Tables!$AA$4</f>
        <v>07/27 - 06/28</v>
      </c>
      <c r="AR19" s="185" t="str">
        <f>[1]Tables!$AA$5</f>
        <v>07/28 - 06/29</v>
      </c>
      <c r="AS19" s="185" t="str">
        <f>[1]Tables!$AA$6</f>
        <v>07/29 - 06/30</v>
      </c>
      <c r="AT19" s="185" t="str">
        <f>[1]Tables!$AA$7</f>
        <v>07/30 - 06/31</v>
      </c>
      <c r="AU19" s="186" t="str">
        <f>[1]Tables!$AA$8</f>
        <v>07/31 - 06/32</v>
      </c>
      <c r="AV19" s="62" t="str">
        <f>[1]Tables!$AA$4</f>
        <v>07/27 - 06/28</v>
      </c>
      <c r="AW19" s="63" t="str">
        <f>[1]Tables!$AA$5</f>
        <v>07/28 - 06/29</v>
      </c>
      <c r="AX19" s="63" t="str">
        <f>[1]Tables!$AA$6</f>
        <v>07/29 - 06/30</v>
      </c>
      <c r="AY19" s="63" t="str">
        <f>[1]Tables!$AA$7</f>
        <v>07/30 - 06/31</v>
      </c>
      <c r="AZ19" s="64" t="str">
        <f>[1]Tables!$AA$8</f>
        <v>07/31 - 06/32</v>
      </c>
      <c r="BA19" s="63" t="str">
        <f>[1]Tables!$AA$4</f>
        <v>07/27 - 06/28</v>
      </c>
      <c r="BB19" s="63" t="str">
        <f>[1]Tables!$AA$5</f>
        <v>07/28 - 06/29</v>
      </c>
      <c r="BC19" s="63" t="str">
        <f>[1]Tables!$AA$6</f>
        <v>07/29 - 06/30</v>
      </c>
      <c r="BD19" s="63" t="str">
        <f>[1]Tables!$AA$7</f>
        <v>07/30 - 06/31</v>
      </c>
      <c r="BE19" s="64" t="str">
        <f>[1]Tables!$AA$8</f>
        <v>07/31 - 06/32</v>
      </c>
      <c r="BG19" s="58"/>
      <c r="BH19" s="65" t="str">
        <f>[1]Tables!$AA$4</f>
        <v>07/27 - 06/28</v>
      </c>
      <c r="BI19" s="66" t="str">
        <f>[1]Tables!$AA$5</f>
        <v>07/28 - 06/29</v>
      </c>
      <c r="BJ19" s="66" t="str">
        <f>[1]Tables!$AA$6</f>
        <v>07/29 - 06/30</v>
      </c>
      <c r="BK19" s="66" t="str">
        <f>[1]Tables!$AA$7</f>
        <v>07/30 - 06/31</v>
      </c>
      <c r="BL19" s="67" t="str">
        <f>[1]Tables!$AA$8</f>
        <v>07/31 - 06/32</v>
      </c>
      <c r="BM19" s="65" t="str">
        <f>[1]Tables!$AA$4</f>
        <v>07/27 - 06/28</v>
      </c>
      <c r="BN19" s="66" t="str">
        <f>[1]Tables!$AA$5</f>
        <v>07/28 - 06/29</v>
      </c>
      <c r="BO19" s="66" t="str">
        <f>[1]Tables!$AA$6</f>
        <v>07/29 - 06/30</v>
      </c>
      <c r="BP19" s="66" t="str">
        <f>[1]Tables!$AA$7</f>
        <v>07/30 - 06/31</v>
      </c>
      <c r="BQ19" s="67" t="str">
        <f>[1]Tables!$AA$8</f>
        <v>07/31 - 06/32</v>
      </c>
      <c r="BR19" s="66" t="str">
        <f>[1]Tables!$AA$4</f>
        <v>07/27 - 06/28</v>
      </c>
      <c r="BS19" s="66" t="str">
        <f>[1]Tables!$AA$5</f>
        <v>07/28 - 06/29</v>
      </c>
      <c r="BT19" s="66" t="str">
        <f>[1]Tables!$AA$6</f>
        <v>07/29 - 06/30</v>
      </c>
      <c r="BU19" s="66" t="str">
        <f>[1]Tables!$AA$7</f>
        <v>07/30 - 06/31</v>
      </c>
      <c r="BV19" s="67" t="str">
        <f>[1]Tables!$AA$8</f>
        <v>07/31 - 06/32</v>
      </c>
      <c r="BX19" s="58"/>
      <c r="BY19" s="65" t="str">
        <f>[1]Tables!$AA$4</f>
        <v>07/27 - 06/28</v>
      </c>
      <c r="BZ19" s="66" t="str">
        <f>[1]Tables!$AA$5</f>
        <v>07/28 - 06/29</v>
      </c>
      <c r="CA19" s="66" t="str">
        <f>[1]Tables!$AA$6</f>
        <v>07/29 - 06/30</v>
      </c>
      <c r="CB19" s="66" t="str">
        <f>[1]Tables!$AA$7</f>
        <v>07/30 - 06/31</v>
      </c>
      <c r="CC19" s="67" t="str">
        <f>[1]Tables!$AA$8</f>
        <v>07/31 - 06/32</v>
      </c>
      <c r="CD19" s="65" t="str">
        <f>[1]Tables!$AA$4</f>
        <v>07/27 - 06/28</v>
      </c>
      <c r="CE19" s="66" t="str">
        <f>[1]Tables!$AA$5</f>
        <v>07/28 - 06/29</v>
      </c>
      <c r="CF19" s="66" t="str">
        <f>[1]Tables!$AA$6</f>
        <v>07/29 - 06/30</v>
      </c>
      <c r="CG19" s="66" t="str">
        <f>[1]Tables!$AA$7</f>
        <v>07/30 - 06/31</v>
      </c>
      <c r="CH19" s="67" t="str">
        <f>[1]Tables!$AA$8</f>
        <v>07/31 - 06/32</v>
      </c>
      <c r="CI19" s="66" t="str">
        <f>[1]Tables!$AA$4</f>
        <v>07/27 - 06/28</v>
      </c>
      <c r="CJ19" s="66" t="str">
        <f>[1]Tables!$AA$5</f>
        <v>07/28 - 06/29</v>
      </c>
      <c r="CK19" s="66" t="str">
        <f>[1]Tables!$AA$6</f>
        <v>07/29 - 06/30</v>
      </c>
      <c r="CL19" s="66" t="str">
        <f>[1]Tables!$AA$7</f>
        <v>07/30 - 06/31</v>
      </c>
      <c r="CM19" s="67" t="str">
        <f>[1]Tables!$AA$8</f>
        <v>07/31 - 06/32</v>
      </c>
      <c r="DC19" s="65" t="str">
        <f>[1]Tables!$AA$4</f>
        <v>07/27 - 06/28</v>
      </c>
      <c r="DD19" s="66" t="str">
        <f>[1]Tables!$AA$5</f>
        <v>07/28 - 06/29</v>
      </c>
      <c r="DE19" s="66" t="str">
        <f>[1]Tables!$AA$6</f>
        <v>07/29 - 06/30</v>
      </c>
      <c r="DF19" s="66" t="str">
        <f>[1]Tables!$AA$7</f>
        <v>07/30 - 06/31</v>
      </c>
      <c r="DG19" s="67" t="str">
        <f>[1]Tables!$AA$8</f>
        <v>07/31 - 06/32</v>
      </c>
      <c r="DI19" s="65" t="str">
        <f>[1]Tables!$AA$4</f>
        <v>07/27 - 06/28</v>
      </c>
      <c r="DJ19" s="66" t="str">
        <f>[1]Tables!$AA$5</f>
        <v>07/28 - 06/29</v>
      </c>
      <c r="DK19" s="66" t="str">
        <f>[1]Tables!$AA$6</f>
        <v>07/29 - 06/30</v>
      </c>
      <c r="DL19" s="66" t="str">
        <f>[1]Tables!$AA$7</f>
        <v>07/30 - 06/31</v>
      </c>
      <c r="DM19" s="67" t="str">
        <f>[1]Tables!$AA$8</f>
        <v>07/31 - 06/32</v>
      </c>
    </row>
    <row r="20" spans="2:117" x14ac:dyDescent="0.35">
      <c r="B20" s="68" t="s">
        <v>11</v>
      </c>
      <c r="C20" s="69">
        <v>30</v>
      </c>
      <c r="D20" s="69" t="s">
        <v>12</v>
      </c>
      <c r="E20" s="68" t="s">
        <v>12</v>
      </c>
      <c r="F20" s="70" t="s">
        <v>13</v>
      </c>
      <c r="H20" s="71" t="s">
        <v>14</v>
      </c>
      <c r="I20" s="72" t="e" cm="1">
        <f t="array" aca="1" ref="I20" ca="1">SUMIFS(INDIRECT('[1]RA Output'!BU$1), rng_out_mail_ind, $B20, rng_out_ds, $C20, rng_out_sel_sp_ind, $D20, rng_out_sel_excl_ind,$E20)
+ SUMIFS(INDIRECT('[1]RA Output'!BU$1), rng_out_mail_ind, $B20, rng_out_ds, $C20, rng_out_sel_sp_ind, $D20, rng_out_sel_excl_ind,$F20, rng_out_sel_excl_yr_ind, "&gt;0", rng_out_sel_excl_ind,$F20)
+ IF([1]Tables!$C$16=[1]Tables!$CF$4, SUMIFS(INDIRECT('[1]RA Output'!BU$1), rng_out_mail_ind, $B20, rng_out_ds, $C20, rng_out_sel_sp_ind, $D20, rng_out_sel_excl_ind,$F20,rng_out_sel_excl_yr_ind, ""), 0)</f>
        <v>#REF!</v>
      </c>
      <c r="J20" s="5" t="e" cm="1">
        <f t="array" aca="1" ref="J20" ca="1">SUMIFS(INDIRECT('[1]RA Output'!BV$1), rng_out_mail_ind, $B20, rng_out_ds, $C20, rng_out_sel_sp_ind, $D20, rng_out_sel_excl_ind,$E20)
+ SUMIFS(INDIRECT('[1]RA Output'!BV$1), rng_out_mail_ind, $B20, rng_out_ds, $C20, rng_out_sel_sp_ind, $D20, rng_out_sel_excl_ind,$F20, rng_out_sel_excl_yr_ind, "&gt;0", rng_out_sel_excl_ind,$F20)
+ IF([1]Tables!$C$16=[1]Tables!$CF$4, SUMIFS(INDIRECT('[1]RA Output'!BV$1), rng_out_mail_ind, $B20, rng_out_ds, $C20, rng_out_sel_sp_ind, $D20, rng_out_sel_excl_ind,$F20,rng_out_sel_excl_yr_ind, ""), 0)</f>
        <v>#REF!</v>
      </c>
      <c r="K20" s="5" t="e" cm="1">
        <f t="array" aca="1" ref="K20" ca="1">SUMIFS(INDIRECT('[1]RA Output'!BW$1), rng_out_mail_ind, $B20, rng_out_ds, $C20, rng_out_sel_sp_ind, $D20, rng_out_sel_excl_ind,$E20)
+ SUMIFS(INDIRECT('[1]RA Output'!BW$1), rng_out_mail_ind, $B20, rng_out_ds, $C20, rng_out_sel_sp_ind, $D20, rng_out_sel_excl_ind,$F20, rng_out_sel_excl_yr_ind, "&gt;0", rng_out_sel_excl_ind,$F20)
+ IF([1]Tables!$C$16=[1]Tables!$CF$4, SUMIFS(INDIRECT('[1]RA Output'!BW$1), rng_out_mail_ind, $B20, rng_out_ds, $C20, rng_out_sel_sp_ind, $D20, rng_out_sel_excl_ind,$F20,rng_out_sel_excl_yr_ind, ""), 0)</f>
        <v>#REF!</v>
      </c>
      <c r="L20" s="5" t="e" cm="1">
        <f t="array" aca="1" ref="L20" ca="1">SUMIFS(INDIRECT('[1]RA Output'!BX$1), rng_out_mail_ind, $B20, rng_out_ds, $C20, rng_out_sel_sp_ind, $D20, rng_out_sel_excl_ind,$E20)
+ SUMIFS(INDIRECT('[1]RA Output'!BX$1), rng_out_mail_ind, $B20, rng_out_ds, $C20, rng_out_sel_sp_ind, $D20, rng_out_sel_excl_ind,$F20, rng_out_sel_excl_yr_ind, "&gt;0", rng_out_sel_excl_ind,$F20)
+ IF([1]Tables!$C$16=[1]Tables!$CF$4, SUMIFS(INDIRECT('[1]RA Output'!BX$1), rng_out_mail_ind, $B20, rng_out_ds, $C20, rng_out_sel_sp_ind, $D20, rng_out_sel_excl_ind,$F20,rng_out_sel_excl_yr_ind, ""), 0)</f>
        <v>#REF!</v>
      </c>
      <c r="M20" s="73" t="e" cm="1">
        <f t="array" aca="1" ref="M20" ca="1">SUMIFS(INDIRECT('[1]RA Output'!BY$1), rng_out_mail_ind, $B20, rng_out_ds, $C20, rng_out_sel_sp_ind, $D20, rng_out_sel_excl_ind,$E20)
+ SUMIFS(INDIRECT('[1]RA Output'!BY$1), rng_out_mail_ind, $B20, rng_out_ds, $C20, rng_out_sel_sp_ind, $D20, rng_out_sel_excl_ind,$F20, rng_out_sel_excl_yr_ind, "&gt;0", rng_out_sel_excl_ind,$F20)
+ IF([1]Tables!$C$16=[1]Tables!$CF$4, SUMIFS(INDIRECT('[1]RA Output'!BY$1), rng_out_mail_ind, $B20, rng_out_ds, $C20, rng_out_sel_sp_ind, $D20, rng_out_sel_excl_ind,$F20,rng_out_sel_excl_yr_ind, ""), 0)</f>
        <v>#REF!</v>
      </c>
      <c r="N20" s="74">
        <f ca="1">IFERROR(I20/N$58, 0)</f>
        <v>0</v>
      </c>
      <c r="O20" s="75">
        <f ca="1">IFERROR(J20/O$58, 0)</f>
        <v>0</v>
      </c>
      <c r="P20" s="75">
        <f ca="1">IFERROR(K20/P$58, 0)</f>
        <v>0</v>
      </c>
      <c r="Q20" s="75">
        <f ca="1">IFERROR(L20/Q$58, 0)</f>
        <v>0</v>
      </c>
      <c r="R20" s="76">
        <f ca="1">IFERROR(M20/R$58, 0)</f>
        <v>0</v>
      </c>
      <c r="S20" s="74">
        <f ca="1">IFERROR(I20/S$58, 0)</f>
        <v>0</v>
      </c>
      <c r="T20" s="75">
        <f ca="1">IFERROR(J20/T$58, 0)</f>
        <v>0</v>
      </c>
      <c r="U20" s="75">
        <f ca="1">IFERROR(K20/U$58, 0)</f>
        <v>0</v>
      </c>
      <c r="V20" s="75">
        <f ca="1">IFERROR(L20/V$58, 0)</f>
        <v>0</v>
      </c>
      <c r="W20" s="76">
        <f ca="1">IFERROR(M20/W$58, 0)</f>
        <v>0</v>
      </c>
      <c r="Y20" s="77" t="s">
        <v>14</v>
      </c>
      <c r="Z20" s="78">
        <f ca="1">IFERROR(I20/[1]Tables!$AT$4, 0)</f>
        <v>0</v>
      </c>
      <c r="AA20" s="79">
        <f ca="1">IFERROR(J20/[1]Tables!$AT$4, 0)</f>
        <v>0</v>
      </c>
      <c r="AB20" s="79">
        <f ca="1">IFERROR(K20/[1]Tables!$AT$4, 0)</f>
        <v>0</v>
      </c>
      <c r="AC20" s="79">
        <f ca="1">IFERROR(L20/[1]Tables!$AT$4, 0)</f>
        <v>0</v>
      </c>
      <c r="AD20" s="80">
        <f ca="1">IFERROR(M20/[1]Tables!$AT$4, 0)</f>
        <v>0</v>
      </c>
      <c r="AE20" s="81">
        <f ca="1">IFERROR(N20/[1]Tables!$AT$4, 0)</f>
        <v>0</v>
      </c>
      <c r="AF20" s="75">
        <f ca="1">IFERROR(O20/[1]Tables!$AT$4, 0)</f>
        <v>0</v>
      </c>
      <c r="AG20" s="75">
        <f ca="1">IFERROR(P20/[1]Tables!$AT$4, 0)</f>
        <v>0</v>
      </c>
      <c r="AH20" s="75">
        <f ca="1">IFERROR(Q20/[1]Tables!$AT$4, 0)</f>
        <v>0</v>
      </c>
      <c r="AI20" s="82">
        <f ca="1">IFERROR(R20/[1]Tables!$AT$4, 0)</f>
        <v>0</v>
      </c>
      <c r="AJ20" s="81">
        <f ca="1">IFERROR(S20/[1]Tables!$AT$4, 0)</f>
        <v>0</v>
      </c>
      <c r="AK20" s="75">
        <f ca="1">IFERROR(T20/[1]Tables!$AT$4, 0)</f>
        <v>0</v>
      </c>
      <c r="AL20" s="75">
        <f ca="1">IFERROR(U20/[1]Tables!$AT$4, 0)</f>
        <v>0</v>
      </c>
      <c r="AM20" s="75">
        <f ca="1">IFERROR(V20/[1]Tables!$AT$4, 0)</f>
        <v>0</v>
      </c>
      <c r="AN20" s="82">
        <f ca="1">IFERROR(W20/[1]Tables!$AT$4, 0)</f>
        <v>0</v>
      </c>
      <c r="AP20" s="83" t="s">
        <v>14</v>
      </c>
      <c r="AQ20" s="84" t="e" cm="1">
        <f t="array" aca="1" ref="AQ20" ca="1">(SUMIFS(INDIRECT('[1]RA Output'!CU$1), rng_out_mail_ind, $B20, rng_out_ds, $C20, rng_out_sel_sp_ind, $D20, rng_out_sel_excl_ind,$E20)
+ SUMIFS(INDIRECT('[1]RA Output'!CU$1), rng_out_mail_ind, $B20, rng_out_ds, $C20, rng_out_sel_sp_ind, $D20, rng_out_sel_excl_ind,$F20, rng_out_sel_excl_yr_ind, "&gt;0", rng_out_sel_excl_ind,$F20)
+ IF([1]Tables!$C$16=[1]Tables!$CF$4, SUMIFS(INDIRECT('[1]RA Output'!CU$1), rng_out_mail_ind, $B20, rng_out_ds, $C20, rng_out_sel_sp_ind, $D20, rng_out_sel_excl_ind,$F20,rng_out_sel_excl_yr_ind, ""), 0))/[1]Tables!$AT$4</f>
        <v>#REF!</v>
      </c>
      <c r="AR20" s="5" t="e" cm="1">
        <f t="array" aca="1" ref="AR20" ca="1">(SUMIFS(INDIRECT('[1]RA Output'!CV$1), rng_out_mail_ind, $B20, rng_out_ds, $C20, rng_out_sel_sp_ind, $D20, rng_out_sel_excl_ind,$E20)
+ SUMIFS(INDIRECT('[1]RA Output'!CV$1), rng_out_mail_ind, $B20, rng_out_ds, $C20, rng_out_sel_sp_ind, $D20, rng_out_sel_excl_ind,$F20, rng_out_sel_excl_yr_ind, "&gt;0", rng_out_sel_excl_ind,$F20)
+ IF([1]Tables!$C$16=[1]Tables!$CF$4, SUMIFS(INDIRECT('[1]RA Output'!CV$1), rng_out_mail_ind, $B20, rng_out_ds, $C20, rng_out_sel_sp_ind, $D20, rng_out_sel_excl_ind,$F20,rng_out_sel_excl_yr_ind, ""), 0))/[1]Tables!$AT$4</f>
        <v>#REF!</v>
      </c>
      <c r="AS20" s="5" t="e" cm="1">
        <f t="array" aca="1" ref="AS20" ca="1">(SUMIFS(INDIRECT('[1]RA Output'!CW$1), rng_out_mail_ind, $B20, rng_out_ds, $C20, rng_out_sel_sp_ind, $D20, rng_out_sel_excl_ind,$E20)
+ SUMIFS(INDIRECT('[1]RA Output'!CW$1), rng_out_mail_ind, $B20, rng_out_ds, $C20, rng_out_sel_sp_ind, $D20, rng_out_sel_excl_ind,$F20, rng_out_sel_excl_yr_ind, "&gt;0", rng_out_sel_excl_ind,$F20)
+ IF([1]Tables!$C$16=[1]Tables!$CF$4, SUMIFS(INDIRECT('[1]RA Output'!CW$1), rng_out_mail_ind, $B20, rng_out_ds, $C20, rng_out_sel_sp_ind, $D20, rng_out_sel_excl_ind,$F20,rng_out_sel_excl_yr_ind, ""), 0))/[1]Tables!$AT$4</f>
        <v>#REF!</v>
      </c>
      <c r="AT20" s="5" t="e" cm="1">
        <f t="array" aca="1" ref="AT20" ca="1">(SUMIFS(INDIRECT('[1]RA Output'!CX$1), rng_out_mail_ind, $B20, rng_out_ds, $C20, rng_out_sel_sp_ind, $D20, rng_out_sel_excl_ind,$E20)
+ SUMIFS(INDIRECT('[1]RA Output'!CX$1), rng_out_mail_ind, $B20, rng_out_ds, $C20, rng_out_sel_sp_ind, $D20, rng_out_sel_excl_ind,$F20, rng_out_sel_excl_yr_ind, "&gt;0", rng_out_sel_excl_ind,$F20)
+ IF([1]Tables!$C$16=[1]Tables!$CF$4, SUMIFS(INDIRECT('[1]RA Output'!CX$1), rng_out_mail_ind, $B20, rng_out_ds, $C20, rng_out_sel_sp_ind, $D20, rng_out_sel_excl_ind,$F20,rng_out_sel_excl_yr_ind, ""), 0))/[1]Tables!$AT$4</f>
        <v>#REF!</v>
      </c>
      <c r="AU20" s="85" t="e" cm="1">
        <f t="array" aca="1" ref="AU20" ca="1">(SUMIFS(INDIRECT('[1]RA Output'!CY$1), rng_out_mail_ind, $B20, rng_out_ds, $C20, rng_out_sel_sp_ind, $D20, rng_out_sel_excl_ind,$E20)
+ SUMIFS(INDIRECT('[1]RA Output'!CY$1), rng_out_mail_ind, $B20, rng_out_ds, $C20, rng_out_sel_sp_ind, $D20, rng_out_sel_excl_ind,$F20, rng_out_sel_excl_yr_ind, "&gt;0", rng_out_sel_excl_ind,$F20)
+ IF([1]Tables!$C$16=[1]Tables!$CF$4, SUMIFS(INDIRECT('[1]RA Output'!CY$1), rng_out_mail_ind, $B20, rng_out_ds, $C20, rng_out_sel_sp_ind, $D20, rng_out_sel_excl_ind,$F20,rng_out_sel_excl_yr_ind, ""), 0))/[1]Tables!$AT$4</f>
        <v>#REF!</v>
      </c>
      <c r="AV20" s="86">
        <f ca="1">IFERROR(AQ20/AV$58, 0)</f>
        <v>0</v>
      </c>
      <c r="AW20" s="75">
        <f ca="1">IFERROR(AR20/AW$58, 0)</f>
        <v>0</v>
      </c>
      <c r="AX20" s="75">
        <f ca="1">IFERROR(AS20/AX$58, 0)</f>
        <v>0</v>
      </c>
      <c r="AY20" s="75">
        <f ca="1">IFERROR(AT20/AY$58, 0)</f>
        <v>0</v>
      </c>
      <c r="AZ20" s="87">
        <f ca="1">IFERROR(AU20/AZ$58, 0)</f>
        <v>0</v>
      </c>
      <c r="BA20" s="75">
        <f ca="1">IFERROR(AQ20/BA$58, 0)</f>
        <v>0</v>
      </c>
      <c r="BB20" s="75">
        <f ca="1">IFERROR(AR20/BB$58, 0)</f>
        <v>0</v>
      </c>
      <c r="BC20" s="75">
        <f ca="1">IFERROR(AS20/BC$58, 0)</f>
        <v>0</v>
      </c>
      <c r="BD20" s="75">
        <f ca="1">IFERROR(AT20/BD$58, 0)</f>
        <v>0</v>
      </c>
      <c r="BE20" s="87">
        <f ca="1">IFERROR(AU20/BE$58, 0)</f>
        <v>0</v>
      </c>
      <c r="BG20" s="88" t="s">
        <v>14</v>
      </c>
      <c r="BH20" s="97" t="e">
        <f ca="1">AQ20</f>
        <v>#REF!</v>
      </c>
      <c r="BI20" s="79" t="e">
        <f t="shared" ref="BI20:BL23" ca="1" si="3">AR20</f>
        <v>#REF!</v>
      </c>
      <c r="BJ20" s="79" t="e">
        <f t="shared" ca="1" si="3"/>
        <v>#REF!</v>
      </c>
      <c r="BK20" s="79" t="e">
        <f t="shared" ca="1" si="3"/>
        <v>#REF!</v>
      </c>
      <c r="BL20" s="98" t="e">
        <f t="shared" ca="1" si="3"/>
        <v>#REF!</v>
      </c>
      <c r="BM20" s="92">
        <f ca="1">IFERROR(BH20/BM$58, 0)</f>
        <v>0</v>
      </c>
      <c r="BN20" s="75">
        <f ca="1">IFERROR(BI20/BN$58, 0)</f>
        <v>0</v>
      </c>
      <c r="BO20" s="75">
        <f ca="1">IFERROR(BJ20/BO$58, 0)</f>
        <v>0</v>
      </c>
      <c r="BP20" s="75">
        <f ca="1">IFERROR(BK20/BP$58, 0)</f>
        <v>0</v>
      </c>
      <c r="BQ20" s="93">
        <f ca="1">IFERROR(BL20/BQ$58, 0)</f>
        <v>0</v>
      </c>
      <c r="BR20" s="94">
        <f ca="1">IFERROR(BH20/BR$58, 0)</f>
        <v>0</v>
      </c>
      <c r="BS20" s="95">
        <f ca="1">IFERROR(BI20/BS$58, 0)</f>
        <v>0</v>
      </c>
      <c r="BT20" s="95">
        <f ca="1">IFERROR(BJ20/BT$58, 0)</f>
        <v>0</v>
      </c>
      <c r="BU20" s="95">
        <f ca="1">IFERROR(BK20/BU$58, 0)</f>
        <v>0</v>
      </c>
      <c r="BV20" s="96">
        <f ca="1">IFERROR(BL20/BV$58, 0)</f>
        <v>0</v>
      </c>
      <c r="BX20" s="88" t="s">
        <v>14</v>
      </c>
      <c r="BY20" s="97" t="e">
        <f t="shared" ref="BY20:CC23" ca="1" si="4">CD20*CD58</f>
        <v>#VALUE!</v>
      </c>
      <c r="BZ20" s="79" t="e">
        <f t="shared" ca="1" si="4"/>
        <v>#VALUE!</v>
      </c>
      <c r="CA20" s="79" t="e">
        <f t="shared" ca="1" si="4"/>
        <v>#VALUE!</v>
      </c>
      <c r="CB20" s="79" t="e">
        <f t="shared" ca="1" si="4"/>
        <v>#VALUE!</v>
      </c>
      <c r="CC20" s="98" t="e">
        <f t="shared" ca="1" si="4"/>
        <v>#VALUE!</v>
      </c>
      <c r="CD20" s="92">
        <f t="shared" ref="CD20:CH23" ca="1" si="5">BM20-DC20</f>
        <v>0</v>
      </c>
      <c r="CE20" s="75">
        <f t="shared" ca="1" si="5"/>
        <v>0</v>
      </c>
      <c r="CF20" s="75">
        <f t="shared" ca="1" si="5"/>
        <v>0</v>
      </c>
      <c r="CG20" s="75">
        <f t="shared" ca="1" si="5"/>
        <v>0</v>
      </c>
      <c r="CH20" s="93">
        <f t="shared" ca="1" si="5"/>
        <v>0</v>
      </c>
      <c r="CI20" s="94">
        <f t="shared" ref="CI20:CM24" ca="1" si="6">IFERROR(BY20/CI58, 0)</f>
        <v>0</v>
      </c>
      <c r="CJ20" s="95">
        <f t="shared" ca="1" si="6"/>
        <v>0</v>
      </c>
      <c r="CK20" s="95">
        <f t="shared" ca="1" si="6"/>
        <v>0</v>
      </c>
      <c r="CL20" s="95">
        <f t="shared" ca="1" si="6"/>
        <v>0</v>
      </c>
      <c r="CM20" s="96">
        <f t="shared" ca="1" si="6"/>
        <v>0</v>
      </c>
      <c r="DC20" s="99" cm="1">
        <f t="array" aca="1" ref="DC20" ca="1">IFERROR(BM20-BM20*BR67*(1-INDEX([1]Tables!$EA$4:$EE$60,MATCH([1]Tables!$C$22&amp;$BX20,[1]Tables!$EA$4:$EA$60,0),[1]Tables!$EE$1))*(1-DI20)/CD58, 0)</f>
        <v>0</v>
      </c>
      <c r="DD20" s="100" cm="1">
        <f t="array" aca="1" ref="DD20" ca="1">IFERROR(BN20-BN20*BS67*(1-INDEX([1]Tables!$EA$4:$EE$60,MATCH([1]Tables!$C$22&amp;$BX20,[1]Tables!$EA$4:$EA$60,0),[1]Tables!$EE$1))*(1-DJ20)/CE58, 0)</f>
        <v>0</v>
      </c>
      <c r="DE20" s="100" cm="1">
        <f t="array" aca="1" ref="DE20" ca="1">IFERROR(BO20-BO20*BT67*(1-INDEX([1]Tables!$EA$4:$EE$60,MATCH([1]Tables!$C$22&amp;$BX20,[1]Tables!$EA$4:$EA$60,0),[1]Tables!$EE$1))*(1-DK20)/CF58, 0)</f>
        <v>0</v>
      </c>
      <c r="DF20" s="100" cm="1">
        <f t="array" aca="1" ref="DF20" ca="1">IFERROR(BP20-BP20*BU67*(1-INDEX([1]Tables!$EA$4:$EE$60,MATCH([1]Tables!$C$22&amp;$BX20,[1]Tables!$EA$4:$EA$60,0),[1]Tables!$EE$1))*(1-DL20)/CG58, 0)</f>
        <v>0</v>
      </c>
      <c r="DG20" s="101" cm="1">
        <f t="array" aca="1" ref="DG20" ca="1">IFERROR(BQ20-BQ20*BV67*(1-INDEX([1]Tables!$EA$4:$EE$60,MATCH([1]Tables!$C$22&amp;$BX20,[1]Tables!$EA$4:$EA$60,0),[1]Tables!$EE$1))*(1-DM20)/CH58, 0)</f>
        <v>0</v>
      </c>
      <c r="DI20" s="102" cm="1">
        <f t="array" aca="1" ref="DI20" ca="1">IFERROR(((SUMPRODUCT((rng_out_mail_ind = $B20) * (rng_out_ds = $C20) * (rng_out_sel_sp_ind = $D20)   * (rng_out_sel_excl_ind = $E20) * (rng_out_maf_post_yr1*rng_out_340B)) +
IF([1]Tables!$C$16=[1]Tables!$CF$4, SUMPRODUCT((rng_out_mail_ind = $B20) * (rng_out_ds = $C20) * (rng_out_sel_sp_ind = $D20) * (rng_out_sel_excl_ind = $F20) * (rng_out_maf_post_yr1*rng_out_340B)), 0))/[1]Tables!$AT$4)/AQ20, 0)</f>
        <v>0</v>
      </c>
      <c r="DJ20" s="103" cm="1">
        <f t="array" aca="1" ref="DJ20" ca="1">IFERROR(((SUMPRODUCT((rng_out_mail_ind = $B20) * (rng_out_ds = $C20) * (rng_out_sel_sp_ind = $D20)   * (rng_out_sel_excl_ind = $E20) * (rng_out_maf_post_yr2*rng_out_340B)) +
IF([1]Tables!$C$16=[1]Tables!$CF$4, SUMPRODUCT((rng_out_mail_ind = $B20) * (rng_out_ds = $C20) * (rng_out_sel_sp_ind = $D20) * (rng_out_sel_excl_ind = $F20) * (rng_out_maf_post_yr2*rng_out_340B)), 0))/[1]Tables!$AT$4)/AR20, 0)</f>
        <v>0</v>
      </c>
      <c r="DK20" s="103" cm="1">
        <f t="array" aca="1" ref="DK20" ca="1">IFERROR(((SUMPRODUCT((rng_out_mail_ind = $B20) * (rng_out_ds = $C20) * (rng_out_sel_sp_ind = $D20)   * (rng_out_sel_excl_ind = $E20) * (rng_out_maf_post_yr3*rng_out_340B)) +
IF([1]Tables!$C$16=[1]Tables!$CF$4, SUMPRODUCT((rng_out_mail_ind = $B20) * (rng_out_ds = $C20) * (rng_out_sel_sp_ind = $D20) * (rng_out_sel_excl_ind = $F20) * (rng_out_maf_post_yr3*rng_out_340B)), 0))/[1]Tables!$AT$4)/AS20, 0)</f>
        <v>0</v>
      </c>
      <c r="DL20" s="103" cm="1">
        <f t="array" aca="1" ref="DL20" ca="1">IFERROR(((SUMPRODUCT((rng_out_mail_ind = $B20) * (rng_out_ds = $C20) * (rng_out_sel_sp_ind = $D20)   * (rng_out_sel_excl_ind = $E20) * (rng_out_maf_post_yr4*rng_out_340B)) +
IF([1]Tables!$C$16=[1]Tables!$CF$4, SUMPRODUCT((rng_out_mail_ind = $B20) * (rng_out_ds = $C20) * (rng_out_sel_sp_ind = $D20) * (rng_out_sel_excl_ind = $F20) * (rng_out_maf_post_yr4*rng_out_340B)), 0))/[1]Tables!$AT$4)/AT20, 0)</f>
        <v>0</v>
      </c>
      <c r="DM20" s="104" cm="1">
        <f t="array" aca="1" ref="DM20" ca="1">IFERROR(((SUMPRODUCT((rng_out_mail_ind = $B20) * (rng_out_ds = $C20) * (rng_out_sel_sp_ind = $D20)   * (rng_out_sel_excl_ind = $E20) * (rng_out_maf_post_yr5*rng_out_340B)) +
IF([1]Tables!$C$16=[1]Tables!$CF$4, SUMPRODUCT((rng_out_mail_ind = $B20) * (rng_out_ds = $C20) * (rng_out_sel_sp_ind = $D20) * (rng_out_sel_excl_ind = $F20) * (rng_out_maf_post_yr5*rng_out_340B)), 0))/[1]Tables!$AT$4)/AU20, 0)</f>
        <v>0</v>
      </c>
    </row>
    <row r="21" spans="2:117" x14ac:dyDescent="0.35">
      <c r="B21" s="105" t="s">
        <v>11</v>
      </c>
      <c r="C21" s="106">
        <v>90</v>
      </c>
      <c r="D21" s="106" t="s">
        <v>12</v>
      </c>
      <c r="E21" s="105" t="s">
        <v>12</v>
      </c>
      <c r="F21" s="107" t="s">
        <v>13</v>
      </c>
      <c r="H21" s="108" t="s">
        <v>15</v>
      </c>
      <c r="I21" s="72" t="e" cm="1">
        <f t="array" aca="1" ref="I21" ca="1">SUMIFS(INDIRECT('[1]RA Output'!BU$1), rng_out_mail_ind, $B21, rng_out_ds, $C21, rng_out_sel_sp_ind, $D21, rng_out_sel_excl_ind,$E21)
+ SUMIFS(INDIRECT('[1]RA Output'!BU$1), rng_out_mail_ind, $B21, rng_out_ds, $C21, rng_out_sel_sp_ind, $D21, rng_out_sel_excl_ind,$F21, rng_out_sel_excl_yr_ind, "&gt;0", rng_out_sel_excl_ind,$F21)
+ IF([1]Tables!$C$16=[1]Tables!$CF$4, SUMIFS(INDIRECT('[1]RA Output'!BU$1), rng_out_mail_ind, $B21, rng_out_ds, $C21, rng_out_sel_sp_ind, $D21, rng_out_sel_excl_ind,$F21,rng_out_sel_excl_yr_ind, ""), 0)</f>
        <v>#REF!</v>
      </c>
      <c r="J21" s="5" t="e" cm="1">
        <f t="array" aca="1" ref="J21" ca="1">SUMIFS(INDIRECT('[1]RA Output'!BV$1), rng_out_mail_ind, $B21, rng_out_ds, $C21, rng_out_sel_sp_ind, $D21, rng_out_sel_excl_ind,$E21)
+ SUMIFS(INDIRECT('[1]RA Output'!BV$1), rng_out_mail_ind, $B21, rng_out_ds, $C21, rng_out_sel_sp_ind, $D21, rng_out_sel_excl_ind,$F21, rng_out_sel_excl_yr_ind, "&gt;0", rng_out_sel_excl_ind,$F21)
+ IF([1]Tables!$C$16=[1]Tables!$CF$4, SUMIFS(INDIRECT('[1]RA Output'!BV$1), rng_out_mail_ind, $B21, rng_out_ds, $C21, rng_out_sel_sp_ind, $D21, rng_out_sel_excl_ind,$F21,rng_out_sel_excl_yr_ind, ""), 0)</f>
        <v>#REF!</v>
      </c>
      <c r="K21" s="5" t="e" cm="1">
        <f t="array" aca="1" ref="K21" ca="1">SUMIFS(INDIRECT('[1]RA Output'!BW$1), rng_out_mail_ind, $B21, rng_out_ds, $C21, rng_out_sel_sp_ind, $D21, rng_out_sel_excl_ind,$E21)
+ SUMIFS(INDIRECT('[1]RA Output'!BW$1), rng_out_mail_ind, $B21, rng_out_ds, $C21, rng_out_sel_sp_ind, $D21, rng_out_sel_excl_ind,$F21, rng_out_sel_excl_yr_ind, "&gt;0", rng_out_sel_excl_ind,$F21)
+ IF([1]Tables!$C$16=[1]Tables!$CF$4, SUMIFS(INDIRECT('[1]RA Output'!BW$1), rng_out_mail_ind, $B21, rng_out_ds, $C21, rng_out_sel_sp_ind, $D21, rng_out_sel_excl_ind,$F21,rng_out_sel_excl_yr_ind, ""), 0)</f>
        <v>#REF!</v>
      </c>
      <c r="L21" s="5" t="e" cm="1">
        <f t="array" aca="1" ref="L21" ca="1">SUMIFS(INDIRECT('[1]RA Output'!BX$1), rng_out_mail_ind, $B21, rng_out_ds, $C21, rng_out_sel_sp_ind, $D21, rng_out_sel_excl_ind,$E21)
+ SUMIFS(INDIRECT('[1]RA Output'!BX$1), rng_out_mail_ind, $B21, rng_out_ds, $C21, rng_out_sel_sp_ind, $D21, rng_out_sel_excl_ind,$F21, rng_out_sel_excl_yr_ind, "&gt;0", rng_out_sel_excl_ind,$F21)
+ IF([1]Tables!$C$16=[1]Tables!$CF$4, SUMIFS(INDIRECT('[1]RA Output'!BX$1), rng_out_mail_ind, $B21, rng_out_ds, $C21, rng_out_sel_sp_ind, $D21, rng_out_sel_excl_ind,$F21,rng_out_sel_excl_yr_ind, ""), 0)</f>
        <v>#REF!</v>
      </c>
      <c r="M21" s="73" t="e" cm="1">
        <f t="array" aca="1" ref="M21" ca="1">SUMIFS(INDIRECT('[1]RA Output'!BY$1), rng_out_mail_ind, $B21, rng_out_ds, $C21, rng_out_sel_sp_ind, $D21, rng_out_sel_excl_ind,$E21)
+ SUMIFS(INDIRECT('[1]RA Output'!BY$1), rng_out_mail_ind, $B21, rng_out_ds, $C21, rng_out_sel_sp_ind, $D21, rng_out_sel_excl_ind,$F21, rng_out_sel_excl_yr_ind, "&gt;0", rng_out_sel_excl_ind,$F21)
+ IF([1]Tables!$C$16=[1]Tables!$CF$4, SUMIFS(INDIRECT('[1]RA Output'!BY$1), rng_out_mail_ind, $B21, rng_out_ds, $C21, rng_out_sel_sp_ind, $D21, rng_out_sel_excl_ind,$F21,rng_out_sel_excl_yr_ind, ""), 0)</f>
        <v>#REF!</v>
      </c>
      <c r="N21" s="74">
        <f ca="1">IFERROR(I21/N$59, 0)</f>
        <v>0</v>
      </c>
      <c r="O21" s="75">
        <f ca="1">IFERROR(J21/O$59, 0)</f>
        <v>0</v>
      </c>
      <c r="P21" s="75">
        <f ca="1">IFERROR(K21/P$59, 0)</f>
        <v>0</v>
      </c>
      <c r="Q21" s="75">
        <f ca="1">IFERROR(L21/Q$59, 0)</f>
        <v>0</v>
      </c>
      <c r="R21" s="76">
        <f ca="1">IFERROR(M21/R$59, 0)</f>
        <v>0</v>
      </c>
      <c r="S21" s="74">
        <f ca="1">IFERROR(I21/S$59, 0)</f>
        <v>0</v>
      </c>
      <c r="T21" s="75">
        <f ca="1">IFERROR(J21/T$59, 0)</f>
        <v>0</v>
      </c>
      <c r="U21" s="75">
        <f ca="1">IFERROR(K21/U$59, 0)</f>
        <v>0</v>
      </c>
      <c r="V21" s="75">
        <f ca="1">IFERROR(L21/V$59, 0)</f>
        <v>0</v>
      </c>
      <c r="W21" s="76">
        <f ca="1">IFERROR(M21/W$59, 0)</f>
        <v>0</v>
      </c>
      <c r="Y21" s="109" t="s">
        <v>15</v>
      </c>
      <c r="Z21" s="78">
        <f ca="1">IFERROR(I21/[1]Tables!$AT$4, 0)</f>
        <v>0</v>
      </c>
      <c r="AA21" s="79">
        <f ca="1">IFERROR(J21/[1]Tables!$AT$4, 0)</f>
        <v>0</v>
      </c>
      <c r="AB21" s="79">
        <f ca="1">IFERROR(K21/[1]Tables!$AT$4, 0)</f>
        <v>0</v>
      </c>
      <c r="AC21" s="79">
        <f ca="1">IFERROR(L21/[1]Tables!$AT$4, 0)</f>
        <v>0</v>
      </c>
      <c r="AD21" s="80">
        <f ca="1">IFERROR(M21/[1]Tables!$AT$4, 0)</f>
        <v>0</v>
      </c>
      <c r="AE21" s="81">
        <f ca="1">IFERROR(N21/[1]Tables!$AT$4, 0)</f>
        <v>0</v>
      </c>
      <c r="AF21" s="75">
        <f ca="1">IFERROR(O21/[1]Tables!$AT$4, 0)</f>
        <v>0</v>
      </c>
      <c r="AG21" s="75">
        <f ca="1">IFERROR(P21/[1]Tables!$AT$4, 0)</f>
        <v>0</v>
      </c>
      <c r="AH21" s="75">
        <f ca="1">IFERROR(Q21/[1]Tables!$AT$4, 0)</f>
        <v>0</v>
      </c>
      <c r="AI21" s="82">
        <f ca="1">IFERROR(R21/[1]Tables!$AT$4, 0)</f>
        <v>0</v>
      </c>
      <c r="AJ21" s="81">
        <f ca="1">IFERROR(S21/[1]Tables!$AT$4, 0)</f>
        <v>0</v>
      </c>
      <c r="AK21" s="75">
        <f ca="1">IFERROR(T21/[1]Tables!$AT$4, 0)</f>
        <v>0</v>
      </c>
      <c r="AL21" s="75">
        <f ca="1">IFERROR(U21/[1]Tables!$AT$4, 0)</f>
        <v>0</v>
      </c>
      <c r="AM21" s="75">
        <f ca="1">IFERROR(V21/[1]Tables!$AT$4, 0)</f>
        <v>0</v>
      </c>
      <c r="AN21" s="82">
        <f ca="1">IFERROR(W21/[1]Tables!$AT$4, 0)</f>
        <v>0</v>
      </c>
      <c r="AP21" s="110" t="s">
        <v>15</v>
      </c>
      <c r="AQ21" s="84" t="e" cm="1">
        <f t="array" aca="1" ref="AQ21" ca="1">(SUMIFS(INDIRECT('[1]RA Output'!CU$1), rng_out_mail_ind, $B21, rng_out_ds, $C21, rng_out_sel_sp_ind, $D21, rng_out_sel_excl_ind,$E21)
+ SUMIFS(INDIRECT('[1]RA Output'!CU$1), rng_out_mail_ind, $B21, rng_out_ds, $C21, rng_out_sel_sp_ind, $D21, rng_out_sel_excl_ind,$F21, rng_out_sel_excl_yr_ind, "&gt;0", rng_out_sel_excl_ind,$F21)
+ IF([1]Tables!$C$16=[1]Tables!$CF$4, SUMIFS(INDIRECT('[1]RA Output'!CU$1), rng_out_mail_ind, $B21, rng_out_ds, $C21, rng_out_sel_sp_ind, $D21, rng_out_sel_excl_ind,$F21,rng_out_sel_excl_yr_ind, ""), 0))/[1]Tables!$AT$4</f>
        <v>#REF!</v>
      </c>
      <c r="AR21" s="5" t="e" cm="1">
        <f t="array" aca="1" ref="AR21" ca="1">(SUMIFS(INDIRECT('[1]RA Output'!CV$1), rng_out_mail_ind, $B21, rng_out_ds, $C21, rng_out_sel_sp_ind, $D21, rng_out_sel_excl_ind,$E21)
+ SUMIFS(INDIRECT('[1]RA Output'!CV$1), rng_out_mail_ind, $B21, rng_out_ds, $C21, rng_out_sel_sp_ind, $D21, rng_out_sel_excl_ind,$F21, rng_out_sel_excl_yr_ind, "&gt;0", rng_out_sel_excl_ind,$F21)
+ IF([1]Tables!$C$16=[1]Tables!$CF$4, SUMIFS(INDIRECT('[1]RA Output'!CV$1), rng_out_mail_ind, $B21, rng_out_ds, $C21, rng_out_sel_sp_ind, $D21, rng_out_sel_excl_ind,$F21,rng_out_sel_excl_yr_ind, ""), 0))/[1]Tables!$AT$4</f>
        <v>#REF!</v>
      </c>
      <c r="AS21" s="5" t="e" cm="1">
        <f t="array" aca="1" ref="AS21" ca="1">(SUMIFS(INDIRECT('[1]RA Output'!CW$1), rng_out_mail_ind, $B21, rng_out_ds, $C21, rng_out_sel_sp_ind, $D21, rng_out_sel_excl_ind,$E21)
+ SUMIFS(INDIRECT('[1]RA Output'!CW$1), rng_out_mail_ind, $B21, rng_out_ds, $C21, rng_out_sel_sp_ind, $D21, rng_out_sel_excl_ind,$F21, rng_out_sel_excl_yr_ind, "&gt;0", rng_out_sel_excl_ind,$F21)
+ IF([1]Tables!$C$16=[1]Tables!$CF$4, SUMIFS(INDIRECT('[1]RA Output'!CW$1), rng_out_mail_ind, $B21, rng_out_ds, $C21, rng_out_sel_sp_ind, $D21, rng_out_sel_excl_ind,$F21,rng_out_sel_excl_yr_ind, ""), 0))/[1]Tables!$AT$4</f>
        <v>#REF!</v>
      </c>
      <c r="AT21" s="5" t="e" cm="1">
        <f t="array" aca="1" ref="AT21" ca="1">(SUMIFS(INDIRECT('[1]RA Output'!CX$1), rng_out_mail_ind, $B21, rng_out_ds, $C21, rng_out_sel_sp_ind, $D21, rng_out_sel_excl_ind,$E21)
+ SUMIFS(INDIRECT('[1]RA Output'!CX$1), rng_out_mail_ind, $B21, rng_out_ds, $C21, rng_out_sel_sp_ind, $D21, rng_out_sel_excl_ind,$F21, rng_out_sel_excl_yr_ind, "&gt;0", rng_out_sel_excl_ind,$F21)
+ IF([1]Tables!$C$16=[1]Tables!$CF$4, SUMIFS(INDIRECT('[1]RA Output'!CX$1), rng_out_mail_ind, $B21, rng_out_ds, $C21, rng_out_sel_sp_ind, $D21, rng_out_sel_excl_ind,$F21,rng_out_sel_excl_yr_ind, ""), 0))/[1]Tables!$AT$4</f>
        <v>#REF!</v>
      </c>
      <c r="AU21" s="85" t="e" cm="1">
        <f t="array" aca="1" ref="AU21" ca="1">(SUMIFS(INDIRECT('[1]RA Output'!CY$1), rng_out_mail_ind, $B21, rng_out_ds, $C21, rng_out_sel_sp_ind, $D21, rng_out_sel_excl_ind,$E21)
+ SUMIFS(INDIRECT('[1]RA Output'!CY$1), rng_out_mail_ind, $B21, rng_out_ds, $C21, rng_out_sel_sp_ind, $D21, rng_out_sel_excl_ind,$F21, rng_out_sel_excl_yr_ind, "&gt;0", rng_out_sel_excl_ind,$F21)
+ IF([1]Tables!$C$16=[1]Tables!$CF$4, SUMIFS(INDIRECT('[1]RA Output'!CY$1), rng_out_mail_ind, $B21, rng_out_ds, $C21, rng_out_sel_sp_ind, $D21, rng_out_sel_excl_ind,$F21,rng_out_sel_excl_yr_ind, ""), 0))/[1]Tables!$AT$4</f>
        <v>#REF!</v>
      </c>
      <c r="AV21" s="86">
        <f ca="1">IFERROR(AQ21/AV$59, 0)</f>
        <v>0</v>
      </c>
      <c r="AW21" s="75">
        <f ca="1">IFERROR(AR21/AW$59, 0)</f>
        <v>0</v>
      </c>
      <c r="AX21" s="75">
        <f ca="1">IFERROR(AS21/AX$59, 0)</f>
        <v>0</v>
      </c>
      <c r="AY21" s="75">
        <f ca="1">IFERROR(AT21/AY$59, 0)</f>
        <v>0</v>
      </c>
      <c r="AZ21" s="87">
        <f ca="1">IFERROR(AU21/AZ$59, 0)</f>
        <v>0</v>
      </c>
      <c r="BA21" s="75">
        <f ca="1">IFERROR(AQ21/BA$59, 0)</f>
        <v>0</v>
      </c>
      <c r="BB21" s="75">
        <f ca="1">IFERROR(AR21/BB$59, 0)</f>
        <v>0</v>
      </c>
      <c r="BC21" s="75">
        <f ca="1">IFERROR(AS21/BC$59, 0)</f>
        <v>0</v>
      </c>
      <c r="BD21" s="75">
        <f ca="1">IFERROR(AT21/BD$59, 0)</f>
        <v>0</v>
      </c>
      <c r="BE21" s="87">
        <f ca="1">IFERROR(AU21/BE$59, 0)</f>
        <v>0</v>
      </c>
      <c r="BG21" s="111" t="s">
        <v>15</v>
      </c>
      <c r="BH21" s="97" t="e">
        <f ca="1">AQ21</f>
        <v>#REF!</v>
      </c>
      <c r="BI21" s="79" t="e">
        <f t="shared" ca="1" si="3"/>
        <v>#REF!</v>
      </c>
      <c r="BJ21" s="79" t="e">
        <f t="shared" ca="1" si="3"/>
        <v>#REF!</v>
      </c>
      <c r="BK21" s="79" t="e">
        <f t="shared" ca="1" si="3"/>
        <v>#REF!</v>
      </c>
      <c r="BL21" s="98" t="e">
        <f t="shared" ca="1" si="3"/>
        <v>#REF!</v>
      </c>
      <c r="BM21" s="92">
        <f ca="1">IFERROR(BH21/BM$59, 0)</f>
        <v>0</v>
      </c>
      <c r="BN21" s="75">
        <f ca="1">IFERROR(BI21/BN$59, 0)</f>
        <v>0</v>
      </c>
      <c r="BO21" s="75">
        <f ca="1">IFERROR(BJ21/BO$59, 0)</f>
        <v>0</v>
      </c>
      <c r="BP21" s="75">
        <f ca="1">IFERROR(BK21/BP$59, 0)</f>
        <v>0</v>
      </c>
      <c r="BQ21" s="93">
        <f ca="1">IFERROR(BL21/BQ$59, 0)</f>
        <v>0</v>
      </c>
      <c r="BR21" s="92">
        <f ca="1">IFERROR(BH21/BR$59, 0)</f>
        <v>0</v>
      </c>
      <c r="BS21" s="75">
        <f ca="1">IFERROR(BI21/BS$59, 0)</f>
        <v>0</v>
      </c>
      <c r="BT21" s="75">
        <f ca="1">IFERROR(BJ21/BT$59, 0)</f>
        <v>0</v>
      </c>
      <c r="BU21" s="75">
        <f ca="1">IFERROR(BK21/BU$59, 0)</f>
        <v>0</v>
      </c>
      <c r="BV21" s="93">
        <f ca="1">IFERROR(BL21/BV$59, 0)</f>
        <v>0</v>
      </c>
      <c r="BX21" s="111" t="s">
        <v>15</v>
      </c>
      <c r="BY21" s="97" t="e">
        <f t="shared" ca="1" si="4"/>
        <v>#VALUE!</v>
      </c>
      <c r="BZ21" s="79" t="e">
        <f t="shared" ca="1" si="4"/>
        <v>#VALUE!</v>
      </c>
      <c r="CA21" s="79" t="e">
        <f t="shared" ca="1" si="4"/>
        <v>#VALUE!</v>
      </c>
      <c r="CB21" s="79" t="e">
        <f t="shared" ca="1" si="4"/>
        <v>#VALUE!</v>
      </c>
      <c r="CC21" s="98" t="e">
        <f t="shared" ca="1" si="4"/>
        <v>#VALUE!</v>
      </c>
      <c r="CD21" s="92">
        <f t="shared" ca="1" si="5"/>
        <v>0</v>
      </c>
      <c r="CE21" s="75">
        <f t="shared" ca="1" si="5"/>
        <v>0</v>
      </c>
      <c r="CF21" s="75">
        <f t="shared" ca="1" si="5"/>
        <v>0</v>
      </c>
      <c r="CG21" s="75">
        <f t="shared" ca="1" si="5"/>
        <v>0</v>
      </c>
      <c r="CH21" s="93">
        <f t="shared" ca="1" si="5"/>
        <v>0</v>
      </c>
      <c r="CI21" s="92">
        <f t="shared" ca="1" si="6"/>
        <v>0</v>
      </c>
      <c r="CJ21" s="75">
        <f t="shared" ca="1" si="6"/>
        <v>0</v>
      </c>
      <c r="CK21" s="75">
        <f t="shared" ca="1" si="6"/>
        <v>0</v>
      </c>
      <c r="CL21" s="75">
        <f t="shared" ca="1" si="6"/>
        <v>0</v>
      </c>
      <c r="CM21" s="93">
        <f t="shared" ca="1" si="6"/>
        <v>0</v>
      </c>
      <c r="DC21" s="112" cm="1">
        <f t="array" aca="1" ref="DC21" ca="1">IFERROR(BM21-BM21*BR68*(1-INDEX([1]Tables!$EA$4:$EE$60,MATCH([1]Tables!$C$22&amp;$BX21,[1]Tables!$EA$4:$EA$60,0),[1]Tables!$EE$1))*(1-DI21)/CD59, 0)</f>
        <v>0</v>
      </c>
      <c r="DD21" s="113" cm="1">
        <f t="array" aca="1" ref="DD21" ca="1">IFERROR(BN21-BN21*BS68*(1-INDEX([1]Tables!$EA$4:$EE$60,MATCH([1]Tables!$C$22&amp;$BX21,[1]Tables!$EA$4:$EA$60,0),[1]Tables!$EE$1))*(1-DJ21)/CE59, 0)</f>
        <v>0</v>
      </c>
      <c r="DE21" s="113" cm="1">
        <f t="array" aca="1" ref="DE21" ca="1">IFERROR(BO21-BO21*BT68*(1-INDEX([1]Tables!$EA$4:$EE$60,MATCH([1]Tables!$C$22&amp;$BX21,[1]Tables!$EA$4:$EA$60,0),[1]Tables!$EE$1))*(1-DK21)/CF59, 0)</f>
        <v>0</v>
      </c>
      <c r="DF21" s="113" cm="1">
        <f t="array" aca="1" ref="DF21" ca="1">IFERROR(BP21-BP21*BU68*(1-INDEX([1]Tables!$EA$4:$EE$60,MATCH([1]Tables!$C$22&amp;$BX21,[1]Tables!$EA$4:$EA$60,0),[1]Tables!$EE$1))*(1-DL21)/CG59, 0)</f>
        <v>0</v>
      </c>
      <c r="DG21" s="114" cm="1">
        <f t="array" aca="1" ref="DG21" ca="1">IFERROR(BQ21-BQ21*BV68*(1-INDEX([1]Tables!$EA$4:$EE$60,MATCH([1]Tables!$C$22&amp;$BX21,[1]Tables!$EA$4:$EA$60,0),[1]Tables!$EE$1))*(1-DM21)/CH59, 0)</f>
        <v>0</v>
      </c>
      <c r="DI21" s="115" cm="1">
        <f t="array" aca="1" ref="DI21" ca="1">IFERROR(((SUMPRODUCT((rng_out_mail_ind = $B21) * (rng_out_ds = $C21) * (rng_out_sel_sp_ind = $D21)   * (rng_out_sel_excl_ind = $E21) * (rng_out_maf_post_yr1*rng_out_340B)) +
IF([1]Tables!$C$16=[1]Tables!$CF$4, SUMPRODUCT((rng_out_mail_ind = $B21) * (rng_out_ds = $C21) * (rng_out_sel_sp_ind = $D21) * (rng_out_sel_excl_ind = $F21) * (rng_out_maf_post_yr1*rng_out_340B)), 0))/[1]Tables!$AT$4)/AQ21, 0)</f>
        <v>0</v>
      </c>
      <c r="DJ21" s="116" cm="1">
        <f t="array" aca="1" ref="DJ21" ca="1">IFERROR(((SUMPRODUCT((rng_out_mail_ind = $B21) * (rng_out_ds = $C21) * (rng_out_sel_sp_ind = $D21)   * (rng_out_sel_excl_ind = $E21) * (rng_out_maf_post_yr2*rng_out_340B)) +
IF([1]Tables!$C$16=[1]Tables!$CF$4, SUMPRODUCT((rng_out_mail_ind = $B21) * (rng_out_ds = $C21) * (rng_out_sel_sp_ind = $D21) * (rng_out_sel_excl_ind = $F21) * (rng_out_maf_post_yr2*rng_out_340B)), 0))/[1]Tables!$AT$4)/AR21, 0)</f>
        <v>0</v>
      </c>
      <c r="DK21" s="116" cm="1">
        <f t="array" aca="1" ref="DK21" ca="1">IFERROR(((SUMPRODUCT((rng_out_mail_ind = $B21) * (rng_out_ds = $C21) * (rng_out_sel_sp_ind = $D21)   * (rng_out_sel_excl_ind = $E21) * (rng_out_maf_post_yr3*rng_out_340B)) +
IF([1]Tables!$C$16=[1]Tables!$CF$4, SUMPRODUCT((rng_out_mail_ind = $B21) * (rng_out_ds = $C21) * (rng_out_sel_sp_ind = $D21) * (rng_out_sel_excl_ind = $F21) * (rng_out_maf_post_yr3*rng_out_340B)), 0))/[1]Tables!$AT$4)/AS21, 0)</f>
        <v>0</v>
      </c>
      <c r="DL21" s="116" cm="1">
        <f t="array" aca="1" ref="DL21" ca="1">IFERROR(((SUMPRODUCT((rng_out_mail_ind = $B21) * (rng_out_ds = $C21) * (rng_out_sel_sp_ind = $D21)   * (rng_out_sel_excl_ind = $E21) * (rng_out_maf_post_yr4*rng_out_340B)) +
IF([1]Tables!$C$16=[1]Tables!$CF$4, SUMPRODUCT((rng_out_mail_ind = $B21) * (rng_out_ds = $C21) * (rng_out_sel_sp_ind = $D21) * (rng_out_sel_excl_ind = $F21) * (rng_out_maf_post_yr4*rng_out_340B)), 0))/[1]Tables!$AT$4)/AT21, 0)</f>
        <v>0</v>
      </c>
      <c r="DM21" s="117" cm="1">
        <f t="array" aca="1" ref="DM21" ca="1">IFERROR(((SUMPRODUCT((rng_out_mail_ind = $B21) * (rng_out_ds = $C21) * (rng_out_sel_sp_ind = $D21)   * (rng_out_sel_excl_ind = $E21) * (rng_out_maf_post_yr5*rng_out_340B)) +
IF([1]Tables!$C$16=[1]Tables!$CF$4, SUMPRODUCT((rng_out_mail_ind = $B21) * (rng_out_ds = $C21) * (rng_out_sel_sp_ind = $D21) * (rng_out_sel_excl_ind = $F21) * (rng_out_maf_post_yr5*rng_out_340B)), 0))/[1]Tables!$AT$4)/AU21, 0)</f>
        <v>0</v>
      </c>
    </row>
    <row r="22" spans="2:117" x14ac:dyDescent="0.35">
      <c r="B22" s="105" t="s">
        <v>16</v>
      </c>
      <c r="C22" s="106"/>
      <c r="D22" s="106" t="s">
        <v>12</v>
      </c>
      <c r="E22" s="105" t="s">
        <v>12</v>
      </c>
      <c r="F22" s="107" t="s">
        <v>13</v>
      </c>
      <c r="H22" s="118" t="s">
        <v>7</v>
      </c>
      <c r="I22" s="72" t="e" cm="1">
        <f t="array" aca="1" ref="I22" ca="1">SUMIFS(INDIRECT('[1]RA Output'!BU$1), rng_out_mail_ind, $B22, rng_out_sel_sp_ind, $D22, rng_out_sel_excl_ind,$E22)
+ SUMIFS(INDIRECT('[1]RA Output'!BU$1), rng_out_mail_ind, $B22, rng_out_sel_sp_ind, $D22, rng_out_sel_excl_ind,$F22, rng_out_sel_excl_yr_ind, "&gt;0")
+ IF([1]Tables!$C$16=[1]Tables!$CF$4, SUMIFS(INDIRECT('[1]RA Output'!BU$1), rng_out_mail_ind, $B22, rng_out_sel_sp_ind, $D22, rng_out_sel_excl_ind,$F22,rng_out_sel_excl_yr_ind, ""), 0)</f>
        <v>#REF!</v>
      </c>
      <c r="J22" s="5" t="e" cm="1">
        <f t="array" aca="1" ref="J22" ca="1">SUMIFS(INDIRECT('[1]RA Output'!BV$1), rng_out_mail_ind, $B22, rng_out_sel_sp_ind, $D22, rng_out_sel_excl_ind,$E22)
+ SUMIFS(INDIRECT('[1]RA Output'!BV$1), rng_out_mail_ind, $B22, rng_out_sel_sp_ind, $D22, rng_out_sel_excl_ind,$F22, rng_out_sel_excl_yr_ind, "&gt;0")
+ IF([1]Tables!$C$16=[1]Tables!$CF$4, SUMIFS(INDIRECT('[1]RA Output'!BV$1), rng_out_mail_ind, $B22, rng_out_sel_sp_ind, $D22, rng_out_sel_excl_ind,$F22,rng_out_sel_excl_yr_ind, ""), 0)</f>
        <v>#REF!</v>
      </c>
      <c r="K22" s="5" t="e" cm="1">
        <f t="array" aca="1" ref="K22" ca="1">SUMIFS(INDIRECT('[1]RA Output'!BW$1), rng_out_mail_ind, $B22, rng_out_sel_sp_ind, $D22, rng_out_sel_excl_ind,$E22)
+ SUMIFS(INDIRECT('[1]RA Output'!BW$1), rng_out_mail_ind, $B22, rng_out_sel_sp_ind, $D22, rng_out_sel_excl_ind,$F22, rng_out_sel_excl_yr_ind, "&gt;0")
+ IF([1]Tables!$C$16=[1]Tables!$CF$4, SUMIFS(INDIRECT('[1]RA Output'!BW$1), rng_out_mail_ind, $B22, rng_out_sel_sp_ind, $D22, rng_out_sel_excl_ind,$F22,rng_out_sel_excl_yr_ind, ""), 0)</f>
        <v>#REF!</v>
      </c>
      <c r="L22" s="5" t="e" cm="1">
        <f t="array" aca="1" ref="L22" ca="1">SUMIFS(INDIRECT('[1]RA Output'!BX$1), rng_out_mail_ind, $B22, rng_out_sel_sp_ind, $D22, rng_out_sel_excl_ind,$E22)
+ SUMIFS(INDIRECT('[1]RA Output'!BX$1), rng_out_mail_ind, $B22, rng_out_sel_sp_ind, $D22, rng_out_sel_excl_ind,$F22, rng_out_sel_excl_yr_ind, "&gt;0")
+ IF([1]Tables!$C$16=[1]Tables!$CF$4, SUMIFS(INDIRECT('[1]RA Output'!BX$1), rng_out_mail_ind, $B22, rng_out_sel_sp_ind, $D22, rng_out_sel_excl_ind,$F22,rng_out_sel_excl_yr_ind, ""), 0)</f>
        <v>#REF!</v>
      </c>
      <c r="M22" s="73" t="e" cm="1">
        <f t="array" aca="1" ref="M22" ca="1">SUMIFS(INDIRECT('[1]RA Output'!BY$1), rng_out_mail_ind, $B22, rng_out_sel_sp_ind, $D22, rng_out_sel_excl_ind,$E22)
+ SUMIFS(INDIRECT('[1]RA Output'!BY$1), rng_out_mail_ind, $B22, rng_out_sel_sp_ind, $D22, rng_out_sel_excl_ind,$F22, rng_out_sel_excl_yr_ind, "&gt;0")
+ IF([1]Tables!$C$16=[1]Tables!$CF$4, SUMIFS(INDIRECT('[1]RA Output'!BY$1), rng_out_mail_ind, $B22, rng_out_sel_sp_ind, $D22, rng_out_sel_excl_ind,$F22,rng_out_sel_excl_yr_ind, ""), 0)</f>
        <v>#REF!</v>
      </c>
      <c r="N22" s="74">
        <f ca="1">IFERROR(I22/N$60, 0)</f>
        <v>0</v>
      </c>
      <c r="O22" s="75">
        <f ca="1">IFERROR(J22/O$60, 0)</f>
        <v>0</v>
      </c>
      <c r="P22" s="75">
        <f ca="1">IFERROR(K22/P$60, 0)</f>
        <v>0</v>
      </c>
      <c r="Q22" s="75">
        <f ca="1">IFERROR(L22/Q$60, 0)</f>
        <v>0</v>
      </c>
      <c r="R22" s="76">
        <f ca="1">IFERROR(M22/R$60, 0)</f>
        <v>0</v>
      </c>
      <c r="S22" s="74">
        <f ca="1">IFERROR(I22/S$60, 0)</f>
        <v>0</v>
      </c>
      <c r="T22" s="75">
        <f ca="1">IFERROR(J22/T$60, 0)</f>
        <v>0</v>
      </c>
      <c r="U22" s="75">
        <f ca="1">IFERROR(K22/U$60, 0)</f>
        <v>0</v>
      </c>
      <c r="V22" s="75">
        <f ca="1">IFERROR(L22/V$60, 0)</f>
        <v>0</v>
      </c>
      <c r="W22" s="76">
        <f ca="1">IFERROR(M22/W$60, 0)</f>
        <v>0</v>
      </c>
      <c r="Y22" s="119" t="s">
        <v>7</v>
      </c>
      <c r="Z22" s="78">
        <f ca="1">IFERROR(I22/[1]Tables!$AT$4, 0)</f>
        <v>0</v>
      </c>
      <c r="AA22" s="79">
        <f ca="1">IFERROR(J22/[1]Tables!$AT$4, 0)</f>
        <v>0</v>
      </c>
      <c r="AB22" s="79">
        <f ca="1">IFERROR(K22/[1]Tables!$AT$4, 0)</f>
        <v>0</v>
      </c>
      <c r="AC22" s="79">
        <f ca="1">IFERROR(L22/[1]Tables!$AT$4, 0)</f>
        <v>0</v>
      </c>
      <c r="AD22" s="80">
        <f ca="1">IFERROR(M22/[1]Tables!$AT$4, 0)</f>
        <v>0</v>
      </c>
      <c r="AE22" s="81">
        <f ca="1">IFERROR(N22/[1]Tables!$AT$4, 0)</f>
        <v>0</v>
      </c>
      <c r="AF22" s="75">
        <f ca="1">IFERROR(O22/[1]Tables!$AT$4, 0)</f>
        <v>0</v>
      </c>
      <c r="AG22" s="75">
        <f ca="1">IFERROR(P22/[1]Tables!$AT$4, 0)</f>
        <v>0</v>
      </c>
      <c r="AH22" s="75">
        <f ca="1">IFERROR(Q22/[1]Tables!$AT$4, 0)</f>
        <v>0</v>
      </c>
      <c r="AI22" s="82">
        <f ca="1">IFERROR(R22/[1]Tables!$AT$4, 0)</f>
        <v>0</v>
      </c>
      <c r="AJ22" s="81">
        <f ca="1">IFERROR(S22/[1]Tables!$AT$4, 0)</f>
        <v>0</v>
      </c>
      <c r="AK22" s="75">
        <f ca="1">IFERROR(T22/[1]Tables!$AT$4, 0)</f>
        <v>0</v>
      </c>
      <c r="AL22" s="75">
        <f ca="1">IFERROR(U22/[1]Tables!$AT$4, 0)</f>
        <v>0</v>
      </c>
      <c r="AM22" s="75">
        <f ca="1">IFERROR(V22/[1]Tables!$AT$4, 0)</f>
        <v>0</v>
      </c>
      <c r="AN22" s="82">
        <f ca="1">IFERROR(W22/[1]Tables!$AT$4, 0)</f>
        <v>0</v>
      </c>
      <c r="AP22" s="120" t="s">
        <v>7</v>
      </c>
      <c r="AQ22" s="84" t="e" cm="1">
        <f t="array" aca="1" ref="AQ22" ca="1">(SUMIFS(INDIRECT('[1]RA Output'!CU$1), rng_out_mail_ind, $B22, rng_out_sel_sp_ind, $D22, rng_out_sel_excl_ind,$E22)
+ SUMIFS(INDIRECT('[1]RA Output'!CU$1), rng_out_mail_ind, $B22, rng_out_sel_sp_ind, $D22, rng_out_sel_excl_ind,$F22, rng_out_sel_excl_yr_ind, "&gt;0")
+ IF([1]Tables!$C$16=[1]Tables!$CF$4, SUMIFS(INDIRECT('[1]RA Output'!CU$1), rng_out_mail_ind, $B22, rng_out_sel_sp_ind, $D22, rng_out_sel_excl_ind,$F22,rng_out_sel_excl_yr_ind, ""), 0))/[1]Tables!$AT$4</f>
        <v>#REF!</v>
      </c>
      <c r="AR22" s="5" t="e" cm="1">
        <f t="array" aca="1" ref="AR22" ca="1">(SUMIFS(INDIRECT('[1]RA Output'!CV$1), rng_out_mail_ind, $B22, rng_out_sel_sp_ind, $D22, rng_out_sel_excl_ind,$E22)
+ SUMIFS(INDIRECT('[1]RA Output'!CV$1), rng_out_mail_ind, $B22, rng_out_sel_sp_ind, $D22, rng_out_sel_excl_ind,$F22, rng_out_sel_excl_yr_ind, "&gt;0")
+ IF([1]Tables!$C$16=[1]Tables!$CF$4, SUMIFS(INDIRECT('[1]RA Output'!CV$1), rng_out_mail_ind, $B22, rng_out_sel_sp_ind, $D22, rng_out_sel_excl_ind,$F22,rng_out_sel_excl_yr_ind, ""), 0))/[1]Tables!$AT$4</f>
        <v>#REF!</v>
      </c>
      <c r="AS22" s="5" t="e" cm="1">
        <f t="array" aca="1" ref="AS22" ca="1">(SUMIFS(INDIRECT('[1]RA Output'!CW$1), rng_out_mail_ind, $B22, rng_out_sel_sp_ind, $D22, rng_out_sel_excl_ind,$E22)
+ SUMIFS(INDIRECT('[1]RA Output'!CW$1), rng_out_mail_ind, $B22, rng_out_sel_sp_ind, $D22, rng_out_sel_excl_ind,$F22, rng_out_sel_excl_yr_ind, "&gt;0")
+ IF([1]Tables!$C$16=[1]Tables!$CF$4, SUMIFS(INDIRECT('[1]RA Output'!CW$1), rng_out_mail_ind, $B22, rng_out_sel_sp_ind, $D22, rng_out_sel_excl_ind,$F22,rng_out_sel_excl_yr_ind, ""), 0))/[1]Tables!$AT$4</f>
        <v>#REF!</v>
      </c>
      <c r="AT22" s="5" t="e" cm="1">
        <f t="array" aca="1" ref="AT22" ca="1">(SUMIFS(INDIRECT('[1]RA Output'!CX$1), rng_out_mail_ind, $B22, rng_out_sel_sp_ind, $D22, rng_out_sel_excl_ind,$E22)
+ SUMIFS(INDIRECT('[1]RA Output'!CX$1), rng_out_mail_ind, $B22, rng_out_sel_sp_ind, $D22, rng_out_sel_excl_ind,$F22, rng_out_sel_excl_yr_ind, "&gt;0")
+ IF([1]Tables!$C$16=[1]Tables!$CF$4, SUMIFS(INDIRECT('[1]RA Output'!CX$1), rng_out_mail_ind, $B22, rng_out_sel_sp_ind, $D22, rng_out_sel_excl_ind,$F22,rng_out_sel_excl_yr_ind, ""), 0))/[1]Tables!$AT$4</f>
        <v>#REF!</v>
      </c>
      <c r="AU22" s="85" t="e" cm="1">
        <f t="array" aca="1" ref="AU22" ca="1">(SUMIFS(INDIRECT('[1]RA Output'!CY$1), rng_out_mail_ind, $B22, rng_out_sel_sp_ind, $D22, rng_out_sel_excl_ind,$E22)
+ SUMIFS(INDIRECT('[1]RA Output'!CY$1), rng_out_mail_ind, $B22, rng_out_sel_sp_ind, $D22, rng_out_sel_excl_ind,$F22, rng_out_sel_excl_yr_ind, "&gt;0")
+ IF([1]Tables!$C$16=[1]Tables!$CF$4, SUMIFS(INDIRECT('[1]RA Output'!CY$1), rng_out_mail_ind, $B22, rng_out_sel_sp_ind, $D22, rng_out_sel_excl_ind,$F22,rng_out_sel_excl_yr_ind, ""), 0))/[1]Tables!$AT$4</f>
        <v>#REF!</v>
      </c>
      <c r="AV22" s="86">
        <f ca="1">IFERROR(AQ22/AV$60, 0)</f>
        <v>0</v>
      </c>
      <c r="AW22" s="75">
        <f ca="1">IFERROR(AR22/AW$60, 0)</f>
        <v>0</v>
      </c>
      <c r="AX22" s="75">
        <f ca="1">IFERROR(AS22/AX$60, 0)</f>
        <v>0</v>
      </c>
      <c r="AY22" s="75">
        <f ca="1">IFERROR(AT22/AY$60, 0)</f>
        <v>0</v>
      </c>
      <c r="AZ22" s="87">
        <f ca="1">IFERROR(AU22/AZ$60, 0)</f>
        <v>0</v>
      </c>
      <c r="BA22" s="75">
        <f ca="1">IFERROR(AQ22/BA$60, 0)</f>
        <v>0</v>
      </c>
      <c r="BB22" s="75">
        <f ca="1">IFERROR(AR22/BB$60, 0)</f>
        <v>0</v>
      </c>
      <c r="BC22" s="75">
        <f ca="1">IFERROR(AS22/BC$60, 0)</f>
        <v>0</v>
      </c>
      <c r="BD22" s="75">
        <f ca="1">IFERROR(AT22/BD$60, 0)</f>
        <v>0</v>
      </c>
      <c r="BE22" s="87">
        <f ca="1">IFERROR(AU22/BE$60, 0)</f>
        <v>0</v>
      </c>
      <c r="BG22" s="121" t="s">
        <v>7</v>
      </c>
      <c r="BH22" s="97" t="e">
        <f ca="1">AQ22</f>
        <v>#REF!</v>
      </c>
      <c r="BI22" s="79" t="e">
        <f t="shared" ca="1" si="3"/>
        <v>#REF!</v>
      </c>
      <c r="BJ22" s="79" t="e">
        <f t="shared" ca="1" si="3"/>
        <v>#REF!</v>
      </c>
      <c r="BK22" s="79" t="e">
        <f t="shared" ca="1" si="3"/>
        <v>#REF!</v>
      </c>
      <c r="BL22" s="98" t="e">
        <f t="shared" ca="1" si="3"/>
        <v>#REF!</v>
      </c>
      <c r="BM22" s="92">
        <f ca="1">IFERROR(BH22/BM$60, 0)</f>
        <v>0</v>
      </c>
      <c r="BN22" s="75">
        <f ca="1">IFERROR(BI22/BN$60, 0)</f>
        <v>0</v>
      </c>
      <c r="BO22" s="75">
        <f ca="1">IFERROR(BJ22/BO$60, 0)</f>
        <v>0</v>
      </c>
      <c r="BP22" s="75">
        <f ca="1">IFERROR(BK22/BP$60, 0)</f>
        <v>0</v>
      </c>
      <c r="BQ22" s="93">
        <f ca="1">IFERROR(BL22/BQ$60, 0)</f>
        <v>0</v>
      </c>
      <c r="BR22" s="92">
        <f ca="1">IFERROR(BH22/BR$60, 0)</f>
        <v>0</v>
      </c>
      <c r="BS22" s="75">
        <f ca="1">IFERROR(BI22/BS$60, 0)</f>
        <v>0</v>
      </c>
      <c r="BT22" s="75">
        <f ca="1">IFERROR(BJ22/BT$60, 0)</f>
        <v>0</v>
      </c>
      <c r="BU22" s="75">
        <f ca="1">IFERROR(BK22/BU$60, 0)</f>
        <v>0</v>
      </c>
      <c r="BV22" s="93">
        <f ca="1">IFERROR(BL22/BV$60, 0)</f>
        <v>0</v>
      </c>
      <c r="BX22" s="121" t="s">
        <v>7</v>
      </c>
      <c r="BY22" s="97" t="e">
        <f t="shared" ca="1" si="4"/>
        <v>#VALUE!</v>
      </c>
      <c r="BZ22" s="79" t="e">
        <f t="shared" ca="1" si="4"/>
        <v>#VALUE!</v>
      </c>
      <c r="CA22" s="79" t="e">
        <f t="shared" ca="1" si="4"/>
        <v>#VALUE!</v>
      </c>
      <c r="CB22" s="79" t="e">
        <f t="shared" ca="1" si="4"/>
        <v>#VALUE!</v>
      </c>
      <c r="CC22" s="98" t="e">
        <f t="shared" ca="1" si="4"/>
        <v>#VALUE!</v>
      </c>
      <c r="CD22" s="92">
        <f t="shared" ca="1" si="5"/>
        <v>0</v>
      </c>
      <c r="CE22" s="75">
        <f t="shared" ca="1" si="5"/>
        <v>0</v>
      </c>
      <c r="CF22" s="75">
        <f t="shared" ca="1" si="5"/>
        <v>0</v>
      </c>
      <c r="CG22" s="75">
        <f t="shared" ca="1" si="5"/>
        <v>0</v>
      </c>
      <c r="CH22" s="93">
        <f t="shared" ca="1" si="5"/>
        <v>0</v>
      </c>
      <c r="CI22" s="92">
        <f t="shared" ca="1" si="6"/>
        <v>0</v>
      </c>
      <c r="CJ22" s="75">
        <f t="shared" ca="1" si="6"/>
        <v>0</v>
      </c>
      <c r="CK22" s="75">
        <f t="shared" ca="1" si="6"/>
        <v>0</v>
      </c>
      <c r="CL22" s="75">
        <f t="shared" ca="1" si="6"/>
        <v>0</v>
      </c>
      <c r="CM22" s="93">
        <f t="shared" ca="1" si="6"/>
        <v>0</v>
      </c>
      <c r="DC22" s="112" cm="1">
        <f t="array" aca="1" ref="DC22" ca="1">IFERROR(BM22-BM22*BR69*(1-INDEX([1]Tables!$EA$4:$EE$60,MATCH([1]Tables!$C$22&amp;$BX22,[1]Tables!$EA$4:$EA$60,0),[1]Tables!$EE$1))*(1-DI22)/CD60, 0)</f>
        <v>0</v>
      </c>
      <c r="DD22" s="113" cm="1">
        <f t="array" aca="1" ref="DD22" ca="1">IFERROR(BN22-BN22*BS69*(1-INDEX([1]Tables!$EA$4:$EE$60,MATCH([1]Tables!$C$22&amp;$BX22,[1]Tables!$EA$4:$EA$60,0),[1]Tables!$EE$1))*(1-DJ22)/CE60, 0)</f>
        <v>0</v>
      </c>
      <c r="DE22" s="113" cm="1">
        <f t="array" aca="1" ref="DE22" ca="1">IFERROR(BO22-BO22*BT69*(1-INDEX([1]Tables!$EA$4:$EE$60,MATCH([1]Tables!$C$22&amp;$BX22,[1]Tables!$EA$4:$EA$60,0),[1]Tables!$EE$1))*(1-DK22)/CF60, 0)</f>
        <v>0</v>
      </c>
      <c r="DF22" s="113" cm="1">
        <f t="array" aca="1" ref="DF22" ca="1">IFERROR(BP22-BP22*BU69*(1-INDEX([1]Tables!$EA$4:$EE$60,MATCH([1]Tables!$C$22&amp;$BX22,[1]Tables!$EA$4:$EA$60,0),[1]Tables!$EE$1))*(1-DL22)/CG60, 0)</f>
        <v>0</v>
      </c>
      <c r="DG22" s="114" cm="1">
        <f t="array" aca="1" ref="DG22" ca="1">IFERROR(BQ22-BQ22*BV69*(1-INDEX([1]Tables!$EA$4:$EE$60,MATCH([1]Tables!$C$22&amp;$BX22,[1]Tables!$EA$4:$EA$60,0),[1]Tables!$EE$1))*(1-DM22)/CH60, 0)</f>
        <v>0</v>
      </c>
      <c r="DI22" s="115" cm="1">
        <f t="array" aca="1" ref="DI22" ca="1">IFERROR(((SUMPRODUCT((rng_out_mail_ind = $B22) * (rng_out_sel_sp_ind = $D22)   * (rng_out_sel_excl_ind = $E22) * (rng_out_maf_post_yr1*rng_out_340B)) +
IF([1]Tables!$C$16=[1]Tables!$CF$4, SUMPRODUCT((rng_out_mail_ind = $B22) * (rng_out_sel_sp_ind = $D22) * (rng_out_sel_excl_ind = $F22) * (rng_out_maf_post_yr1*rng_out_340B)), 0))/[1]Tables!$AT$4)/AQ22, 0)</f>
        <v>0</v>
      </c>
      <c r="DJ22" s="116" cm="1">
        <f t="array" aca="1" ref="DJ22" ca="1">IFERROR(((SUMPRODUCT((rng_out_mail_ind = $B22) * (rng_out_sel_sp_ind = $D22)   * (rng_out_sel_excl_ind = $E22) * (rng_out_maf_post_yr2*rng_out_340B)) +
IF([1]Tables!$C$16=[1]Tables!$CF$4, SUMPRODUCT((rng_out_mail_ind = $B22) * (rng_out_sel_sp_ind = $D22) * (rng_out_sel_excl_ind = $F22) * (rng_out_maf_post_yr2*rng_out_340B)), 0))/[1]Tables!$AT$4)/AR22, 0)</f>
        <v>0</v>
      </c>
      <c r="DK22" s="116" cm="1">
        <f t="array" aca="1" ref="DK22" ca="1">IFERROR(((SUMPRODUCT((rng_out_mail_ind = $B22) * (rng_out_sel_sp_ind = $D22)   * (rng_out_sel_excl_ind = $E22) * (rng_out_maf_post_yr3*rng_out_340B)) +
IF([1]Tables!$C$16=[1]Tables!$CF$4, SUMPRODUCT((rng_out_mail_ind = $B22) * (rng_out_sel_sp_ind = $D22) * (rng_out_sel_excl_ind = $F22) * (rng_out_maf_post_yr3*rng_out_340B)), 0))/[1]Tables!$AT$4)/AS22, 0)</f>
        <v>0</v>
      </c>
      <c r="DL22" s="116" cm="1">
        <f t="array" aca="1" ref="DL22" ca="1">IFERROR(((SUMPRODUCT((rng_out_mail_ind = $B22) * (rng_out_sel_sp_ind = $D22)   * (rng_out_sel_excl_ind = $E22) * (rng_out_maf_post_yr4*rng_out_340B)) +
IF([1]Tables!$C$16=[1]Tables!$CF$4, SUMPRODUCT((rng_out_mail_ind = $B22) * (rng_out_sel_sp_ind = $D22) * (rng_out_sel_excl_ind = $F22) * (rng_out_maf_post_yr4*rng_out_340B)), 0))/[1]Tables!$AT$4)/AT22, 0)</f>
        <v>0</v>
      </c>
      <c r="DM22" s="117" cm="1">
        <f t="array" aca="1" ref="DM22" ca="1">IFERROR(((SUMPRODUCT((rng_out_mail_ind = $B22) * (rng_out_sel_sp_ind = $D22)   * (rng_out_sel_excl_ind = $E22) * (rng_out_maf_post_yr5*rng_out_340B)) +
IF([1]Tables!$C$16=[1]Tables!$CF$4, SUMPRODUCT((rng_out_mail_ind = $B22) * (rng_out_sel_sp_ind = $D22) * (rng_out_sel_excl_ind = $F22) * (rng_out_maf_post_yr5*rng_out_340B)), 0))/[1]Tables!$AT$4)/AU22, 0)</f>
        <v>0</v>
      </c>
    </row>
    <row r="23" spans="2:117" ht="15" thickBot="1" x14ac:dyDescent="0.4">
      <c r="B23" s="122"/>
      <c r="C23" s="123"/>
      <c r="D23" s="123" t="s">
        <v>13</v>
      </c>
      <c r="E23" s="122" t="s">
        <v>12</v>
      </c>
      <c r="F23" s="124" t="s">
        <v>13</v>
      </c>
      <c r="H23" s="118" t="s">
        <v>17</v>
      </c>
      <c r="I23" s="72" t="e" cm="1">
        <f t="array" aca="1" ref="I23" ca="1">SUMIFS(INDIRECT('[1]RA Output'!BU$1), rng_out_sel_sp_ind, $D23, rng_out_sel_excl_ind,$E23)
+ SUMIFS(INDIRECT('[1]RA Output'!BU$1), rng_out_sel_sp_ind, $D23, rng_out_sel_excl_ind,$F23, rng_out_sel_excl_yr_ind, "&gt;0")
+ IF([1]Tables!$C$16=[1]Tables!$CF$4, SUMIFS(INDIRECT('[1]RA Output'!BU$1), rng_out_sel_sp_ind, $D23, rng_out_sel_excl_ind,$F23, rng_out_sel_excl_yr_ind, ""), 0)</f>
        <v>#REF!</v>
      </c>
      <c r="J23" s="5" t="e" cm="1">
        <f t="array" aca="1" ref="J23" ca="1">SUMIFS(INDIRECT('[1]RA Output'!BV$1), rng_out_sel_sp_ind, $D23, rng_out_sel_excl_ind,$E23)
+ SUMIFS(INDIRECT('[1]RA Output'!BV$1), rng_out_sel_sp_ind, $D23, rng_out_sel_excl_ind,$F23, rng_out_sel_excl_yr_ind, "&gt;0")
+ IF([1]Tables!$C$16=[1]Tables!$CF$4, SUMIFS(INDIRECT('[1]RA Output'!BV$1), rng_out_sel_sp_ind, $D23, rng_out_sel_excl_ind,$F23, rng_out_sel_excl_yr_ind, ""), 0)</f>
        <v>#REF!</v>
      </c>
      <c r="K23" s="5" t="e" cm="1">
        <f t="array" aca="1" ref="K23" ca="1">SUMIFS(INDIRECT('[1]RA Output'!BW$1), rng_out_sel_sp_ind, $D23, rng_out_sel_excl_ind,$E23)
+ SUMIFS(INDIRECT('[1]RA Output'!BW$1), rng_out_sel_sp_ind, $D23, rng_out_sel_excl_ind,$F23, rng_out_sel_excl_yr_ind, "&gt;0")
+ IF([1]Tables!$C$16=[1]Tables!$CF$4, SUMIFS(INDIRECT('[1]RA Output'!BW$1), rng_out_sel_sp_ind, $D23, rng_out_sel_excl_ind,$F23, rng_out_sel_excl_yr_ind, ""), 0)</f>
        <v>#REF!</v>
      </c>
      <c r="L23" s="5" t="e" cm="1">
        <f t="array" aca="1" ref="L23" ca="1">SUMIFS(INDIRECT('[1]RA Output'!BX$1), rng_out_sel_sp_ind, $D23, rng_out_sel_excl_ind,$E23)
+ SUMIFS(INDIRECT('[1]RA Output'!BX$1), rng_out_sel_sp_ind, $D23, rng_out_sel_excl_ind,$F23, rng_out_sel_excl_yr_ind, "&gt;0")
+ IF([1]Tables!$C$16=[1]Tables!$CF$4, SUMIFS(INDIRECT('[1]RA Output'!BX$1), rng_out_sel_sp_ind, $D23, rng_out_sel_excl_ind,$F23, rng_out_sel_excl_yr_ind, ""), 0)</f>
        <v>#REF!</v>
      </c>
      <c r="M23" s="125" t="e" cm="1">
        <f t="array" aca="1" ref="M23" ca="1">SUMIFS(INDIRECT('[1]RA Output'!BY$1), rng_out_sel_sp_ind, $D23, rng_out_sel_excl_ind,$E23)
+ SUMIFS(INDIRECT('[1]RA Output'!BY$1), rng_out_sel_sp_ind, $D23, rng_out_sel_excl_ind,$F23, rng_out_sel_excl_yr_ind, "&gt;0")
+ IF([1]Tables!$C$16=[1]Tables!$CF$4, SUMIFS(INDIRECT('[1]RA Output'!BY$1), rng_out_sel_sp_ind, $D23, rng_out_sel_excl_ind,$F23, rng_out_sel_excl_yr_ind, ""), 0)</f>
        <v>#REF!</v>
      </c>
      <c r="N23" s="74">
        <f ca="1">IFERROR(I23/N$61, 0)</f>
        <v>0</v>
      </c>
      <c r="O23" s="75">
        <f ca="1">IFERROR(J23/O$61, 0)</f>
        <v>0</v>
      </c>
      <c r="P23" s="75">
        <f ca="1">IFERROR(K23/P$61, 0)</f>
        <v>0</v>
      </c>
      <c r="Q23" s="75">
        <f ca="1">IFERROR(L23/Q$61, 0)</f>
        <v>0</v>
      </c>
      <c r="R23" s="126">
        <f ca="1">IFERROR(M23/R$61, 0)</f>
        <v>0</v>
      </c>
      <c r="S23" s="75">
        <f ca="1">IFERROR(I23/S$61, 0)</f>
        <v>0</v>
      </c>
      <c r="T23" s="75">
        <f ca="1">IFERROR(J23/T$61, 0)</f>
        <v>0</v>
      </c>
      <c r="U23" s="75">
        <f ca="1">IFERROR(K23/U$61, 0)</f>
        <v>0</v>
      </c>
      <c r="V23" s="75">
        <f ca="1">IFERROR(L23/V$61, 0)</f>
        <v>0</v>
      </c>
      <c r="W23" s="76">
        <f ca="1">IFERROR(M23/W$61, 0)</f>
        <v>0</v>
      </c>
      <c r="Y23" s="119" t="s">
        <v>17</v>
      </c>
      <c r="Z23" s="127">
        <f ca="1">IFERROR(I23/[1]Tables!$AT$4, 0)</f>
        <v>0</v>
      </c>
      <c r="AA23" s="128">
        <f ca="1">IFERROR(J23/[1]Tables!$AT$4, 0)</f>
        <v>0</v>
      </c>
      <c r="AB23" s="128">
        <f ca="1">IFERROR(K23/[1]Tables!$AT$4, 0)</f>
        <v>0</v>
      </c>
      <c r="AC23" s="128">
        <f ca="1">IFERROR(L23/[1]Tables!$AT$4, 0)</f>
        <v>0</v>
      </c>
      <c r="AD23" s="129">
        <f ca="1">IFERROR(M23/[1]Tables!$AT$4, 0)</f>
        <v>0</v>
      </c>
      <c r="AE23" s="130">
        <f ca="1">IFERROR(N23/[1]Tables!$AT$4, 0)</f>
        <v>0</v>
      </c>
      <c r="AF23" s="131">
        <f ca="1">IFERROR(O23/[1]Tables!$AT$4, 0)</f>
        <v>0</v>
      </c>
      <c r="AG23" s="131">
        <f ca="1">IFERROR(P23/[1]Tables!$AT$4, 0)</f>
        <v>0</v>
      </c>
      <c r="AH23" s="131">
        <f ca="1">IFERROR(Q23/[1]Tables!$AT$4, 0)</f>
        <v>0</v>
      </c>
      <c r="AI23" s="132">
        <f ca="1">IFERROR(R23/[1]Tables!$AT$4, 0)</f>
        <v>0</v>
      </c>
      <c r="AJ23" s="131">
        <f ca="1">IFERROR(S23/[1]Tables!$AT$4, 0)</f>
        <v>0</v>
      </c>
      <c r="AK23" s="131">
        <f ca="1">IFERROR(T23/[1]Tables!$AT$4, 0)</f>
        <v>0</v>
      </c>
      <c r="AL23" s="131">
        <f ca="1">IFERROR(U23/[1]Tables!$AT$4, 0)</f>
        <v>0</v>
      </c>
      <c r="AM23" s="131">
        <f ca="1">IFERROR(V23/[1]Tables!$AT$4, 0)</f>
        <v>0</v>
      </c>
      <c r="AN23" s="132">
        <f ca="1">IFERROR(W23/[1]Tables!$AT$4, 0)</f>
        <v>0</v>
      </c>
      <c r="AP23" s="120" t="s">
        <v>17</v>
      </c>
      <c r="AQ23" s="133" t="e" cm="1">
        <f t="array" aca="1" ref="AQ23" ca="1">(SUMIFS(INDIRECT('[1]RA Output'!CU$1), rng_out_sel_sp_ind, $D23, rng_out_sel_excl_ind,$E23)
+ SUMIFS(INDIRECT('[1]RA Output'!CU$1), rng_out_sel_sp_ind, $D23, rng_out_sel_excl_ind,$F23, rng_out_sel_excl_yr_ind, "&gt;0")
+ IF([1]Tables!$C$16=[1]Tables!$CF$4, SUMIFS(INDIRECT('[1]RA Output'!CU$1), rng_out_sel_sp_ind, $D23, rng_out_sel_excl_ind,$F23, rng_out_sel_excl_yr_ind, ""), 0))/[1]Tables!$AT$4</f>
        <v>#REF!</v>
      </c>
      <c r="AR23" s="134" t="e" cm="1">
        <f t="array" aca="1" ref="AR23" ca="1">(SUMIFS(INDIRECT('[1]RA Output'!CV$1), rng_out_sel_sp_ind, $D23, rng_out_sel_excl_ind,$E23)
+ SUMIFS(INDIRECT('[1]RA Output'!CV$1), rng_out_sel_sp_ind, $D23, rng_out_sel_excl_ind,$F23, rng_out_sel_excl_yr_ind, "&gt;0")
+ IF([1]Tables!$C$16=[1]Tables!$CF$4, SUMIFS(INDIRECT('[1]RA Output'!CV$1), rng_out_sel_sp_ind, $D23, rng_out_sel_excl_ind,$F23, rng_out_sel_excl_yr_ind, ""), 0))/[1]Tables!$AT$4</f>
        <v>#REF!</v>
      </c>
      <c r="AS23" s="134" t="e" cm="1">
        <f t="array" aca="1" ref="AS23" ca="1">(SUMIFS(INDIRECT('[1]RA Output'!CW$1), rng_out_sel_sp_ind, $D23, rng_out_sel_excl_ind,$E23)
+ SUMIFS(INDIRECT('[1]RA Output'!CW$1), rng_out_sel_sp_ind, $D23, rng_out_sel_excl_ind,$F23, rng_out_sel_excl_yr_ind, "&gt;0")
+ IF([1]Tables!$C$16=[1]Tables!$CF$4, SUMIFS(INDIRECT('[1]RA Output'!CW$1), rng_out_sel_sp_ind, $D23, rng_out_sel_excl_ind,$F23, rng_out_sel_excl_yr_ind, ""), 0))/[1]Tables!$AT$4</f>
        <v>#REF!</v>
      </c>
      <c r="AT23" s="134" t="e" cm="1">
        <f t="array" aca="1" ref="AT23" ca="1">(SUMIFS(INDIRECT('[1]RA Output'!CX$1), rng_out_sel_sp_ind, $D23, rng_out_sel_excl_ind,$E23)
+ SUMIFS(INDIRECT('[1]RA Output'!CX$1), rng_out_sel_sp_ind, $D23, rng_out_sel_excl_ind,$F23, rng_out_sel_excl_yr_ind, "&gt;0")
+ IF([1]Tables!$C$16=[1]Tables!$CF$4, SUMIFS(INDIRECT('[1]RA Output'!CX$1), rng_out_sel_sp_ind, $D23, rng_out_sel_excl_ind,$F23, rng_out_sel_excl_yr_ind, ""), 0))/[1]Tables!$AT$4</f>
        <v>#REF!</v>
      </c>
      <c r="AU23" s="135" t="e" cm="1">
        <f t="array" aca="1" ref="AU23" ca="1">(SUMIFS(INDIRECT('[1]RA Output'!CY$1), rng_out_sel_sp_ind, $D23, rng_out_sel_excl_ind,$E23)
+ SUMIFS(INDIRECT('[1]RA Output'!CY$1), rng_out_sel_sp_ind, $D23, rng_out_sel_excl_ind,$F23, rng_out_sel_excl_yr_ind, "&gt;0")
+ IF([1]Tables!$C$16=[1]Tables!$CF$4, SUMIFS(INDIRECT('[1]RA Output'!CY$1), rng_out_sel_sp_ind, $D23, rng_out_sel_excl_ind,$F23, rng_out_sel_excl_yr_ind, ""), 0))/[1]Tables!$AT$4</f>
        <v>#REF!</v>
      </c>
      <c r="AV23" s="136">
        <f ca="1">IFERROR(AQ23/AV$61, 0)</f>
        <v>0</v>
      </c>
      <c r="AW23" s="137">
        <f ca="1">IFERROR(AR23/AW$61, 0)</f>
        <v>0</v>
      </c>
      <c r="AX23" s="137">
        <f ca="1">IFERROR(AS23/AX$61, 0)</f>
        <v>0</v>
      </c>
      <c r="AY23" s="137">
        <f ca="1">IFERROR(AT23/AY$61, 0)</f>
        <v>0</v>
      </c>
      <c r="AZ23" s="138">
        <f ca="1">IFERROR(AU23/AZ$61, 0)</f>
        <v>0</v>
      </c>
      <c r="BA23" s="137">
        <f ca="1">IFERROR(AQ23/BA$61, 0)</f>
        <v>0</v>
      </c>
      <c r="BB23" s="137">
        <f ca="1">IFERROR(AR23/BB$61, 0)</f>
        <v>0</v>
      </c>
      <c r="BC23" s="137">
        <f ca="1">IFERROR(AS23/BC$61, 0)</f>
        <v>0</v>
      </c>
      <c r="BD23" s="137">
        <f ca="1">IFERROR(AT23/BD$61, 0)</f>
        <v>0</v>
      </c>
      <c r="BE23" s="138">
        <f ca="1">IFERROR(AU23/BE$61, 0)</f>
        <v>0</v>
      </c>
      <c r="BG23" s="121" t="s">
        <v>17</v>
      </c>
      <c r="BH23" s="145" t="e">
        <f ca="1">AQ23</f>
        <v>#REF!</v>
      </c>
      <c r="BI23" s="146" t="e">
        <f t="shared" ca="1" si="3"/>
        <v>#REF!</v>
      </c>
      <c r="BJ23" s="146" t="e">
        <f t="shared" ca="1" si="3"/>
        <v>#REF!</v>
      </c>
      <c r="BK23" s="146" t="e">
        <f t="shared" ca="1" si="3"/>
        <v>#REF!</v>
      </c>
      <c r="BL23" s="147" t="e">
        <f t="shared" ca="1" si="3"/>
        <v>#REF!</v>
      </c>
      <c r="BM23" s="142">
        <f ca="1">IFERROR(BH23/BM$61, 0)</f>
        <v>0</v>
      </c>
      <c r="BN23" s="143">
        <f ca="1">IFERROR(BI23/BN$61, 0)</f>
        <v>0</v>
      </c>
      <c r="BO23" s="143">
        <f ca="1">IFERROR(BJ23/BO$61, 0)</f>
        <v>0</v>
      </c>
      <c r="BP23" s="143">
        <f ca="1">IFERROR(BK23/BP$61, 0)</f>
        <v>0</v>
      </c>
      <c r="BQ23" s="144">
        <f ca="1">IFERROR(BL23/BQ$61, 0)</f>
        <v>0</v>
      </c>
      <c r="BR23" s="143">
        <f ca="1">IFERROR(BH23/BR$61, 0)</f>
        <v>0</v>
      </c>
      <c r="BS23" s="143">
        <f ca="1">IFERROR(BI23/BS$61, 0)</f>
        <v>0</v>
      </c>
      <c r="BT23" s="143">
        <f ca="1">IFERROR(BJ23/BT$61, 0)</f>
        <v>0</v>
      </c>
      <c r="BU23" s="143">
        <f ca="1">IFERROR(BK23/BU$61, 0)</f>
        <v>0</v>
      </c>
      <c r="BV23" s="144">
        <f ca="1">IFERROR(BL23/BV$61, 0)</f>
        <v>0</v>
      </c>
      <c r="BX23" s="121" t="s">
        <v>17</v>
      </c>
      <c r="BY23" s="145" t="e">
        <f t="shared" ca="1" si="4"/>
        <v>#VALUE!</v>
      </c>
      <c r="BZ23" s="146" t="e">
        <f t="shared" ca="1" si="4"/>
        <v>#VALUE!</v>
      </c>
      <c r="CA23" s="146" t="e">
        <f t="shared" ca="1" si="4"/>
        <v>#VALUE!</v>
      </c>
      <c r="CB23" s="146" t="e">
        <f t="shared" ca="1" si="4"/>
        <v>#VALUE!</v>
      </c>
      <c r="CC23" s="147" t="e">
        <f t="shared" ca="1" si="4"/>
        <v>#VALUE!</v>
      </c>
      <c r="CD23" s="142">
        <f t="shared" ca="1" si="5"/>
        <v>0</v>
      </c>
      <c r="CE23" s="143">
        <f t="shared" ca="1" si="5"/>
        <v>0</v>
      </c>
      <c r="CF23" s="143">
        <f t="shared" ca="1" si="5"/>
        <v>0</v>
      </c>
      <c r="CG23" s="143">
        <f t="shared" ca="1" si="5"/>
        <v>0</v>
      </c>
      <c r="CH23" s="144">
        <f t="shared" ca="1" si="5"/>
        <v>0</v>
      </c>
      <c r="CI23" s="143">
        <f t="shared" ca="1" si="6"/>
        <v>0</v>
      </c>
      <c r="CJ23" s="143">
        <f t="shared" ca="1" si="6"/>
        <v>0</v>
      </c>
      <c r="CK23" s="143">
        <f t="shared" ca="1" si="6"/>
        <v>0</v>
      </c>
      <c r="CL23" s="143">
        <f t="shared" ca="1" si="6"/>
        <v>0</v>
      </c>
      <c r="CM23" s="144">
        <f t="shared" ca="1" si="6"/>
        <v>0</v>
      </c>
      <c r="DC23" s="148" cm="1">
        <f t="array" aca="1" ref="DC23" ca="1">IFERROR(BM23-BM23*BR70*(1-INDEX([1]Tables!$EA$4:$EE$60,MATCH([1]Tables!$C$22&amp;$BX23,[1]Tables!$EA$4:$EA$60,0),[1]Tables!$EE$1))*(1-DI23)/CD61, 0)</f>
        <v>0</v>
      </c>
      <c r="DD23" s="149" cm="1">
        <f t="array" aca="1" ref="DD23" ca="1">IFERROR(BN23-BN23*BS70*(1-INDEX([1]Tables!$EA$4:$EE$60,MATCH([1]Tables!$C$22&amp;$BX23,[1]Tables!$EA$4:$EA$60,0),[1]Tables!$EE$1))*(1-DJ23)/CE61, 0)</f>
        <v>0</v>
      </c>
      <c r="DE23" s="149" cm="1">
        <f t="array" aca="1" ref="DE23" ca="1">IFERROR(BO23-BO23*BT70*(1-INDEX([1]Tables!$EA$4:$EE$60,MATCH([1]Tables!$C$22&amp;$BX23,[1]Tables!$EA$4:$EA$60,0),[1]Tables!$EE$1))*(1-DK23)/CF61, 0)</f>
        <v>0</v>
      </c>
      <c r="DF23" s="149" cm="1">
        <f t="array" aca="1" ref="DF23" ca="1">IFERROR(BP23-BP23*BU70*(1-INDEX([1]Tables!$EA$4:$EE$60,MATCH([1]Tables!$C$22&amp;$BX23,[1]Tables!$EA$4:$EA$60,0),[1]Tables!$EE$1))*(1-DL23)/CG61, 0)</f>
        <v>0</v>
      </c>
      <c r="DG23" s="150" cm="1">
        <f t="array" aca="1" ref="DG23" ca="1">IFERROR(BQ23-BQ23*BV70*(1-INDEX([1]Tables!$EA$4:$EE$60,MATCH([1]Tables!$C$22&amp;$BX23,[1]Tables!$EA$4:$EA$60,0),[1]Tables!$EE$1))*(1-DM23)/CH61, 0)</f>
        <v>0</v>
      </c>
      <c r="DI23" s="151" cm="1">
        <f t="array" aca="1" ref="DI23" ca="1">IFERROR(((SUMPRODUCT((rng_out_sel_sp_ind = $D23)   * (rng_out_sel_excl_ind = $E23) * (rng_out_maf_post_yr1*rng_out_340B)) +
IF([1]Tables!$C$16=[1]Tables!$CF$4, SUMPRODUCT((rng_out_sel_sp_ind = $D23) * (rng_out_sel_excl_ind = $F23) * (rng_out_maf_post_yr1*rng_out_340B)), 0))/[1]Tables!$AT$4)/AQ23, 0)</f>
        <v>0</v>
      </c>
      <c r="DJ23" s="152" cm="1">
        <f t="array" aca="1" ref="DJ23" ca="1">IFERROR(((SUMPRODUCT((rng_out_sel_sp_ind = $D23)   * (rng_out_sel_excl_ind = $E23) * (rng_out_maf_post_yr2*rng_out_340B)) +
IF([1]Tables!$C$16=[1]Tables!$CF$4, SUMPRODUCT((rng_out_sel_sp_ind = $D23) * (rng_out_sel_excl_ind = $F23) * (rng_out_maf_post_yr2*rng_out_340B)), 0))/[1]Tables!$AT$4)/AR23, 0)</f>
        <v>0</v>
      </c>
      <c r="DK23" s="152" cm="1">
        <f t="array" aca="1" ref="DK23" ca="1">IFERROR(((SUMPRODUCT((rng_out_sel_sp_ind = $D23)   * (rng_out_sel_excl_ind = $E23) * (rng_out_maf_post_yr3*rng_out_340B)) +
IF([1]Tables!$C$16=[1]Tables!$CF$4, SUMPRODUCT((rng_out_sel_sp_ind = $D23) * (rng_out_sel_excl_ind = $F23) * (rng_out_maf_post_yr3*rng_out_340B)), 0))/[1]Tables!$AT$4)/AS23, 0)</f>
        <v>0</v>
      </c>
      <c r="DL23" s="152" cm="1">
        <f t="array" aca="1" ref="DL23" ca="1">IFERROR(((SUMPRODUCT((rng_out_sel_sp_ind = $D23)   * (rng_out_sel_excl_ind = $E23) * (rng_out_maf_post_yr4*rng_out_340B)) +
IF([1]Tables!$C$16=[1]Tables!$CF$4, SUMPRODUCT((rng_out_sel_sp_ind = $D23) * (rng_out_sel_excl_ind = $F23) * (rng_out_maf_post_yr4*rng_out_340B)), 0))/[1]Tables!$AT$4)/AT23, 0)</f>
        <v>0</v>
      </c>
      <c r="DM23" s="153" cm="1">
        <f t="array" aca="1" ref="DM23" ca="1">IFERROR(((SUMPRODUCT((rng_out_sel_sp_ind = $D23)   * (rng_out_sel_excl_ind = $E23) * (rng_out_maf_post_yr5*rng_out_340B)) +
IF([1]Tables!$C$16=[1]Tables!$CF$4, SUMPRODUCT((rng_out_sel_sp_ind = $D23) * (rng_out_sel_excl_ind = $F23) * (rng_out_maf_post_yr5*rng_out_340B)), 0))/[1]Tables!$AT$4)/AU23, 0)</f>
        <v>0</v>
      </c>
    </row>
    <row r="24" spans="2:117" ht="15" thickBot="1" x14ac:dyDescent="0.4">
      <c r="H24" s="154" t="s">
        <v>18</v>
      </c>
      <c r="I24" s="155" t="e">
        <f ca="1">SUM(I20:I23)</f>
        <v>#REF!</v>
      </c>
      <c r="J24" s="155" t="e">
        <f ca="1">SUM(J20:J23)</f>
        <v>#REF!</v>
      </c>
      <c r="K24" s="155" t="e">
        <f ca="1">SUM(K20:K23)</f>
        <v>#REF!</v>
      </c>
      <c r="L24" s="155" t="e">
        <f ca="1">SUM(L20:L23)</f>
        <v>#REF!</v>
      </c>
      <c r="M24" s="156" t="e">
        <f ca="1">SUM(M20:M23)</f>
        <v>#REF!</v>
      </c>
      <c r="N24" s="157">
        <f ca="1">IFERROR(I24/N$62, 0)</f>
        <v>0</v>
      </c>
      <c r="O24" s="157">
        <f ca="1">IFERROR(J24/O$62, 0)</f>
        <v>0</v>
      </c>
      <c r="P24" s="157">
        <f ca="1">IFERROR(K24/P$62, 0)</f>
        <v>0</v>
      </c>
      <c r="Q24" s="157">
        <f ca="1">IFERROR(L24/Q$62, 0)</f>
        <v>0</v>
      </c>
      <c r="R24" s="158">
        <f ca="1">IFERROR(M24/R$62, 0)</f>
        <v>0</v>
      </c>
      <c r="S24" s="157">
        <f ca="1">IFERROR(I24/S$62, 0)</f>
        <v>0</v>
      </c>
      <c r="T24" s="157">
        <f ca="1">IFERROR(J24/T$62, 0)</f>
        <v>0</v>
      </c>
      <c r="U24" s="157">
        <f ca="1">IFERROR(K24/U$62, 0)</f>
        <v>0</v>
      </c>
      <c r="V24" s="157">
        <f ca="1">IFERROR(L24/V$62, 0)</f>
        <v>0</v>
      </c>
      <c r="W24" s="158">
        <f ca="1">IFERROR(M24/W$62, 0)</f>
        <v>0</v>
      </c>
      <c r="Y24" s="159" t="s">
        <v>18</v>
      </c>
      <c r="Z24" s="160">
        <f ca="1">SUM(Z20:Z23)</f>
        <v>0</v>
      </c>
      <c r="AA24" s="161">
        <f ca="1">SUM(AA20:AA23)</f>
        <v>0</v>
      </c>
      <c r="AB24" s="161">
        <f ca="1">SUM(AB20:AB23)</f>
        <v>0</v>
      </c>
      <c r="AC24" s="161">
        <f ca="1">SUM(AC20:AC23)</f>
        <v>0</v>
      </c>
      <c r="AD24" s="162">
        <f ca="1">SUM(AD20:AD23)</f>
        <v>0</v>
      </c>
      <c r="AE24" s="163">
        <f ca="1">IFERROR(N24/[1]Tables!$AT$4, 0)</f>
        <v>0</v>
      </c>
      <c r="AF24" s="164">
        <f ca="1">IFERROR(O24/[1]Tables!$AT$4, 0)</f>
        <v>0</v>
      </c>
      <c r="AG24" s="164">
        <f ca="1">IFERROR(P24/[1]Tables!$AT$4, 0)</f>
        <v>0</v>
      </c>
      <c r="AH24" s="164">
        <f ca="1">IFERROR(Q24/[1]Tables!$AT$4, 0)</f>
        <v>0</v>
      </c>
      <c r="AI24" s="165">
        <f ca="1">IFERROR(R24/[1]Tables!$AT$4, 0)</f>
        <v>0</v>
      </c>
      <c r="AJ24" s="164">
        <f ca="1">IFERROR(S24/[1]Tables!$AT$4, 0)</f>
        <v>0</v>
      </c>
      <c r="AK24" s="164">
        <f ca="1">IFERROR(T24/[1]Tables!$AT$4, 0)</f>
        <v>0</v>
      </c>
      <c r="AL24" s="164">
        <f ca="1">IFERROR(U24/[1]Tables!$AT$4, 0)</f>
        <v>0</v>
      </c>
      <c r="AM24" s="164">
        <f ca="1">IFERROR(V24/[1]Tables!$AT$4, 0)</f>
        <v>0</v>
      </c>
      <c r="AN24" s="165">
        <f ca="1">IFERROR(W24/[1]Tables!$AT$4, 0)</f>
        <v>0</v>
      </c>
      <c r="AP24" s="166" t="s">
        <v>18</v>
      </c>
      <c r="AQ24" s="167" t="e">
        <f ca="1">SUM(AQ20:AQ23)</f>
        <v>#REF!</v>
      </c>
      <c r="AR24" s="134" t="e">
        <f ca="1">SUM(AR20:AR23)</f>
        <v>#REF!</v>
      </c>
      <c r="AS24" s="134" t="e">
        <f ca="1">SUM(AS20:AS23)</f>
        <v>#REF!</v>
      </c>
      <c r="AT24" s="134" t="e">
        <f ca="1">SUM(AT20:AT23)</f>
        <v>#REF!</v>
      </c>
      <c r="AU24" s="135" t="e">
        <f ca="1">SUM(AU20:AU23)</f>
        <v>#REF!</v>
      </c>
      <c r="AV24" s="168">
        <f ca="1">IFERROR(AQ24/AV$62, 0)</f>
        <v>0</v>
      </c>
      <c r="AW24" s="169">
        <f ca="1">IFERROR(AR24/AW$62, 0)</f>
        <v>0</v>
      </c>
      <c r="AX24" s="169">
        <f ca="1">IFERROR(AS24/AX$62, 0)</f>
        <v>0</v>
      </c>
      <c r="AY24" s="169">
        <f ca="1">IFERROR(AT24/AY$62, 0)</f>
        <v>0</v>
      </c>
      <c r="AZ24" s="170">
        <f ca="1">IFERROR(AU24/AZ$62, 0)</f>
        <v>0</v>
      </c>
      <c r="BA24" s="169">
        <f ca="1">IFERROR(AQ24/BA$62, 0)</f>
        <v>0</v>
      </c>
      <c r="BB24" s="169">
        <f ca="1">IFERROR(AR24/BB$62, 0)</f>
        <v>0</v>
      </c>
      <c r="BC24" s="169">
        <f ca="1">IFERROR(AS24/BC$62, 0)</f>
        <v>0</v>
      </c>
      <c r="BD24" s="169">
        <f ca="1">IFERROR(AT24/BD$62, 0)</f>
        <v>0</v>
      </c>
      <c r="BE24" s="170">
        <f ca="1">IFERROR(AU24/BE$62, 0)</f>
        <v>0</v>
      </c>
      <c r="BG24" s="171" t="s">
        <v>18</v>
      </c>
      <c r="BH24" s="172" t="e">
        <f ca="1">SUM(BH20:BH23)</f>
        <v>#REF!</v>
      </c>
      <c r="BI24" s="173" t="e">
        <f ca="1">SUM(BI20:BI23)</f>
        <v>#REF!</v>
      </c>
      <c r="BJ24" s="173" t="e">
        <f ca="1">SUM(BJ20:BJ23)</f>
        <v>#REF!</v>
      </c>
      <c r="BK24" s="173" t="e">
        <f ca="1">SUM(BK20:BK23)</f>
        <v>#REF!</v>
      </c>
      <c r="BL24" s="174" t="e">
        <f ca="1">SUM(BL20:BL23)</f>
        <v>#REF!</v>
      </c>
      <c r="BM24" s="175">
        <f ca="1">IFERROR(BH24/BM$62, 0)</f>
        <v>0</v>
      </c>
      <c r="BN24" s="176">
        <f ca="1">IFERROR(BI24/BN$62, 0)</f>
        <v>0</v>
      </c>
      <c r="BO24" s="176">
        <f ca="1">IFERROR(BJ24/BO$62, 0)</f>
        <v>0</v>
      </c>
      <c r="BP24" s="176">
        <f ca="1">IFERROR(BK24/BP$62, 0)</f>
        <v>0</v>
      </c>
      <c r="BQ24" s="177">
        <f ca="1">IFERROR(BL24/BQ$62, 0)</f>
        <v>0</v>
      </c>
      <c r="BR24" s="176">
        <f ca="1">IFERROR(BH24/BR$62, 0)</f>
        <v>0</v>
      </c>
      <c r="BS24" s="176">
        <f ca="1">IFERROR(BI24/BS$62, 0)</f>
        <v>0</v>
      </c>
      <c r="BT24" s="176">
        <f ca="1">IFERROR(BJ24/BT$62, 0)</f>
        <v>0</v>
      </c>
      <c r="BU24" s="176">
        <f ca="1">IFERROR(BK24/BU$62, 0)</f>
        <v>0</v>
      </c>
      <c r="BV24" s="177">
        <f ca="1">IFERROR(BL24/BV$62, 0)</f>
        <v>0</v>
      </c>
      <c r="BX24" s="171" t="s">
        <v>18</v>
      </c>
      <c r="BY24" s="172" t="e">
        <f ca="1">SUM(BY20:BY23)</f>
        <v>#VALUE!</v>
      </c>
      <c r="BZ24" s="173" t="e">
        <f ca="1">SUM(BZ20:BZ23)</f>
        <v>#VALUE!</v>
      </c>
      <c r="CA24" s="173" t="e">
        <f ca="1">SUM(CA20:CA23)</f>
        <v>#VALUE!</v>
      </c>
      <c r="CB24" s="173" t="e">
        <f ca="1">SUM(CB20:CB23)</f>
        <v>#VALUE!</v>
      </c>
      <c r="CC24" s="174" t="e">
        <f ca="1">SUM(CC20:CC23)</f>
        <v>#VALUE!</v>
      </c>
      <c r="CD24" s="175">
        <f ca="1">IFERROR(BY24/CD62, 0)</f>
        <v>0</v>
      </c>
      <c r="CE24" s="176">
        <f ca="1">IFERROR(BZ24/CE62, 0)</f>
        <v>0</v>
      </c>
      <c r="CF24" s="176">
        <f ca="1">IFERROR(CA24/CF62, 0)</f>
        <v>0</v>
      </c>
      <c r="CG24" s="176">
        <f ca="1">IFERROR(CB24/CG62, 0)</f>
        <v>0</v>
      </c>
      <c r="CH24" s="177">
        <f ca="1">IFERROR(CC24/CH62, 0)</f>
        <v>0</v>
      </c>
      <c r="CI24" s="176">
        <f t="shared" ca="1" si="6"/>
        <v>0</v>
      </c>
      <c r="CJ24" s="176">
        <f t="shared" ca="1" si="6"/>
        <v>0</v>
      </c>
      <c r="CK24" s="176">
        <f t="shared" ca="1" si="6"/>
        <v>0</v>
      </c>
      <c r="CL24" s="176">
        <f t="shared" ca="1" si="6"/>
        <v>0</v>
      </c>
      <c r="CM24" s="177">
        <f t="shared" ca="1" si="6"/>
        <v>0</v>
      </c>
    </row>
    <row r="25" spans="2:117" ht="15" thickBot="1" x14ac:dyDescent="0.4">
      <c r="AQ25" s="5"/>
      <c r="AR25" s="5"/>
      <c r="AS25" s="5"/>
      <c r="AT25" s="5"/>
      <c r="AU25" s="5"/>
    </row>
    <row r="26" spans="2:117" ht="15" thickBot="1" x14ac:dyDescent="0.4">
      <c r="I26" s="21" t="s">
        <v>20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3"/>
      <c r="Z26" s="24" t="s">
        <v>20</v>
      </c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6"/>
      <c r="AQ26" s="178" t="s">
        <v>20</v>
      </c>
      <c r="AR26" s="179"/>
      <c r="AS26" s="179"/>
      <c r="AT26" s="179"/>
      <c r="AU26" s="180"/>
      <c r="AV26" s="28"/>
      <c r="AW26" s="28"/>
      <c r="AX26" s="28"/>
      <c r="AY26" s="28"/>
      <c r="AZ26" s="28"/>
      <c r="BA26" s="28"/>
      <c r="BB26" s="28"/>
      <c r="BC26" s="28"/>
      <c r="BD26" s="28"/>
      <c r="BE26" s="30"/>
      <c r="BH26" s="31" t="s">
        <v>20</v>
      </c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3"/>
      <c r="BY26" s="34" t="s">
        <v>20</v>
      </c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6"/>
      <c r="DC26" s="34" t="s">
        <v>20</v>
      </c>
      <c r="DD26" s="35"/>
      <c r="DE26" s="35"/>
      <c r="DF26" s="35"/>
      <c r="DG26" s="36"/>
      <c r="DI26" s="34" t="s">
        <v>20</v>
      </c>
      <c r="DJ26" s="35"/>
      <c r="DK26" s="35"/>
      <c r="DL26" s="35"/>
      <c r="DM26" s="36"/>
    </row>
    <row r="27" spans="2:117" ht="15" thickBot="1" x14ac:dyDescent="0.4">
      <c r="H27" s="37"/>
      <c r="I27" s="38" t="s">
        <v>2</v>
      </c>
      <c r="J27" s="39"/>
      <c r="K27" s="39"/>
      <c r="L27" s="39"/>
      <c r="M27" s="40"/>
      <c r="N27" s="38" t="s">
        <v>3</v>
      </c>
      <c r="O27" s="39"/>
      <c r="P27" s="39"/>
      <c r="Q27" s="39"/>
      <c r="R27" s="40"/>
      <c r="S27" s="38" t="s">
        <v>4</v>
      </c>
      <c r="T27" s="39"/>
      <c r="U27" s="39"/>
      <c r="V27" s="39"/>
      <c r="W27" s="40"/>
      <c r="Z27" s="41" t="s">
        <v>2</v>
      </c>
      <c r="AA27" s="42"/>
      <c r="AB27" s="42"/>
      <c r="AC27" s="42"/>
      <c r="AD27" s="43"/>
      <c r="AE27" s="41" t="s">
        <v>3</v>
      </c>
      <c r="AF27" s="42"/>
      <c r="AG27" s="42"/>
      <c r="AH27" s="42"/>
      <c r="AI27" s="43"/>
      <c r="AJ27" s="41" t="s">
        <v>4</v>
      </c>
      <c r="AK27" s="42"/>
      <c r="AL27" s="42"/>
      <c r="AM27" s="42"/>
      <c r="AN27" s="43"/>
      <c r="AQ27" s="181" t="s">
        <v>2</v>
      </c>
      <c r="AR27" s="182"/>
      <c r="AS27" s="182"/>
      <c r="AT27" s="182"/>
      <c r="AU27" s="183"/>
      <c r="AV27" s="44" t="s">
        <v>3</v>
      </c>
      <c r="AW27" s="45"/>
      <c r="AX27" s="45"/>
      <c r="AY27" s="45"/>
      <c r="AZ27" s="46"/>
      <c r="BA27" s="45" t="s">
        <v>4</v>
      </c>
      <c r="BB27" s="45"/>
      <c r="BC27" s="45"/>
      <c r="BD27" s="45"/>
      <c r="BE27" s="46"/>
      <c r="BH27" s="47" t="s">
        <v>2</v>
      </c>
      <c r="BI27" s="48"/>
      <c r="BJ27" s="48"/>
      <c r="BK27" s="48"/>
      <c r="BL27" s="49"/>
      <c r="BM27" s="47" t="s">
        <v>3</v>
      </c>
      <c r="BN27" s="48"/>
      <c r="BO27" s="48"/>
      <c r="BP27" s="48"/>
      <c r="BQ27" s="49"/>
      <c r="BR27" s="50" t="s">
        <v>4</v>
      </c>
      <c r="BS27" s="50"/>
      <c r="BT27" s="50"/>
      <c r="BU27" s="50"/>
      <c r="BV27" s="51"/>
      <c r="BY27" s="47" t="s">
        <v>2</v>
      </c>
      <c r="BZ27" s="48"/>
      <c r="CA27" s="48"/>
      <c r="CB27" s="48"/>
      <c r="CC27" s="49"/>
      <c r="CD27" s="47" t="s">
        <v>3</v>
      </c>
      <c r="CE27" s="48"/>
      <c r="CF27" s="48"/>
      <c r="CG27" s="48"/>
      <c r="CH27" s="49"/>
      <c r="CI27" s="50" t="s">
        <v>4</v>
      </c>
      <c r="CJ27" s="50"/>
      <c r="CK27" s="50"/>
      <c r="CL27" s="50"/>
      <c r="CM27" s="51"/>
      <c r="DC27" s="52" t="s">
        <v>5</v>
      </c>
      <c r="DD27" s="50"/>
      <c r="DE27" s="50"/>
      <c r="DF27" s="50"/>
      <c r="DG27" s="51"/>
      <c r="DI27" s="52" t="s">
        <v>6</v>
      </c>
      <c r="DJ27" s="50"/>
      <c r="DK27" s="50"/>
      <c r="DL27" s="50"/>
      <c r="DM27" s="51"/>
    </row>
    <row r="28" spans="2:117" ht="15" thickBot="1" x14ac:dyDescent="0.4">
      <c r="F28" s="53"/>
      <c r="H28" s="55"/>
      <c r="I28" s="56" t="str">
        <f>[1]Tables!$AA$4</f>
        <v>07/27 - 06/28</v>
      </c>
      <c r="J28" s="55" t="str">
        <f>[1]Tables!$AA$5</f>
        <v>07/28 - 06/29</v>
      </c>
      <c r="K28" s="55" t="str">
        <f>[1]Tables!$AA$6</f>
        <v>07/29 - 06/30</v>
      </c>
      <c r="L28" s="55" t="str">
        <f>[1]Tables!$AA$7</f>
        <v>07/30 - 06/31</v>
      </c>
      <c r="M28" s="57" t="str">
        <f>[1]Tables!$AA$8</f>
        <v>07/31 - 06/32</v>
      </c>
      <c r="N28" s="56" t="str">
        <f>[1]Tables!$AA$4</f>
        <v>07/27 - 06/28</v>
      </c>
      <c r="O28" s="55" t="str">
        <f>[1]Tables!$AA$5</f>
        <v>07/28 - 06/29</v>
      </c>
      <c r="P28" s="55" t="str">
        <f>[1]Tables!$AA$6</f>
        <v>07/29 - 06/30</v>
      </c>
      <c r="Q28" s="55" t="str">
        <f>[1]Tables!$AA$7</f>
        <v>07/30 - 06/31</v>
      </c>
      <c r="R28" s="57" t="str">
        <f>[1]Tables!$AA$8</f>
        <v>07/31 - 06/32</v>
      </c>
      <c r="S28" s="56" t="str">
        <f>[1]Tables!$AA$4</f>
        <v>07/27 - 06/28</v>
      </c>
      <c r="T28" s="55" t="str">
        <f>[1]Tables!$AA$5</f>
        <v>07/28 - 06/29</v>
      </c>
      <c r="U28" s="55" t="str">
        <f>[1]Tables!$AA$6</f>
        <v>07/29 - 06/30</v>
      </c>
      <c r="V28" s="55" t="str">
        <f>[1]Tables!$AA$7</f>
        <v>07/30 - 06/31</v>
      </c>
      <c r="W28" s="57" t="str">
        <f>[1]Tables!$AA$8</f>
        <v>07/31 - 06/32</v>
      </c>
      <c r="Y28" s="58"/>
      <c r="Z28" s="59" t="str">
        <f>[1]Tables!$AA$4</f>
        <v>07/27 - 06/28</v>
      </c>
      <c r="AA28" s="60" t="str">
        <f>[1]Tables!$AA$5</f>
        <v>07/28 - 06/29</v>
      </c>
      <c r="AB28" s="60" t="str">
        <f>[1]Tables!$AA$6</f>
        <v>07/29 - 06/30</v>
      </c>
      <c r="AC28" s="60" t="str">
        <f>[1]Tables!$AA$7</f>
        <v>07/30 - 06/31</v>
      </c>
      <c r="AD28" s="61" t="str">
        <f>[1]Tables!$AA$8</f>
        <v>07/31 - 06/32</v>
      </c>
      <c r="AE28" s="59" t="str">
        <f>[1]Tables!$AA$4</f>
        <v>07/27 - 06/28</v>
      </c>
      <c r="AF28" s="60" t="str">
        <f>[1]Tables!$AA$5</f>
        <v>07/28 - 06/29</v>
      </c>
      <c r="AG28" s="60" t="str">
        <f>[1]Tables!$AA$6</f>
        <v>07/29 - 06/30</v>
      </c>
      <c r="AH28" s="60" t="str">
        <f>[1]Tables!$AA$7</f>
        <v>07/30 - 06/31</v>
      </c>
      <c r="AI28" s="61" t="str">
        <f>[1]Tables!$AA$8</f>
        <v>07/31 - 06/32</v>
      </c>
      <c r="AJ28" s="59" t="str">
        <f>[1]Tables!$AA$4</f>
        <v>07/27 - 06/28</v>
      </c>
      <c r="AK28" s="60" t="str">
        <f>[1]Tables!$AA$5</f>
        <v>07/28 - 06/29</v>
      </c>
      <c r="AL28" s="60" t="str">
        <f>[1]Tables!$AA$6</f>
        <v>07/29 - 06/30</v>
      </c>
      <c r="AM28" s="60" t="str">
        <f>[1]Tables!$AA$7</f>
        <v>07/30 - 06/31</v>
      </c>
      <c r="AN28" s="61" t="str">
        <f>[1]Tables!$AA$8</f>
        <v>07/31 - 06/32</v>
      </c>
      <c r="AP28" s="58"/>
      <c r="AQ28" s="184" t="str">
        <f>[1]Tables!$AA$4</f>
        <v>07/27 - 06/28</v>
      </c>
      <c r="AR28" s="185" t="str">
        <f>[1]Tables!$AA$5</f>
        <v>07/28 - 06/29</v>
      </c>
      <c r="AS28" s="185" t="str">
        <f>[1]Tables!$AA$6</f>
        <v>07/29 - 06/30</v>
      </c>
      <c r="AT28" s="185" t="str">
        <f>[1]Tables!$AA$7</f>
        <v>07/30 - 06/31</v>
      </c>
      <c r="AU28" s="186" t="str">
        <f>[1]Tables!$AA$8</f>
        <v>07/31 - 06/32</v>
      </c>
      <c r="AV28" s="62" t="str">
        <f>[1]Tables!$AA$4</f>
        <v>07/27 - 06/28</v>
      </c>
      <c r="AW28" s="63" t="str">
        <f>[1]Tables!$AA$5</f>
        <v>07/28 - 06/29</v>
      </c>
      <c r="AX28" s="63" t="str">
        <f>[1]Tables!$AA$6</f>
        <v>07/29 - 06/30</v>
      </c>
      <c r="AY28" s="63" t="str">
        <f>[1]Tables!$AA$7</f>
        <v>07/30 - 06/31</v>
      </c>
      <c r="AZ28" s="64" t="str">
        <f>[1]Tables!$AA$8</f>
        <v>07/31 - 06/32</v>
      </c>
      <c r="BA28" s="63" t="str">
        <f>[1]Tables!$AA$4</f>
        <v>07/27 - 06/28</v>
      </c>
      <c r="BB28" s="63" t="str">
        <f>[1]Tables!$AA$5</f>
        <v>07/28 - 06/29</v>
      </c>
      <c r="BC28" s="63" t="str">
        <f>[1]Tables!$AA$6</f>
        <v>07/29 - 06/30</v>
      </c>
      <c r="BD28" s="63" t="str">
        <f>[1]Tables!$AA$7</f>
        <v>07/30 - 06/31</v>
      </c>
      <c r="BE28" s="64" t="str">
        <f>[1]Tables!$AA$8</f>
        <v>07/31 - 06/32</v>
      </c>
      <c r="BG28" s="58"/>
      <c r="BH28" s="65" t="str">
        <f>[1]Tables!$AA$4</f>
        <v>07/27 - 06/28</v>
      </c>
      <c r="BI28" s="66" t="str">
        <f>[1]Tables!$AA$5</f>
        <v>07/28 - 06/29</v>
      </c>
      <c r="BJ28" s="66" t="str">
        <f>[1]Tables!$AA$6</f>
        <v>07/29 - 06/30</v>
      </c>
      <c r="BK28" s="66" t="str">
        <f>[1]Tables!$AA$7</f>
        <v>07/30 - 06/31</v>
      </c>
      <c r="BL28" s="67" t="str">
        <f>[1]Tables!$AA$8</f>
        <v>07/31 - 06/32</v>
      </c>
      <c r="BM28" s="65" t="str">
        <f>[1]Tables!$AA$4</f>
        <v>07/27 - 06/28</v>
      </c>
      <c r="BN28" s="66" t="str">
        <f>[1]Tables!$AA$5</f>
        <v>07/28 - 06/29</v>
      </c>
      <c r="BO28" s="66" t="str">
        <f>[1]Tables!$AA$6</f>
        <v>07/29 - 06/30</v>
      </c>
      <c r="BP28" s="66" t="str">
        <f>[1]Tables!$AA$7</f>
        <v>07/30 - 06/31</v>
      </c>
      <c r="BQ28" s="67" t="str">
        <f>[1]Tables!$AA$8</f>
        <v>07/31 - 06/32</v>
      </c>
      <c r="BR28" s="66" t="str">
        <f>[1]Tables!$AA$4</f>
        <v>07/27 - 06/28</v>
      </c>
      <c r="BS28" s="66" t="str">
        <f>[1]Tables!$AA$5</f>
        <v>07/28 - 06/29</v>
      </c>
      <c r="BT28" s="66" t="str">
        <f>[1]Tables!$AA$6</f>
        <v>07/29 - 06/30</v>
      </c>
      <c r="BU28" s="66" t="str">
        <f>[1]Tables!$AA$7</f>
        <v>07/30 - 06/31</v>
      </c>
      <c r="BV28" s="67" t="str">
        <f>[1]Tables!$AA$8</f>
        <v>07/31 - 06/32</v>
      </c>
      <c r="BX28" s="58"/>
      <c r="BY28" s="65" t="str">
        <f>[1]Tables!$AA$4</f>
        <v>07/27 - 06/28</v>
      </c>
      <c r="BZ28" s="66" t="str">
        <f>[1]Tables!$AA$5</f>
        <v>07/28 - 06/29</v>
      </c>
      <c r="CA28" s="66" t="str">
        <f>[1]Tables!$AA$6</f>
        <v>07/29 - 06/30</v>
      </c>
      <c r="CB28" s="66" t="str">
        <f>[1]Tables!$AA$7</f>
        <v>07/30 - 06/31</v>
      </c>
      <c r="CC28" s="67" t="str">
        <f>[1]Tables!$AA$8</f>
        <v>07/31 - 06/32</v>
      </c>
      <c r="CD28" s="65" t="str">
        <f>[1]Tables!$AA$4</f>
        <v>07/27 - 06/28</v>
      </c>
      <c r="CE28" s="66" t="str">
        <f>[1]Tables!$AA$5</f>
        <v>07/28 - 06/29</v>
      </c>
      <c r="CF28" s="66" t="str">
        <f>[1]Tables!$AA$6</f>
        <v>07/29 - 06/30</v>
      </c>
      <c r="CG28" s="66" t="str">
        <f>[1]Tables!$AA$7</f>
        <v>07/30 - 06/31</v>
      </c>
      <c r="CH28" s="67" t="str">
        <f>[1]Tables!$AA$8</f>
        <v>07/31 - 06/32</v>
      </c>
      <c r="CI28" s="66" t="str">
        <f>[1]Tables!$AA$4</f>
        <v>07/27 - 06/28</v>
      </c>
      <c r="CJ28" s="66" t="str">
        <f>[1]Tables!$AA$5</f>
        <v>07/28 - 06/29</v>
      </c>
      <c r="CK28" s="66" t="str">
        <f>[1]Tables!$AA$6</f>
        <v>07/29 - 06/30</v>
      </c>
      <c r="CL28" s="66" t="str">
        <f>[1]Tables!$AA$7</f>
        <v>07/30 - 06/31</v>
      </c>
      <c r="CM28" s="67" t="str">
        <f>[1]Tables!$AA$8</f>
        <v>07/31 - 06/32</v>
      </c>
      <c r="DC28" s="65" t="str">
        <f>[1]Tables!$AA$4</f>
        <v>07/27 - 06/28</v>
      </c>
      <c r="DD28" s="66" t="str">
        <f>[1]Tables!$AA$5</f>
        <v>07/28 - 06/29</v>
      </c>
      <c r="DE28" s="66" t="str">
        <f>[1]Tables!$AA$6</f>
        <v>07/29 - 06/30</v>
      </c>
      <c r="DF28" s="66" t="str">
        <f>[1]Tables!$AA$7</f>
        <v>07/30 - 06/31</v>
      </c>
      <c r="DG28" s="67" t="str">
        <f>[1]Tables!$AA$8</f>
        <v>07/31 - 06/32</v>
      </c>
      <c r="DI28" s="65" t="str">
        <f>[1]Tables!$AA$4</f>
        <v>07/27 - 06/28</v>
      </c>
      <c r="DJ28" s="66" t="str">
        <f>[1]Tables!$AA$5</f>
        <v>07/28 - 06/29</v>
      </c>
      <c r="DK28" s="66" t="str">
        <f>[1]Tables!$AA$6</f>
        <v>07/29 - 06/30</v>
      </c>
      <c r="DL28" s="66" t="str">
        <f>[1]Tables!$AA$7</f>
        <v>07/30 - 06/31</v>
      </c>
      <c r="DM28" s="67" t="str">
        <f>[1]Tables!$AA$8</f>
        <v>07/31 - 06/32</v>
      </c>
    </row>
    <row r="29" spans="2:117" x14ac:dyDescent="0.35">
      <c r="B29" s="68" t="s">
        <v>11</v>
      </c>
      <c r="C29" s="69">
        <v>30</v>
      </c>
      <c r="D29" s="69" t="s">
        <v>12</v>
      </c>
      <c r="E29" s="68" t="s">
        <v>12</v>
      </c>
      <c r="F29" s="70" t="s">
        <v>13</v>
      </c>
      <c r="H29" s="71" t="s">
        <v>14</v>
      </c>
      <c r="I29" s="72" t="e" cm="1">
        <f t="array" aca="1" ref="I29" ca="1">SUMIFS(INDIRECT('[1]RA Output'!BZ$1), rng_out_mail_ind, $B29, rng_out_ds, $C29, rng_out_sel_sp_ind, $D29, rng_out_sel_excl_ind,$E29)
+ SUMIFS(INDIRECT('[1]RA Output'!BZ$1), rng_out_mail_ind, $B29, rng_out_ds, $C29, rng_out_sel_sp_ind, $D29, rng_out_sel_excl_ind,$F29, rng_out_sel_excl_yr_ind, "&gt;0", rng_out_sel_excl_ind,$F29)
+ IF([1]Tables!$C$16=[1]Tables!$CF$4, SUMIFS(INDIRECT('[1]RA Output'!BZ$1), rng_out_mail_ind, $B29, rng_out_ds, $C29, rng_out_sel_sp_ind, $D29, rng_out_sel_excl_ind,$F29,rng_out_sel_excl_yr_ind, ""), 0)</f>
        <v>#REF!</v>
      </c>
      <c r="J29" s="5" t="e" cm="1">
        <f t="array" aca="1" ref="J29" ca="1">SUMIFS(INDIRECT('[1]RA Output'!CA$1), rng_out_mail_ind, $B29, rng_out_ds, $C29, rng_out_sel_sp_ind, $D29, rng_out_sel_excl_ind,$E29)
+ SUMIFS(INDIRECT('[1]RA Output'!CA$1), rng_out_mail_ind, $B29, rng_out_ds, $C29, rng_out_sel_sp_ind, $D29, rng_out_sel_excl_ind,$F29, rng_out_sel_excl_yr_ind, "&gt;0", rng_out_sel_excl_ind,$F29)
+ IF([1]Tables!$C$16=[1]Tables!$CF$4, SUMIFS(INDIRECT('[1]RA Output'!CA$1), rng_out_mail_ind, $B29, rng_out_ds, $C29, rng_out_sel_sp_ind, $D29, rng_out_sel_excl_ind,$F29,rng_out_sel_excl_yr_ind, ""), 0)</f>
        <v>#REF!</v>
      </c>
      <c r="K29" s="5" t="e" cm="1">
        <f t="array" aca="1" ref="K29" ca="1">SUMIFS(INDIRECT('[1]RA Output'!CB$1), rng_out_mail_ind, $B29, rng_out_ds, $C29, rng_out_sel_sp_ind, $D29, rng_out_sel_excl_ind,$E29)
+ SUMIFS(INDIRECT('[1]RA Output'!CB$1), rng_out_mail_ind, $B29, rng_out_ds, $C29, rng_out_sel_sp_ind, $D29, rng_out_sel_excl_ind,$F29, rng_out_sel_excl_yr_ind, "&gt;0", rng_out_sel_excl_ind,$F29)
+ IF([1]Tables!$C$16=[1]Tables!$CF$4, SUMIFS(INDIRECT('[1]RA Output'!CB$1), rng_out_mail_ind, $B29, rng_out_ds, $C29, rng_out_sel_sp_ind, $D29, rng_out_sel_excl_ind,$F29,rng_out_sel_excl_yr_ind, ""), 0)</f>
        <v>#REF!</v>
      </c>
      <c r="L29" s="5" t="e" cm="1">
        <f t="array" aca="1" ref="L29" ca="1">SUMIFS(INDIRECT('[1]RA Output'!CC$1), rng_out_mail_ind, $B29, rng_out_ds, $C29, rng_out_sel_sp_ind, $D29, rng_out_sel_excl_ind,$E29)
+ SUMIFS(INDIRECT('[1]RA Output'!CC$1), rng_out_mail_ind, $B29, rng_out_ds, $C29, rng_out_sel_sp_ind, $D29, rng_out_sel_excl_ind,$F29, rng_out_sel_excl_yr_ind, "&gt;0", rng_out_sel_excl_ind,$F29)
+ IF([1]Tables!$C$16=[1]Tables!$CF$4, SUMIFS(INDIRECT('[1]RA Output'!CC$1), rng_out_mail_ind, $B29, rng_out_ds, $C29, rng_out_sel_sp_ind, $D29, rng_out_sel_excl_ind,$F29,rng_out_sel_excl_yr_ind, ""), 0)</f>
        <v>#REF!</v>
      </c>
      <c r="M29" s="73" t="e" cm="1">
        <f t="array" aca="1" ref="M29" ca="1">SUMIFS(INDIRECT('[1]RA Output'!CD$1), rng_out_mail_ind, $B29, rng_out_ds, $C29, rng_out_sel_sp_ind, $D29, rng_out_sel_excl_ind,$E29)
+ SUMIFS(INDIRECT('[1]RA Output'!CD$1), rng_out_mail_ind, $B29, rng_out_ds, $C29, rng_out_sel_sp_ind, $D29, rng_out_sel_excl_ind,$F29, rng_out_sel_excl_yr_ind, "&gt;0", rng_out_sel_excl_ind,$F29)
+ IF([1]Tables!$C$16=[1]Tables!$CF$4, SUMIFS(INDIRECT('[1]RA Output'!CD$1), rng_out_mail_ind, $B29, rng_out_ds, $C29, rng_out_sel_sp_ind, $D29, rng_out_sel_excl_ind,$F29,rng_out_sel_excl_yr_ind, ""), 0)</f>
        <v>#REF!</v>
      </c>
      <c r="N29" s="74">
        <f ca="1">IFERROR(I29/N$58, 0)</f>
        <v>0</v>
      </c>
      <c r="O29" s="75">
        <f ca="1">IFERROR(J29/O$58, 0)</f>
        <v>0</v>
      </c>
      <c r="P29" s="75">
        <f ca="1">IFERROR(K29/P$58, 0)</f>
        <v>0</v>
      </c>
      <c r="Q29" s="75">
        <f ca="1">IFERROR(L29/Q$58, 0)</f>
        <v>0</v>
      </c>
      <c r="R29" s="76">
        <f ca="1">IFERROR(M29/R$58, 0)</f>
        <v>0</v>
      </c>
      <c r="S29" s="74">
        <f ca="1">IFERROR(I29/S$58, 0)</f>
        <v>0</v>
      </c>
      <c r="T29" s="75">
        <f ca="1">IFERROR(J29/T$58, 0)</f>
        <v>0</v>
      </c>
      <c r="U29" s="75">
        <f ca="1">IFERROR(K29/U$58, 0)</f>
        <v>0</v>
      </c>
      <c r="V29" s="75">
        <f ca="1">IFERROR(L29/V$58, 0)</f>
        <v>0</v>
      </c>
      <c r="W29" s="76">
        <f ca="1">IFERROR(M29/W$58, 0)</f>
        <v>0</v>
      </c>
      <c r="Y29" s="77" t="s">
        <v>14</v>
      </c>
      <c r="Z29" s="78">
        <f ca="1">IFERROR(I29/[1]Tables!$AT$4, 0)</f>
        <v>0</v>
      </c>
      <c r="AA29" s="79">
        <f ca="1">IFERROR(J29/[1]Tables!$AT$4, 0)</f>
        <v>0</v>
      </c>
      <c r="AB29" s="79">
        <f ca="1">IFERROR(K29/[1]Tables!$AT$4, 0)</f>
        <v>0</v>
      </c>
      <c r="AC29" s="79">
        <f ca="1">IFERROR(L29/[1]Tables!$AT$4, 0)</f>
        <v>0</v>
      </c>
      <c r="AD29" s="80">
        <f ca="1">IFERROR(M29/[1]Tables!$AT$4, 0)</f>
        <v>0</v>
      </c>
      <c r="AE29" s="81">
        <f ca="1">IFERROR(N29/[1]Tables!$AT$4, 0)</f>
        <v>0</v>
      </c>
      <c r="AF29" s="75">
        <f ca="1">IFERROR(O29/[1]Tables!$AT$4, 0)</f>
        <v>0</v>
      </c>
      <c r="AG29" s="75">
        <f ca="1">IFERROR(P29/[1]Tables!$AT$4, 0)</f>
        <v>0</v>
      </c>
      <c r="AH29" s="75">
        <f ca="1">IFERROR(Q29/[1]Tables!$AT$4, 0)</f>
        <v>0</v>
      </c>
      <c r="AI29" s="82">
        <f ca="1">IFERROR(R29/[1]Tables!$AT$4, 0)</f>
        <v>0</v>
      </c>
      <c r="AJ29" s="81">
        <f ca="1">IFERROR(S29/[1]Tables!$AT$4, 0)</f>
        <v>0</v>
      </c>
      <c r="AK29" s="75">
        <f ca="1">IFERROR(T29/[1]Tables!$AT$4, 0)</f>
        <v>0</v>
      </c>
      <c r="AL29" s="75">
        <f ca="1">IFERROR(U29/[1]Tables!$AT$4, 0)</f>
        <v>0</v>
      </c>
      <c r="AM29" s="75">
        <f ca="1">IFERROR(V29/[1]Tables!$AT$4, 0)</f>
        <v>0</v>
      </c>
      <c r="AN29" s="82">
        <f ca="1">IFERROR(W29/[1]Tables!$AT$4, 0)</f>
        <v>0</v>
      </c>
      <c r="AP29" s="83" t="s">
        <v>14</v>
      </c>
      <c r="AQ29" s="84" t="e" cm="1">
        <f t="array" aca="1" ref="AQ29" ca="1">(SUMIFS(INDIRECT('[1]RA Output'!CZ$1), rng_out_mail_ind, $B29, rng_out_ds, $C29, rng_out_sel_sp_ind, $D29, rng_out_sel_excl_ind,$E29)
+ SUMIFS(INDIRECT('[1]RA Output'!CZ$1), rng_out_mail_ind, $B29, rng_out_ds, $C29, rng_out_sel_sp_ind, $D29, rng_out_sel_excl_ind,$F29, rng_out_sel_excl_yr_ind, "&gt;0", rng_out_sel_excl_ind,$F29)
+ IF([1]Tables!$C$16=[1]Tables!$CF$4, SUMIFS(INDIRECT('[1]RA Output'!CZ$1), rng_out_mail_ind, $B29, rng_out_ds, $C29, rng_out_sel_sp_ind, $D29, rng_out_sel_excl_ind,$F29,rng_out_sel_excl_yr_ind, ""), 0))/[1]Tables!$AT$4</f>
        <v>#REF!</v>
      </c>
      <c r="AR29" s="5" t="e" cm="1">
        <f t="array" aca="1" ref="AR29" ca="1">(SUMIFS(INDIRECT('[1]RA Output'!DA$1), rng_out_mail_ind, $B29, rng_out_ds, $C29, rng_out_sel_sp_ind, $D29, rng_out_sel_excl_ind,$E29)
+ SUMIFS(INDIRECT('[1]RA Output'!DA$1), rng_out_mail_ind, $B29, rng_out_ds, $C29, rng_out_sel_sp_ind, $D29, rng_out_sel_excl_ind,$F29, rng_out_sel_excl_yr_ind, "&gt;0", rng_out_sel_excl_ind,$F29)
+ IF([1]Tables!$C$16=[1]Tables!$CF$4, SUMIFS(INDIRECT('[1]RA Output'!DA$1), rng_out_mail_ind, $B29, rng_out_ds, $C29, rng_out_sel_sp_ind, $D29, rng_out_sel_excl_ind,$F29,rng_out_sel_excl_yr_ind, ""), 0))/[1]Tables!$AT$4</f>
        <v>#REF!</v>
      </c>
      <c r="AS29" s="5" t="e" cm="1">
        <f t="array" aca="1" ref="AS29" ca="1">(SUMIFS(INDIRECT('[1]RA Output'!DB$1), rng_out_mail_ind, $B29, rng_out_ds, $C29, rng_out_sel_sp_ind, $D29, rng_out_sel_excl_ind,$E29)
+ SUMIFS(INDIRECT('[1]RA Output'!DB$1), rng_out_mail_ind, $B29, rng_out_ds, $C29, rng_out_sel_sp_ind, $D29, rng_out_sel_excl_ind,$F29, rng_out_sel_excl_yr_ind, "&gt;0", rng_out_sel_excl_ind,$F29)
+ IF([1]Tables!$C$16=[1]Tables!$CF$4, SUMIFS(INDIRECT('[1]RA Output'!DB$1), rng_out_mail_ind, $B29, rng_out_ds, $C29, rng_out_sel_sp_ind, $D29, rng_out_sel_excl_ind,$F29,rng_out_sel_excl_yr_ind, ""), 0))/[1]Tables!$AT$4</f>
        <v>#REF!</v>
      </c>
      <c r="AT29" s="5" t="e" cm="1">
        <f t="array" aca="1" ref="AT29" ca="1">(SUMIFS(INDIRECT('[1]RA Output'!DC$1), rng_out_mail_ind, $B29, rng_out_ds, $C29, rng_out_sel_sp_ind, $D29, rng_out_sel_excl_ind,$E29)
+ SUMIFS(INDIRECT('[1]RA Output'!DC$1), rng_out_mail_ind, $B29, rng_out_ds, $C29, rng_out_sel_sp_ind, $D29, rng_out_sel_excl_ind,$F29, rng_out_sel_excl_yr_ind, "&gt;0", rng_out_sel_excl_ind,$F29)
+ IF([1]Tables!$C$16=[1]Tables!$CF$4, SUMIFS(INDIRECT('[1]RA Output'!DC$1), rng_out_mail_ind, $B29, rng_out_ds, $C29, rng_out_sel_sp_ind, $D29, rng_out_sel_excl_ind,$F29,rng_out_sel_excl_yr_ind, ""), 0))/[1]Tables!$AT$4</f>
        <v>#REF!</v>
      </c>
      <c r="AU29" s="85" t="e" cm="1">
        <f t="array" aca="1" ref="AU29" ca="1">(SUMIFS(INDIRECT('[1]RA Output'!DD$1), rng_out_mail_ind, $B29, rng_out_ds, $C29, rng_out_sel_sp_ind, $D29, rng_out_sel_excl_ind,$E29)
+ SUMIFS(INDIRECT('[1]RA Output'!DD$1), rng_out_mail_ind, $B29, rng_out_ds, $C29, rng_out_sel_sp_ind, $D29, rng_out_sel_excl_ind,$F29, rng_out_sel_excl_yr_ind, "&gt;0", rng_out_sel_excl_ind,$F29)
+ IF([1]Tables!$C$16=[1]Tables!$CF$4, SUMIFS(INDIRECT('[1]RA Output'!DD$1), rng_out_mail_ind, $B29, rng_out_ds, $C29, rng_out_sel_sp_ind, $D29, rng_out_sel_excl_ind,$F29,rng_out_sel_excl_yr_ind, ""), 0))/[1]Tables!$AT$4</f>
        <v>#REF!</v>
      </c>
      <c r="AV29" s="86">
        <f ca="1">IFERROR(AQ29/AV$58, 0)</f>
        <v>0</v>
      </c>
      <c r="AW29" s="75">
        <f ca="1">IFERROR(AR29/AW$58, 0)</f>
        <v>0</v>
      </c>
      <c r="AX29" s="75">
        <f ca="1">IFERROR(AS29/AX$58, 0)</f>
        <v>0</v>
      </c>
      <c r="AY29" s="75">
        <f ca="1">IFERROR(AT29/AY$58, 0)</f>
        <v>0</v>
      </c>
      <c r="AZ29" s="87">
        <f ca="1">IFERROR(AU29/AZ$58, 0)</f>
        <v>0</v>
      </c>
      <c r="BA29" s="75">
        <f ca="1">IFERROR(AQ29/BA$58, 0)</f>
        <v>0</v>
      </c>
      <c r="BB29" s="75">
        <f ca="1">IFERROR(AR29/BB$58, 0)</f>
        <v>0</v>
      </c>
      <c r="BC29" s="75">
        <f ca="1">IFERROR(AS29/BC$58, 0)</f>
        <v>0</v>
      </c>
      <c r="BD29" s="75">
        <f ca="1">IFERROR(AT29/BD$58, 0)</f>
        <v>0</v>
      </c>
      <c r="BE29" s="87">
        <f ca="1">IFERROR(AU29/BE$58, 0)</f>
        <v>0</v>
      </c>
      <c r="BG29" s="88" t="s">
        <v>14</v>
      </c>
      <c r="BH29" s="97" t="e">
        <f ca="1">AQ29*'[1]Lift Adjustment'!M$58</f>
        <v>#REF!</v>
      </c>
      <c r="BI29" s="79" t="e">
        <f ca="1">AR29*'[1]Lift Adjustment'!N$58</f>
        <v>#REF!</v>
      </c>
      <c r="BJ29" s="79" t="e">
        <f ca="1">AS29*'[1]Lift Adjustment'!O$58</f>
        <v>#REF!</v>
      </c>
      <c r="BK29" s="79" t="e">
        <f ca="1">AT29*'[1]Lift Adjustment'!P$58</f>
        <v>#REF!</v>
      </c>
      <c r="BL29" s="98" t="e">
        <f ca="1">AU29*'[1]Lift Adjustment'!Q$58</f>
        <v>#REF!</v>
      </c>
      <c r="BM29" s="92">
        <f ca="1">IFERROR(BH29/BM$58, 0)</f>
        <v>0</v>
      </c>
      <c r="BN29" s="75">
        <f ca="1">IFERROR(BI29/BN$58, 0)</f>
        <v>0</v>
      </c>
      <c r="BO29" s="75">
        <f ca="1">IFERROR(BJ29/BO$58, 0)</f>
        <v>0</v>
      </c>
      <c r="BP29" s="75">
        <f ca="1">IFERROR(BK29/BP$58, 0)</f>
        <v>0</v>
      </c>
      <c r="BQ29" s="93">
        <f ca="1">IFERROR(BL29/BQ$58, 0)</f>
        <v>0</v>
      </c>
      <c r="BR29" s="94">
        <f ca="1">IFERROR(BH29/BR$58, 0)</f>
        <v>0</v>
      </c>
      <c r="BS29" s="95">
        <f ca="1">IFERROR(BI29/BS$58, 0)</f>
        <v>0</v>
      </c>
      <c r="BT29" s="95">
        <f ca="1">IFERROR(BJ29/BT$58, 0)</f>
        <v>0</v>
      </c>
      <c r="BU29" s="95">
        <f ca="1">IFERROR(BK29/BU$58, 0)</f>
        <v>0</v>
      </c>
      <c r="BV29" s="96">
        <f ca="1">IFERROR(BL29/BV$58, 0)</f>
        <v>0</v>
      </c>
      <c r="BX29" s="88" t="s">
        <v>14</v>
      </c>
      <c r="BY29" s="97" t="e">
        <f t="shared" ref="BY29:CC32" ca="1" si="7">CD29*CD58</f>
        <v>#VALUE!</v>
      </c>
      <c r="BZ29" s="79" t="e">
        <f t="shared" ca="1" si="7"/>
        <v>#VALUE!</v>
      </c>
      <c r="CA29" s="79" t="e">
        <f t="shared" ca="1" si="7"/>
        <v>#VALUE!</v>
      </c>
      <c r="CB29" s="79" t="e">
        <f t="shared" ca="1" si="7"/>
        <v>#VALUE!</v>
      </c>
      <c r="CC29" s="98" t="e">
        <f t="shared" ca="1" si="7"/>
        <v>#VALUE!</v>
      </c>
      <c r="CD29" s="92">
        <f t="shared" ref="CD29:CH32" ca="1" si="8">BM29-DC29</f>
        <v>0</v>
      </c>
      <c r="CE29" s="75">
        <f t="shared" ca="1" si="8"/>
        <v>0</v>
      </c>
      <c r="CF29" s="75">
        <f t="shared" ca="1" si="8"/>
        <v>0</v>
      </c>
      <c r="CG29" s="75">
        <f t="shared" ca="1" si="8"/>
        <v>0</v>
      </c>
      <c r="CH29" s="93">
        <f t="shared" ca="1" si="8"/>
        <v>0</v>
      </c>
      <c r="CI29" s="94">
        <f t="shared" ref="CI29:CM33" ca="1" si="9">IFERROR(BY29/CI58, 0)</f>
        <v>0</v>
      </c>
      <c r="CJ29" s="95">
        <f t="shared" ca="1" si="9"/>
        <v>0</v>
      </c>
      <c r="CK29" s="95">
        <f t="shared" ca="1" si="9"/>
        <v>0</v>
      </c>
      <c r="CL29" s="95">
        <f t="shared" ca="1" si="9"/>
        <v>0</v>
      </c>
      <c r="CM29" s="96">
        <f t="shared" ca="1" si="9"/>
        <v>0</v>
      </c>
      <c r="DC29" s="99" cm="1">
        <f t="array" aca="1" ref="DC29" ca="1">IFERROR(BM29-BM29*BR67*(1-INDEX([1]Tables!$EA$4:$EE$60,MATCH([1]Tables!$C$22&amp;$BX29,[1]Tables!$EA$4:$EA$60,0),[1]Tables!$EE$1))*(1-DI29)/CD58, 0)</f>
        <v>0</v>
      </c>
      <c r="DD29" s="100" cm="1">
        <f t="array" aca="1" ref="DD29" ca="1">IFERROR(BN29-BN29*BS67*(1-INDEX([1]Tables!$EA$4:$EE$60,MATCH([1]Tables!$C$22&amp;$BX29,[1]Tables!$EA$4:$EA$60,0),[1]Tables!$EE$1))*(1-DJ29)/CE58, 0)</f>
        <v>0</v>
      </c>
      <c r="DE29" s="100" cm="1">
        <f t="array" aca="1" ref="DE29" ca="1">IFERROR(BO29-BO29*BT67*(1-INDEX([1]Tables!$EA$4:$EE$60,MATCH([1]Tables!$C$22&amp;$BX29,[1]Tables!$EA$4:$EA$60,0),[1]Tables!$EE$1))*(1-DK29)/CF58, 0)</f>
        <v>0</v>
      </c>
      <c r="DF29" s="100" cm="1">
        <f t="array" aca="1" ref="DF29" ca="1">IFERROR(BP29-BP29*BU67*(1-INDEX([1]Tables!$EA$4:$EE$60,MATCH([1]Tables!$C$22&amp;$BX29,[1]Tables!$EA$4:$EA$60,0),[1]Tables!$EE$1))*(1-DL29)/CG58, 0)</f>
        <v>0</v>
      </c>
      <c r="DG29" s="101" cm="1">
        <f t="array" aca="1" ref="DG29" ca="1">IFERROR(BQ29-BQ29*BV67*(1-INDEX([1]Tables!$EA$4:$EE$60,MATCH([1]Tables!$C$22&amp;$BX29,[1]Tables!$EA$4:$EA$60,0),[1]Tables!$EE$1))*(1-DM29)/CH58, 0)</f>
        <v>0</v>
      </c>
      <c r="DI29" s="102" cm="1">
        <f t="array" aca="1" ref="DI29" ca="1">IFERROR(((SUMPRODUCT((rng_out_mail_ind = $B29) * (rng_out_ds = $C29) * (rng_out_sel_sp_ind = $D29)   * (rng_out_sel_excl_ind = $E29) * (rng_out_ppl_post_yr1*rng_out_340B)) +
IF([1]Tables!$C$16=[1]Tables!$CF$4, SUMPRODUCT((rng_out_mail_ind = $B29) * (rng_out_ds = $C29) * (rng_out_sel_sp_ind = $D29) * (rng_out_sel_excl_ind = $F29) * (rng_out_ppl_post_yr1*rng_out_340B)), 0))/[1]Tables!$AT$4)/AQ29, 0)</f>
        <v>0</v>
      </c>
      <c r="DJ29" s="103" cm="1">
        <f t="array" aca="1" ref="DJ29" ca="1">IFERROR(((SUMPRODUCT((rng_out_mail_ind = $B29) * (rng_out_ds = $C29) * (rng_out_sel_sp_ind = $D29)   * (rng_out_sel_excl_ind = $E29) * (rng_out_ppl_post_yr2*rng_out_340B)) +
IF([1]Tables!$C$16=[1]Tables!$CF$4, SUMPRODUCT((rng_out_mail_ind = $B29) * (rng_out_ds = $C29) * (rng_out_sel_sp_ind = $D29) * (rng_out_sel_excl_ind = $F29) * (rng_out_ppl_post_yr2*rng_out_340B)), 0))/[1]Tables!$AT$4)/AR29, 0)</f>
        <v>0</v>
      </c>
      <c r="DK29" s="103" cm="1">
        <f t="array" aca="1" ref="DK29" ca="1">IFERROR(((SUMPRODUCT((rng_out_mail_ind = $B29) * (rng_out_ds = $C29) * (rng_out_sel_sp_ind = $D29)   * (rng_out_sel_excl_ind = $E29) * (rng_out_ppl_post_yr3*rng_out_340B)) +
IF([1]Tables!$C$16=[1]Tables!$CF$4, SUMPRODUCT((rng_out_mail_ind = $B29) * (rng_out_ds = $C29) * (rng_out_sel_sp_ind = $D29) * (rng_out_sel_excl_ind = $F29) * (rng_out_ppl_post_yr3*rng_out_340B)), 0))/[1]Tables!$AT$4)/AS29, 0)</f>
        <v>0</v>
      </c>
      <c r="DL29" s="103" cm="1">
        <f t="array" aca="1" ref="DL29" ca="1">IFERROR(((SUMPRODUCT((rng_out_mail_ind = $B29) * (rng_out_ds = $C29) * (rng_out_sel_sp_ind = $D29)   * (rng_out_sel_excl_ind = $E29) * (rng_out_ppl_post_yr4*rng_out_340B)) +
IF([1]Tables!$C$16=[1]Tables!$CF$4, SUMPRODUCT((rng_out_mail_ind = $B29) * (rng_out_ds = $C29) * (rng_out_sel_sp_ind = $D29) * (rng_out_sel_excl_ind = $F29) * (rng_out_ppl_post_yr4*rng_out_340B)), 0))/[1]Tables!$AT$4)/AT29, 0)</f>
        <v>0</v>
      </c>
      <c r="DM29" s="104" cm="1">
        <f t="array" aca="1" ref="DM29" ca="1">IFERROR(((SUMPRODUCT((rng_out_mail_ind = $B29) * (rng_out_ds = $C29) * (rng_out_sel_sp_ind = $D29)   * (rng_out_sel_excl_ind = $E29) * (rng_out_ppl_post_yr5*rng_out_340B)) +
IF([1]Tables!$C$16=[1]Tables!$CF$4, SUMPRODUCT((rng_out_mail_ind = $B29) * (rng_out_ds = $C29) * (rng_out_sel_sp_ind = $D29) * (rng_out_sel_excl_ind = $F29) * (rng_out_ppl_post_yr5*rng_out_340B)), 0))/[1]Tables!$AT$4)/AU29, 0)</f>
        <v>0</v>
      </c>
    </row>
    <row r="30" spans="2:117" x14ac:dyDescent="0.35">
      <c r="B30" s="105" t="s">
        <v>11</v>
      </c>
      <c r="C30" s="106">
        <v>90</v>
      </c>
      <c r="D30" s="106" t="s">
        <v>12</v>
      </c>
      <c r="E30" s="105" t="s">
        <v>12</v>
      </c>
      <c r="F30" s="107" t="s">
        <v>13</v>
      </c>
      <c r="H30" s="108" t="s">
        <v>15</v>
      </c>
      <c r="I30" s="72" t="e" cm="1">
        <f t="array" aca="1" ref="I30" ca="1">SUMIFS(INDIRECT('[1]RA Output'!BZ$1), rng_out_mail_ind, $B30, rng_out_ds, $C30, rng_out_sel_sp_ind, $D30, rng_out_sel_excl_ind,$E30)
+ SUMIFS(INDIRECT('[1]RA Output'!BZ$1), rng_out_mail_ind, $B30, rng_out_ds, $C30, rng_out_sel_sp_ind, $D30, rng_out_sel_excl_ind,$F30, rng_out_sel_excl_yr_ind, "&gt;0", rng_out_sel_excl_ind,$F30)
+ IF([1]Tables!$C$16=[1]Tables!$CF$4, SUMIFS(INDIRECT('[1]RA Output'!BZ$1), rng_out_mail_ind, $B30, rng_out_ds, $C30, rng_out_sel_sp_ind, $D30, rng_out_sel_excl_ind,$F30,rng_out_sel_excl_yr_ind, ""), 0)</f>
        <v>#REF!</v>
      </c>
      <c r="J30" s="5" t="e" cm="1">
        <f t="array" aca="1" ref="J30" ca="1">SUMIFS(INDIRECT('[1]RA Output'!CA$1), rng_out_mail_ind, $B30, rng_out_ds, $C30, rng_out_sel_sp_ind, $D30, rng_out_sel_excl_ind,$E30)
+ SUMIFS(INDIRECT('[1]RA Output'!CA$1), rng_out_mail_ind, $B30, rng_out_ds, $C30, rng_out_sel_sp_ind, $D30, rng_out_sel_excl_ind,$F30, rng_out_sel_excl_yr_ind, "&gt;0", rng_out_sel_excl_ind,$F30)
+ IF([1]Tables!$C$16=[1]Tables!$CF$4, SUMIFS(INDIRECT('[1]RA Output'!CA$1), rng_out_mail_ind, $B30, rng_out_ds, $C30, rng_out_sel_sp_ind, $D30, rng_out_sel_excl_ind,$F30,rng_out_sel_excl_yr_ind, ""), 0)</f>
        <v>#REF!</v>
      </c>
      <c r="K30" s="5" t="e" cm="1">
        <f t="array" aca="1" ref="K30" ca="1">SUMIFS(INDIRECT('[1]RA Output'!CB$1), rng_out_mail_ind, $B30, rng_out_ds, $C30, rng_out_sel_sp_ind, $D30, rng_out_sel_excl_ind,$E30)
+ SUMIFS(INDIRECT('[1]RA Output'!CB$1), rng_out_mail_ind, $B30, rng_out_ds, $C30, rng_out_sel_sp_ind, $D30, rng_out_sel_excl_ind,$F30, rng_out_sel_excl_yr_ind, "&gt;0", rng_out_sel_excl_ind,$F30)
+ IF([1]Tables!$C$16=[1]Tables!$CF$4, SUMIFS(INDIRECT('[1]RA Output'!CB$1), rng_out_mail_ind, $B30, rng_out_ds, $C30, rng_out_sel_sp_ind, $D30, rng_out_sel_excl_ind,$F30,rng_out_sel_excl_yr_ind, ""), 0)</f>
        <v>#REF!</v>
      </c>
      <c r="L30" s="5" t="e" cm="1">
        <f t="array" aca="1" ref="L30" ca="1">SUMIFS(INDIRECT('[1]RA Output'!CC$1), rng_out_mail_ind, $B30, rng_out_ds, $C30, rng_out_sel_sp_ind, $D30, rng_out_sel_excl_ind,$E30)
+ SUMIFS(INDIRECT('[1]RA Output'!CC$1), rng_out_mail_ind, $B30, rng_out_ds, $C30, rng_out_sel_sp_ind, $D30, rng_out_sel_excl_ind,$F30, rng_out_sel_excl_yr_ind, "&gt;0", rng_out_sel_excl_ind,$F30)
+ IF([1]Tables!$C$16=[1]Tables!$CF$4, SUMIFS(INDIRECT('[1]RA Output'!CC$1), rng_out_mail_ind, $B30, rng_out_ds, $C30, rng_out_sel_sp_ind, $D30, rng_out_sel_excl_ind,$F30,rng_out_sel_excl_yr_ind, ""), 0)</f>
        <v>#REF!</v>
      </c>
      <c r="M30" s="73" t="e" cm="1">
        <f t="array" aca="1" ref="M30" ca="1">SUMIFS(INDIRECT('[1]RA Output'!CD$1), rng_out_mail_ind, $B30, rng_out_ds, $C30, rng_out_sel_sp_ind, $D30, rng_out_sel_excl_ind,$E30)
+ SUMIFS(INDIRECT('[1]RA Output'!CD$1), rng_out_mail_ind, $B30, rng_out_ds, $C30, rng_out_sel_sp_ind, $D30, rng_out_sel_excl_ind,$F30, rng_out_sel_excl_yr_ind, "&gt;0", rng_out_sel_excl_ind,$F30)
+ IF([1]Tables!$C$16=[1]Tables!$CF$4, SUMIFS(INDIRECT('[1]RA Output'!CD$1), rng_out_mail_ind, $B30, rng_out_ds, $C30, rng_out_sel_sp_ind, $D30, rng_out_sel_excl_ind,$F30,rng_out_sel_excl_yr_ind, ""), 0)</f>
        <v>#REF!</v>
      </c>
      <c r="N30" s="74">
        <f ca="1">IFERROR(I30/N$59, 0)</f>
        <v>0</v>
      </c>
      <c r="O30" s="75">
        <f ca="1">IFERROR(J30/O$59, 0)</f>
        <v>0</v>
      </c>
      <c r="P30" s="75">
        <f ca="1">IFERROR(K30/P$59, 0)</f>
        <v>0</v>
      </c>
      <c r="Q30" s="75">
        <f ca="1">IFERROR(L30/Q$59, 0)</f>
        <v>0</v>
      </c>
      <c r="R30" s="76">
        <f ca="1">IFERROR(M30/R$59, 0)</f>
        <v>0</v>
      </c>
      <c r="S30" s="74">
        <f ca="1">IFERROR(I30/S$59, 0)</f>
        <v>0</v>
      </c>
      <c r="T30" s="75">
        <f ca="1">IFERROR(J30/T$59, 0)</f>
        <v>0</v>
      </c>
      <c r="U30" s="75">
        <f ca="1">IFERROR(K30/U$59, 0)</f>
        <v>0</v>
      </c>
      <c r="V30" s="75">
        <f ca="1">IFERROR(L30/V$59, 0)</f>
        <v>0</v>
      </c>
      <c r="W30" s="76">
        <f ca="1">IFERROR(M30/W$59, 0)</f>
        <v>0</v>
      </c>
      <c r="Y30" s="109" t="s">
        <v>15</v>
      </c>
      <c r="Z30" s="78">
        <f ca="1">IFERROR(I30/[1]Tables!$AT$4, 0)</f>
        <v>0</v>
      </c>
      <c r="AA30" s="79">
        <f ca="1">IFERROR(J30/[1]Tables!$AT$4, 0)</f>
        <v>0</v>
      </c>
      <c r="AB30" s="79">
        <f ca="1">IFERROR(K30/[1]Tables!$AT$4, 0)</f>
        <v>0</v>
      </c>
      <c r="AC30" s="79">
        <f ca="1">IFERROR(L30/[1]Tables!$AT$4, 0)</f>
        <v>0</v>
      </c>
      <c r="AD30" s="80">
        <f ca="1">IFERROR(M30/[1]Tables!$AT$4, 0)</f>
        <v>0</v>
      </c>
      <c r="AE30" s="81">
        <f ca="1">IFERROR(N30/[1]Tables!$AT$4, 0)</f>
        <v>0</v>
      </c>
      <c r="AF30" s="75">
        <f ca="1">IFERROR(O30/[1]Tables!$AT$4, 0)</f>
        <v>0</v>
      </c>
      <c r="AG30" s="75">
        <f ca="1">IFERROR(P30/[1]Tables!$AT$4, 0)</f>
        <v>0</v>
      </c>
      <c r="AH30" s="75">
        <f ca="1">IFERROR(Q30/[1]Tables!$AT$4, 0)</f>
        <v>0</v>
      </c>
      <c r="AI30" s="82">
        <f ca="1">IFERROR(R30/[1]Tables!$AT$4, 0)</f>
        <v>0</v>
      </c>
      <c r="AJ30" s="81">
        <f ca="1">IFERROR(S30/[1]Tables!$AT$4, 0)</f>
        <v>0</v>
      </c>
      <c r="AK30" s="75">
        <f ca="1">IFERROR(T30/[1]Tables!$AT$4, 0)</f>
        <v>0</v>
      </c>
      <c r="AL30" s="75">
        <f ca="1">IFERROR(U30/[1]Tables!$AT$4, 0)</f>
        <v>0</v>
      </c>
      <c r="AM30" s="75">
        <f ca="1">IFERROR(V30/[1]Tables!$AT$4, 0)</f>
        <v>0</v>
      </c>
      <c r="AN30" s="82">
        <f ca="1">IFERROR(W30/[1]Tables!$AT$4, 0)</f>
        <v>0</v>
      </c>
      <c r="AP30" s="110" t="s">
        <v>15</v>
      </c>
      <c r="AQ30" s="84" t="e" cm="1">
        <f t="array" aca="1" ref="AQ30" ca="1">(SUMIFS(INDIRECT('[1]RA Output'!CZ$1), rng_out_mail_ind, $B30, rng_out_ds, $C30, rng_out_sel_sp_ind, $D30, rng_out_sel_excl_ind,$E30)
+ SUMIFS(INDIRECT('[1]RA Output'!CZ$1), rng_out_mail_ind, $B30, rng_out_ds, $C30, rng_out_sel_sp_ind, $D30, rng_out_sel_excl_ind,$F30, rng_out_sel_excl_yr_ind, "&gt;0", rng_out_sel_excl_ind,$F30)
+ IF([1]Tables!$C$16=[1]Tables!$CF$4, SUMIFS(INDIRECT('[1]RA Output'!CZ$1), rng_out_mail_ind, $B30, rng_out_ds, $C30, rng_out_sel_sp_ind, $D30, rng_out_sel_excl_ind,$F30,rng_out_sel_excl_yr_ind, ""), 0))/[1]Tables!$AT$4</f>
        <v>#REF!</v>
      </c>
      <c r="AR30" s="5" t="e" cm="1">
        <f t="array" aca="1" ref="AR30" ca="1">(SUMIFS(INDIRECT('[1]RA Output'!DA$1), rng_out_mail_ind, $B30, rng_out_ds, $C30, rng_out_sel_sp_ind, $D30, rng_out_sel_excl_ind,$E30)
+ SUMIFS(INDIRECT('[1]RA Output'!DA$1), rng_out_mail_ind, $B30, rng_out_ds, $C30, rng_out_sel_sp_ind, $D30, rng_out_sel_excl_ind,$F30, rng_out_sel_excl_yr_ind, "&gt;0", rng_out_sel_excl_ind,$F30)
+ IF([1]Tables!$C$16=[1]Tables!$CF$4, SUMIFS(INDIRECT('[1]RA Output'!DA$1), rng_out_mail_ind, $B30, rng_out_ds, $C30, rng_out_sel_sp_ind, $D30, rng_out_sel_excl_ind,$F30,rng_out_sel_excl_yr_ind, ""), 0))/[1]Tables!$AT$4</f>
        <v>#REF!</v>
      </c>
      <c r="AS30" s="5" t="e" cm="1">
        <f t="array" aca="1" ref="AS30" ca="1">(SUMIFS(INDIRECT('[1]RA Output'!DB$1), rng_out_mail_ind, $B30, rng_out_ds, $C30, rng_out_sel_sp_ind, $D30, rng_out_sel_excl_ind,$E30)
+ SUMIFS(INDIRECT('[1]RA Output'!DB$1), rng_out_mail_ind, $B30, rng_out_ds, $C30, rng_out_sel_sp_ind, $D30, rng_out_sel_excl_ind,$F30, rng_out_sel_excl_yr_ind, "&gt;0", rng_out_sel_excl_ind,$F30)
+ IF([1]Tables!$C$16=[1]Tables!$CF$4, SUMIFS(INDIRECT('[1]RA Output'!DB$1), rng_out_mail_ind, $B30, rng_out_ds, $C30, rng_out_sel_sp_ind, $D30, rng_out_sel_excl_ind,$F30,rng_out_sel_excl_yr_ind, ""), 0))/[1]Tables!$AT$4</f>
        <v>#REF!</v>
      </c>
      <c r="AT30" s="5" t="e" cm="1">
        <f t="array" aca="1" ref="AT30" ca="1">(SUMIFS(INDIRECT('[1]RA Output'!DC$1), rng_out_mail_ind, $B30, rng_out_ds, $C30, rng_out_sel_sp_ind, $D30, rng_out_sel_excl_ind,$E30)
+ SUMIFS(INDIRECT('[1]RA Output'!DC$1), rng_out_mail_ind, $B30, rng_out_ds, $C30, rng_out_sel_sp_ind, $D30, rng_out_sel_excl_ind,$F30, rng_out_sel_excl_yr_ind, "&gt;0", rng_out_sel_excl_ind,$F30)
+ IF([1]Tables!$C$16=[1]Tables!$CF$4, SUMIFS(INDIRECT('[1]RA Output'!DC$1), rng_out_mail_ind, $B30, rng_out_ds, $C30, rng_out_sel_sp_ind, $D30, rng_out_sel_excl_ind,$F30,rng_out_sel_excl_yr_ind, ""), 0))/[1]Tables!$AT$4</f>
        <v>#REF!</v>
      </c>
      <c r="AU30" s="85" t="e" cm="1">
        <f t="array" aca="1" ref="AU30" ca="1">(SUMIFS(INDIRECT('[1]RA Output'!DD$1), rng_out_mail_ind, $B30, rng_out_ds, $C30, rng_out_sel_sp_ind, $D30, rng_out_sel_excl_ind,$E30)
+ SUMIFS(INDIRECT('[1]RA Output'!DD$1), rng_out_mail_ind, $B30, rng_out_ds, $C30, rng_out_sel_sp_ind, $D30, rng_out_sel_excl_ind,$F30, rng_out_sel_excl_yr_ind, "&gt;0", rng_out_sel_excl_ind,$F30)
+ IF([1]Tables!$C$16=[1]Tables!$CF$4, SUMIFS(INDIRECT('[1]RA Output'!DD$1), rng_out_mail_ind, $B30, rng_out_ds, $C30, rng_out_sel_sp_ind, $D30, rng_out_sel_excl_ind,$F30,rng_out_sel_excl_yr_ind, ""), 0))/[1]Tables!$AT$4</f>
        <v>#REF!</v>
      </c>
      <c r="AV30" s="86">
        <f ca="1">IFERROR(AQ30/AV$59, 0)</f>
        <v>0</v>
      </c>
      <c r="AW30" s="75">
        <f ca="1">IFERROR(AR30/AW$59, 0)</f>
        <v>0</v>
      </c>
      <c r="AX30" s="75">
        <f ca="1">IFERROR(AS30/AX$59, 0)</f>
        <v>0</v>
      </c>
      <c r="AY30" s="75">
        <f ca="1">IFERROR(AT30/AY$59, 0)</f>
        <v>0</v>
      </c>
      <c r="AZ30" s="87">
        <f ca="1">IFERROR(AU30/AZ$59, 0)</f>
        <v>0</v>
      </c>
      <c r="BA30" s="75">
        <f ca="1">IFERROR(AQ30/BA$59, 0)</f>
        <v>0</v>
      </c>
      <c r="BB30" s="75">
        <f ca="1">IFERROR(AR30/BB$59, 0)</f>
        <v>0</v>
      </c>
      <c r="BC30" s="75">
        <f ca="1">IFERROR(AS30/BC$59, 0)</f>
        <v>0</v>
      </c>
      <c r="BD30" s="75">
        <f ca="1">IFERROR(AT30/BD$59, 0)</f>
        <v>0</v>
      </c>
      <c r="BE30" s="87">
        <f ca="1">IFERROR(AU30/BE$59, 0)</f>
        <v>0</v>
      </c>
      <c r="BG30" s="111" t="s">
        <v>15</v>
      </c>
      <c r="BH30" s="97" t="e">
        <f ca="1">AQ30*'[1]Lift Adjustment'!M$59</f>
        <v>#REF!</v>
      </c>
      <c r="BI30" s="79" t="e">
        <f ca="1">AR30*'[1]Lift Adjustment'!N$59</f>
        <v>#REF!</v>
      </c>
      <c r="BJ30" s="79" t="e">
        <f ca="1">AS30*'[1]Lift Adjustment'!O$59</f>
        <v>#REF!</v>
      </c>
      <c r="BK30" s="79" t="e">
        <f ca="1">AT30*'[1]Lift Adjustment'!P$59</f>
        <v>#REF!</v>
      </c>
      <c r="BL30" s="98" t="e">
        <f ca="1">AU30*'[1]Lift Adjustment'!Q$59</f>
        <v>#REF!</v>
      </c>
      <c r="BM30" s="92">
        <f ca="1">IFERROR(BH30/BM$59, 0)</f>
        <v>0</v>
      </c>
      <c r="BN30" s="75">
        <f ca="1">IFERROR(BI30/BN$59, 0)</f>
        <v>0</v>
      </c>
      <c r="BO30" s="75">
        <f ca="1">IFERROR(BJ30/BO$59, 0)</f>
        <v>0</v>
      </c>
      <c r="BP30" s="75">
        <f ca="1">IFERROR(BK30/BP$59, 0)</f>
        <v>0</v>
      </c>
      <c r="BQ30" s="93">
        <f ca="1">IFERROR(BL30/BQ$59, 0)</f>
        <v>0</v>
      </c>
      <c r="BR30" s="92">
        <f ca="1">IFERROR(BH30/BR$59, 0)</f>
        <v>0</v>
      </c>
      <c r="BS30" s="75">
        <f ca="1">IFERROR(BI30/BS$59, 0)</f>
        <v>0</v>
      </c>
      <c r="BT30" s="75">
        <f ca="1">IFERROR(BJ30/BT$59, 0)</f>
        <v>0</v>
      </c>
      <c r="BU30" s="75">
        <f ca="1">IFERROR(BK30/BU$59, 0)</f>
        <v>0</v>
      </c>
      <c r="BV30" s="93">
        <f ca="1">IFERROR(BL30/BV$59, 0)</f>
        <v>0</v>
      </c>
      <c r="BX30" s="111" t="s">
        <v>15</v>
      </c>
      <c r="BY30" s="97" t="e">
        <f t="shared" ca="1" si="7"/>
        <v>#VALUE!</v>
      </c>
      <c r="BZ30" s="79" t="e">
        <f t="shared" ca="1" si="7"/>
        <v>#VALUE!</v>
      </c>
      <c r="CA30" s="79" t="e">
        <f t="shared" ca="1" si="7"/>
        <v>#VALUE!</v>
      </c>
      <c r="CB30" s="79" t="e">
        <f t="shared" ca="1" si="7"/>
        <v>#VALUE!</v>
      </c>
      <c r="CC30" s="98" t="e">
        <f t="shared" ca="1" si="7"/>
        <v>#VALUE!</v>
      </c>
      <c r="CD30" s="92">
        <f t="shared" ca="1" si="8"/>
        <v>0</v>
      </c>
      <c r="CE30" s="75">
        <f t="shared" ca="1" si="8"/>
        <v>0</v>
      </c>
      <c r="CF30" s="75">
        <f t="shared" ca="1" si="8"/>
        <v>0</v>
      </c>
      <c r="CG30" s="75">
        <f t="shared" ca="1" si="8"/>
        <v>0</v>
      </c>
      <c r="CH30" s="93">
        <f t="shared" ca="1" si="8"/>
        <v>0</v>
      </c>
      <c r="CI30" s="92">
        <f t="shared" ca="1" si="9"/>
        <v>0</v>
      </c>
      <c r="CJ30" s="75">
        <f t="shared" ca="1" si="9"/>
        <v>0</v>
      </c>
      <c r="CK30" s="75">
        <f t="shared" ca="1" si="9"/>
        <v>0</v>
      </c>
      <c r="CL30" s="75">
        <f t="shared" ca="1" si="9"/>
        <v>0</v>
      </c>
      <c r="CM30" s="93">
        <f t="shared" ca="1" si="9"/>
        <v>0</v>
      </c>
      <c r="DC30" s="112" cm="1">
        <f t="array" aca="1" ref="DC30" ca="1">IFERROR(BM30-BM30*BR68*(1-INDEX([1]Tables!$EA$4:$EE$60,MATCH([1]Tables!$C$22&amp;$BX30,[1]Tables!$EA$4:$EA$60,0),[1]Tables!$EE$1))*(1-DI30)/CD59, 0)</f>
        <v>0</v>
      </c>
      <c r="DD30" s="113" cm="1">
        <f t="array" aca="1" ref="DD30" ca="1">IFERROR(BN30-BN30*BS68*(1-INDEX([1]Tables!$EA$4:$EE$60,MATCH([1]Tables!$C$22&amp;$BX30,[1]Tables!$EA$4:$EA$60,0),[1]Tables!$EE$1))*(1-DJ30)/CE59, 0)</f>
        <v>0</v>
      </c>
      <c r="DE30" s="113" cm="1">
        <f t="array" aca="1" ref="DE30" ca="1">IFERROR(BO30-BO30*BT68*(1-INDEX([1]Tables!$EA$4:$EE$60,MATCH([1]Tables!$C$22&amp;$BX30,[1]Tables!$EA$4:$EA$60,0),[1]Tables!$EE$1))*(1-DK30)/CF59, 0)</f>
        <v>0</v>
      </c>
      <c r="DF30" s="113" cm="1">
        <f t="array" aca="1" ref="DF30" ca="1">IFERROR(BP30-BP30*BU68*(1-INDEX([1]Tables!$EA$4:$EE$60,MATCH([1]Tables!$C$22&amp;$BX30,[1]Tables!$EA$4:$EA$60,0),[1]Tables!$EE$1))*(1-DL30)/CG59, 0)</f>
        <v>0</v>
      </c>
      <c r="DG30" s="114" cm="1">
        <f t="array" aca="1" ref="DG30" ca="1">IFERROR(BQ30-BQ30*BV68*(1-INDEX([1]Tables!$EA$4:$EE$60,MATCH([1]Tables!$C$22&amp;$BX30,[1]Tables!$EA$4:$EA$60,0),[1]Tables!$EE$1))*(1-DM30)/CH59, 0)</f>
        <v>0</v>
      </c>
      <c r="DI30" s="115" cm="1">
        <f t="array" aca="1" ref="DI30" ca="1">IFERROR(((SUMPRODUCT((rng_out_mail_ind = $B30) * (rng_out_ds = $C30) * (rng_out_sel_sp_ind = $D30)   * (rng_out_sel_excl_ind = $E30) * (rng_out_ppl_post_yr1*rng_out_340B)) +
IF([1]Tables!$C$16=[1]Tables!$CF$4, SUMPRODUCT((rng_out_mail_ind = $B30) * (rng_out_ds = $C30) * (rng_out_sel_sp_ind = $D30) * (rng_out_sel_excl_ind = $F30) * (rng_out_ppl_post_yr1*rng_out_340B)), 0))/[1]Tables!$AT$4)/AQ30, 0)</f>
        <v>0</v>
      </c>
      <c r="DJ30" s="116" cm="1">
        <f t="array" aca="1" ref="DJ30" ca="1">IFERROR(((SUMPRODUCT((rng_out_mail_ind = $B30) * (rng_out_ds = $C30) * (rng_out_sel_sp_ind = $D30)   * (rng_out_sel_excl_ind = $E30) * (rng_out_ppl_post_yr2*rng_out_340B)) +
IF([1]Tables!$C$16=[1]Tables!$CF$4, SUMPRODUCT((rng_out_mail_ind = $B30) * (rng_out_ds = $C30) * (rng_out_sel_sp_ind = $D30) * (rng_out_sel_excl_ind = $F30) * (rng_out_ppl_post_yr2*rng_out_340B)), 0))/[1]Tables!$AT$4)/AR30, 0)</f>
        <v>0</v>
      </c>
      <c r="DK30" s="116" cm="1">
        <f t="array" aca="1" ref="DK30" ca="1">IFERROR(((SUMPRODUCT((rng_out_mail_ind = $B30) * (rng_out_ds = $C30) * (rng_out_sel_sp_ind = $D30)   * (rng_out_sel_excl_ind = $E30) * (rng_out_ppl_post_yr3*rng_out_340B)) +
IF([1]Tables!$C$16=[1]Tables!$CF$4, SUMPRODUCT((rng_out_mail_ind = $B30) * (rng_out_ds = $C30) * (rng_out_sel_sp_ind = $D30) * (rng_out_sel_excl_ind = $F30) * (rng_out_ppl_post_yr3*rng_out_340B)), 0))/[1]Tables!$AT$4)/AS30, 0)</f>
        <v>0</v>
      </c>
      <c r="DL30" s="116" cm="1">
        <f t="array" aca="1" ref="DL30" ca="1">IFERROR(((SUMPRODUCT((rng_out_mail_ind = $B30) * (rng_out_ds = $C30) * (rng_out_sel_sp_ind = $D30)   * (rng_out_sel_excl_ind = $E30) * (rng_out_ppl_post_yr4*rng_out_340B)) +
IF([1]Tables!$C$16=[1]Tables!$CF$4, SUMPRODUCT((rng_out_mail_ind = $B30) * (rng_out_ds = $C30) * (rng_out_sel_sp_ind = $D30) * (rng_out_sel_excl_ind = $F30) * (rng_out_ppl_post_yr4*rng_out_340B)), 0))/[1]Tables!$AT$4)/AT30, 0)</f>
        <v>0</v>
      </c>
      <c r="DM30" s="117" cm="1">
        <f t="array" aca="1" ref="DM30" ca="1">IFERROR(((SUMPRODUCT((rng_out_mail_ind = $B30) * (rng_out_ds = $C30) * (rng_out_sel_sp_ind = $D30)   * (rng_out_sel_excl_ind = $E30) * (rng_out_ppl_post_yr5*rng_out_340B)) +
IF([1]Tables!$C$16=[1]Tables!$CF$4, SUMPRODUCT((rng_out_mail_ind = $B30) * (rng_out_ds = $C30) * (rng_out_sel_sp_ind = $D30) * (rng_out_sel_excl_ind = $F30) * (rng_out_ppl_post_yr5*rng_out_340B)), 0))/[1]Tables!$AT$4)/AU30, 0)</f>
        <v>0</v>
      </c>
    </row>
    <row r="31" spans="2:117" x14ac:dyDescent="0.35">
      <c r="B31" s="105" t="s">
        <v>16</v>
      </c>
      <c r="C31" s="106"/>
      <c r="D31" s="106" t="s">
        <v>12</v>
      </c>
      <c r="E31" s="105" t="s">
        <v>12</v>
      </c>
      <c r="F31" s="107" t="s">
        <v>13</v>
      </c>
      <c r="H31" s="118" t="s">
        <v>7</v>
      </c>
      <c r="I31" s="72" t="e" cm="1">
        <f t="array" aca="1" ref="I31" ca="1">SUMIFS(INDIRECT('[1]RA Output'!BZ$1), rng_out_mail_ind, $B31, rng_out_sel_sp_ind, $D31, rng_out_sel_excl_ind,$E31)
+ SUMIFS(INDIRECT('[1]RA Output'!BZ$1), rng_out_mail_ind, $B31, rng_out_sel_sp_ind, $D31, rng_out_sel_excl_ind,$F31, rng_out_sel_excl_yr_ind, "&gt;0")
+ IF([1]Tables!$C$16=[1]Tables!$CF$4, SUMIFS(INDIRECT('[1]RA Output'!BZ$1), rng_out_mail_ind, $B31, rng_out_sel_sp_ind, $D31, rng_out_sel_excl_ind,$F31,rng_out_sel_excl_yr_ind, ""), 0)</f>
        <v>#REF!</v>
      </c>
      <c r="J31" s="5" t="e" cm="1">
        <f t="array" aca="1" ref="J31" ca="1">SUMIFS(INDIRECT('[1]RA Output'!CA$1), rng_out_mail_ind, $B31, rng_out_sel_sp_ind, $D31, rng_out_sel_excl_ind,$E31)
+ SUMIFS(INDIRECT('[1]RA Output'!CA$1), rng_out_mail_ind, $B31, rng_out_sel_sp_ind, $D31, rng_out_sel_excl_ind,$F31, rng_out_sel_excl_yr_ind, "&gt;0")
+ IF([1]Tables!$C$16=[1]Tables!$CF$4, SUMIFS(INDIRECT('[1]RA Output'!CA$1), rng_out_mail_ind, $B31, rng_out_sel_sp_ind, $D31, rng_out_sel_excl_ind,$F31,rng_out_sel_excl_yr_ind, ""), 0)</f>
        <v>#REF!</v>
      </c>
      <c r="K31" s="5" t="e" cm="1">
        <f t="array" aca="1" ref="K31" ca="1">SUMIFS(INDIRECT('[1]RA Output'!CB$1), rng_out_mail_ind, $B31, rng_out_sel_sp_ind, $D31, rng_out_sel_excl_ind,$E31)
+ SUMIFS(INDIRECT('[1]RA Output'!CB$1), rng_out_mail_ind, $B31, rng_out_sel_sp_ind, $D31, rng_out_sel_excl_ind,$F31, rng_out_sel_excl_yr_ind, "&gt;0")
+ IF([1]Tables!$C$16=[1]Tables!$CF$4, SUMIFS(INDIRECT('[1]RA Output'!CB$1), rng_out_mail_ind, $B31, rng_out_sel_sp_ind, $D31, rng_out_sel_excl_ind,$F31,rng_out_sel_excl_yr_ind, ""), 0)</f>
        <v>#REF!</v>
      </c>
      <c r="L31" s="5" t="e" cm="1">
        <f t="array" aca="1" ref="L31" ca="1">SUMIFS(INDIRECT('[1]RA Output'!CC$1), rng_out_mail_ind, $B31, rng_out_sel_sp_ind, $D31, rng_out_sel_excl_ind,$E31)
+ SUMIFS(INDIRECT('[1]RA Output'!CC$1), rng_out_mail_ind, $B31, rng_out_sel_sp_ind, $D31, rng_out_sel_excl_ind,$F31, rng_out_sel_excl_yr_ind, "&gt;0")
+ IF([1]Tables!$C$16=[1]Tables!$CF$4, SUMIFS(INDIRECT('[1]RA Output'!CC$1), rng_out_mail_ind, $B31, rng_out_sel_sp_ind, $D31, rng_out_sel_excl_ind,$F31,rng_out_sel_excl_yr_ind, ""), 0)</f>
        <v>#REF!</v>
      </c>
      <c r="M31" s="73" t="e" cm="1">
        <f t="array" aca="1" ref="M31" ca="1">SUMIFS(INDIRECT('[1]RA Output'!CD$1), rng_out_mail_ind, $B31, rng_out_sel_sp_ind, $D31, rng_out_sel_excl_ind,$E31)
+ SUMIFS(INDIRECT('[1]RA Output'!CD$1), rng_out_mail_ind, $B31, rng_out_sel_sp_ind, $D31, rng_out_sel_excl_ind,$F31, rng_out_sel_excl_yr_ind, "&gt;0")
+ IF([1]Tables!$C$16=[1]Tables!$CF$4, SUMIFS(INDIRECT('[1]RA Output'!CD$1), rng_out_mail_ind, $B31, rng_out_sel_sp_ind, $D31, rng_out_sel_excl_ind,$F31,rng_out_sel_excl_yr_ind, ""), 0)</f>
        <v>#REF!</v>
      </c>
      <c r="N31" s="74">
        <f ca="1">IFERROR(I31/N$60, 0)</f>
        <v>0</v>
      </c>
      <c r="O31" s="75">
        <f ca="1">IFERROR(J31/O$60, 0)</f>
        <v>0</v>
      </c>
      <c r="P31" s="75">
        <f ca="1">IFERROR(K31/P$60, 0)</f>
        <v>0</v>
      </c>
      <c r="Q31" s="75">
        <f ca="1">IFERROR(L31/Q$60, 0)</f>
        <v>0</v>
      </c>
      <c r="R31" s="76">
        <f ca="1">IFERROR(M31/R$60, 0)</f>
        <v>0</v>
      </c>
      <c r="S31" s="74">
        <f ca="1">IFERROR(I31/S$60, 0)</f>
        <v>0</v>
      </c>
      <c r="T31" s="75">
        <f ca="1">IFERROR(J31/T$60, 0)</f>
        <v>0</v>
      </c>
      <c r="U31" s="75">
        <f ca="1">IFERROR(K31/U$60, 0)</f>
        <v>0</v>
      </c>
      <c r="V31" s="75">
        <f ca="1">IFERROR(L31/V$60, 0)</f>
        <v>0</v>
      </c>
      <c r="W31" s="76">
        <f ca="1">IFERROR(M31/W$60, 0)</f>
        <v>0</v>
      </c>
      <c r="Y31" s="119" t="s">
        <v>7</v>
      </c>
      <c r="Z31" s="78">
        <f ca="1">IFERROR(I31/[1]Tables!$AT$4, 0)</f>
        <v>0</v>
      </c>
      <c r="AA31" s="79">
        <f ca="1">IFERROR(J31/[1]Tables!$AT$4, 0)</f>
        <v>0</v>
      </c>
      <c r="AB31" s="79">
        <f ca="1">IFERROR(K31/[1]Tables!$AT$4, 0)</f>
        <v>0</v>
      </c>
      <c r="AC31" s="79">
        <f ca="1">IFERROR(L31/[1]Tables!$AT$4, 0)</f>
        <v>0</v>
      </c>
      <c r="AD31" s="80">
        <f ca="1">IFERROR(M31/[1]Tables!$AT$4, 0)</f>
        <v>0</v>
      </c>
      <c r="AE31" s="81">
        <f ca="1">IFERROR(N31/[1]Tables!$AT$4, 0)</f>
        <v>0</v>
      </c>
      <c r="AF31" s="75">
        <f ca="1">IFERROR(O31/[1]Tables!$AT$4, 0)</f>
        <v>0</v>
      </c>
      <c r="AG31" s="75">
        <f ca="1">IFERROR(P31/[1]Tables!$AT$4, 0)</f>
        <v>0</v>
      </c>
      <c r="AH31" s="75">
        <f ca="1">IFERROR(Q31/[1]Tables!$AT$4, 0)</f>
        <v>0</v>
      </c>
      <c r="AI31" s="82">
        <f ca="1">IFERROR(R31/[1]Tables!$AT$4, 0)</f>
        <v>0</v>
      </c>
      <c r="AJ31" s="81">
        <f ca="1">IFERROR(S31/[1]Tables!$AT$4, 0)</f>
        <v>0</v>
      </c>
      <c r="AK31" s="75">
        <f ca="1">IFERROR(T31/[1]Tables!$AT$4, 0)</f>
        <v>0</v>
      </c>
      <c r="AL31" s="75">
        <f ca="1">IFERROR(U31/[1]Tables!$AT$4, 0)</f>
        <v>0</v>
      </c>
      <c r="AM31" s="75">
        <f ca="1">IFERROR(V31/[1]Tables!$AT$4, 0)</f>
        <v>0</v>
      </c>
      <c r="AN31" s="82">
        <f ca="1">IFERROR(W31/[1]Tables!$AT$4, 0)</f>
        <v>0</v>
      </c>
      <c r="AP31" s="120" t="s">
        <v>7</v>
      </c>
      <c r="AQ31" s="84" t="e" cm="1">
        <f t="array" aca="1" ref="AQ31" ca="1">(SUMIFS(INDIRECT('[1]RA Output'!CZ$1), rng_out_mail_ind, $B31, rng_out_sel_sp_ind, $D31, rng_out_sel_excl_ind,$E31)
+ SUMIFS(INDIRECT('[1]RA Output'!CZ$1), rng_out_mail_ind, $B31, rng_out_sel_sp_ind, $D31, rng_out_sel_excl_ind,$F31, rng_out_sel_excl_yr_ind, "&gt;0")
+ IF([1]Tables!$C$16=[1]Tables!$CF$4, SUMIFS(INDIRECT('[1]RA Output'!CZ$1), rng_out_mail_ind, $B31, rng_out_sel_sp_ind, $D31, rng_out_sel_excl_ind,$F31,rng_out_sel_excl_yr_ind, ""), 0))/[1]Tables!$AT$4</f>
        <v>#REF!</v>
      </c>
      <c r="AR31" s="5" t="e" cm="1">
        <f t="array" aca="1" ref="AR31" ca="1">(SUMIFS(INDIRECT('[1]RA Output'!DA$1), rng_out_mail_ind, $B31, rng_out_sel_sp_ind, $D31, rng_out_sel_excl_ind,$E31)
+ SUMIFS(INDIRECT('[1]RA Output'!DA$1), rng_out_mail_ind, $B31, rng_out_sel_sp_ind, $D31, rng_out_sel_excl_ind,$F31, rng_out_sel_excl_yr_ind, "&gt;0")
+ IF([1]Tables!$C$16=[1]Tables!$CF$4, SUMIFS(INDIRECT('[1]RA Output'!DA$1), rng_out_mail_ind, $B31, rng_out_sel_sp_ind, $D31, rng_out_sel_excl_ind,$F31,rng_out_sel_excl_yr_ind, ""), 0))/[1]Tables!$AT$4</f>
        <v>#REF!</v>
      </c>
      <c r="AS31" s="5" t="e" cm="1">
        <f t="array" aca="1" ref="AS31" ca="1">(SUMIFS(INDIRECT('[1]RA Output'!DB$1), rng_out_mail_ind, $B31, rng_out_sel_sp_ind, $D31, rng_out_sel_excl_ind,$E31)
+ SUMIFS(INDIRECT('[1]RA Output'!DB$1), rng_out_mail_ind, $B31, rng_out_sel_sp_ind, $D31, rng_out_sel_excl_ind,$F31, rng_out_sel_excl_yr_ind, "&gt;0")
+ IF([1]Tables!$C$16=[1]Tables!$CF$4, SUMIFS(INDIRECT('[1]RA Output'!DB$1), rng_out_mail_ind, $B31, rng_out_sel_sp_ind, $D31, rng_out_sel_excl_ind,$F31,rng_out_sel_excl_yr_ind, ""), 0))/[1]Tables!$AT$4</f>
        <v>#REF!</v>
      </c>
      <c r="AT31" s="5" t="e" cm="1">
        <f t="array" aca="1" ref="AT31" ca="1">(SUMIFS(INDIRECT('[1]RA Output'!DC$1), rng_out_mail_ind, $B31, rng_out_sel_sp_ind, $D31, rng_out_sel_excl_ind,$E31)
+ SUMIFS(INDIRECT('[1]RA Output'!DC$1), rng_out_mail_ind, $B31, rng_out_sel_sp_ind, $D31, rng_out_sel_excl_ind,$F31, rng_out_sel_excl_yr_ind, "&gt;0")
+ IF([1]Tables!$C$16=[1]Tables!$CF$4, SUMIFS(INDIRECT('[1]RA Output'!DC$1), rng_out_mail_ind, $B31, rng_out_sel_sp_ind, $D31, rng_out_sel_excl_ind,$F31,rng_out_sel_excl_yr_ind, ""), 0))/[1]Tables!$AT$4</f>
        <v>#REF!</v>
      </c>
      <c r="AU31" s="85" t="e" cm="1">
        <f t="array" aca="1" ref="AU31" ca="1">(SUMIFS(INDIRECT('[1]RA Output'!DD$1), rng_out_mail_ind, $B31, rng_out_sel_sp_ind, $D31, rng_out_sel_excl_ind,$E31)
+ SUMIFS(INDIRECT('[1]RA Output'!DD$1), rng_out_mail_ind, $B31, rng_out_sel_sp_ind, $D31, rng_out_sel_excl_ind,$F31, rng_out_sel_excl_yr_ind, "&gt;0")
+ IF([1]Tables!$C$16=[1]Tables!$CF$4, SUMIFS(INDIRECT('[1]RA Output'!DD$1), rng_out_mail_ind, $B31, rng_out_sel_sp_ind, $D31, rng_out_sel_excl_ind,$F31,rng_out_sel_excl_yr_ind, ""), 0))/[1]Tables!$AT$4</f>
        <v>#REF!</v>
      </c>
      <c r="AV31" s="86">
        <f ca="1">IFERROR(AQ31/AV$60, 0)</f>
        <v>0</v>
      </c>
      <c r="AW31" s="75">
        <f ca="1">IFERROR(AR31/AW$60, 0)</f>
        <v>0</v>
      </c>
      <c r="AX31" s="75">
        <f ca="1">IFERROR(AS31/AX$60, 0)</f>
        <v>0</v>
      </c>
      <c r="AY31" s="75">
        <f ca="1">IFERROR(AT31/AY$60, 0)</f>
        <v>0</v>
      </c>
      <c r="AZ31" s="87">
        <f ca="1">IFERROR(AU31/AZ$60, 0)</f>
        <v>0</v>
      </c>
      <c r="BA31" s="75">
        <f ca="1">IFERROR(AQ31/BA$60, 0)</f>
        <v>0</v>
      </c>
      <c r="BB31" s="75">
        <f ca="1">IFERROR(AR31/BB$60, 0)</f>
        <v>0</v>
      </c>
      <c r="BC31" s="75">
        <f ca="1">IFERROR(AS31/BC$60, 0)</f>
        <v>0</v>
      </c>
      <c r="BD31" s="75">
        <f ca="1">IFERROR(AT31/BD$60, 0)</f>
        <v>0</v>
      </c>
      <c r="BE31" s="87">
        <f ca="1">IFERROR(AU31/BE$60, 0)</f>
        <v>0</v>
      </c>
      <c r="BG31" s="121" t="s">
        <v>7</v>
      </c>
      <c r="BH31" s="97" t="e">
        <f ca="1">AQ31*'[1]Lift Adjustment'!M$60</f>
        <v>#REF!</v>
      </c>
      <c r="BI31" s="79" t="e">
        <f ca="1">AR31*'[1]Lift Adjustment'!N$60</f>
        <v>#REF!</v>
      </c>
      <c r="BJ31" s="79" t="e">
        <f ca="1">AS31*'[1]Lift Adjustment'!O$60</f>
        <v>#REF!</v>
      </c>
      <c r="BK31" s="79" t="e">
        <f ca="1">AT31*'[1]Lift Adjustment'!P$60</f>
        <v>#REF!</v>
      </c>
      <c r="BL31" s="98" t="e">
        <f ca="1">AU31*'[1]Lift Adjustment'!Q$60</f>
        <v>#REF!</v>
      </c>
      <c r="BM31" s="92">
        <f ca="1">IFERROR(BH31/BM$60, 0)</f>
        <v>0</v>
      </c>
      <c r="BN31" s="75">
        <f ca="1">IFERROR(BI31/BN$60, 0)</f>
        <v>0</v>
      </c>
      <c r="BO31" s="75">
        <f ca="1">IFERROR(BJ31/BO$60, 0)</f>
        <v>0</v>
      </c>
      <c r="BP31" s="75">
        <f ca="1">IFERROR(BK31/BP$60, 0)</f>
        <v>0</v>
      </c>
      <c r="BQ31" s="93">
        <f ca="1">IFERROR(BL31/BQ$60, 0)</f>
        <v>0</v>
      </c>
      <c r="BR31" s="92">
        <f ca="1">IFERROR(BH31/BR$60, 0)</f>
        <v>0</v>
      </c>
      <c r="BS31" s="75">
        <f ca="1">IFERROR(BI31/BS$60, 0)</f>
        <v>0</v>
      </c>
      <c r="BT31" s="75">
        <f ca="1">IFERROR(BJ31/BT$60, 0)</f>
        <v>0</v>
      </c>
      <c r="BU31" s="75">
        <f ca="1">IFERROR(BK31/BU$60, 0)</f>
        <v>0</v>
      </c>
      <c r="BV31" s="93">
        <f ca="1">IFERROR(BL31/BV$60, 0)</f>
        <v>0</v>
      </c>
      <c r="BX31" s="121" t="s">
        <v>7</v>
      </c>
      <c r="BY31" s="97" t="e">
        <f t="shared" ca="1" si="7"/>
        <v>#VALUE!</v>
      </c>
      <c r="BZ31" s="79" t="e">
        <f t="shared" ca="1" si="7"/>
        <v>#VALUE!</v>
      </c>
      <c r="CA31" s="79" t="e">
        <f t="shared" ca="1" si="7"/>
        <v>#VALUE!</v>
      </c>
      <c r="CB31" s="79" t="e">
        <f t="shared" ca="1" si="7"/>
        <v>#VALUE!</v>
      </c>
      <c r="CC31" s="98" t="e">
        <f t="shared" ca="1" si="7"/>
        <v>#VALUE!</v>
      </c>
      <c r="CD31" s="92">
        <f t="shared" ca="1" si="8"/>
        <v>0</v>
      </c>
      <c r="CE31" s="75">
        <f t="shared" ca="1" si="8"/>
        <v>0</v>
      </c>
      <c r="CF31" s="75">
        <f t="shared" ca="1" si="8"/>
        <v>0</v>
      </c>
      <c r="CG31" s="75">
        <f t="shared" ca="1" si="8"/>
        <v>0</v>
      </c>
      <c r="CH31" s="93">
        <f t="shared" ca="1" si="8"/>
        <v>0</v>
      </c>
      <c r="CI31" s="92">
        <f t="shared" ca="1" si="9"/>
        <v>0</v>
      </c>
      <c r="CJ31" s="75">
        <f t="shared" ca="1" si="9"/>
        <v>0</v>
      </c>
      <c r="CK31" s="75">
        <f t="shared" ca="1" si="9"/>
        <v>0</v>
      </c>
      <c r="CL31" s="75">
        <f t="shared" ca="1" si="9"/>
        <v>0</v>
      </c>
      <c r="CM31" s="93">
        <f t="shared" ca="1" si="9"/>
        <v>0</v>
      </c>
      <c r="DC31" s="112" cm="1">
        <f t="array" aca="1" ref="DC31" ca="1">IFERROR(BM31-BM31*BR69*(1-INDEX([1]Tables!$EA$4:$EE$60,MATCH([1]Tables!$C$22&amp;$BX31,[1]Tables!$EA$4:$EA$60,0),[1]Tables!$EE$1))*(1-DI31)/CD60, 0)</f>
        <v>0</v>
      </c>
      <c r="DD31" s="113" cm="1">
        <f t="array" aca="1" ref="DD31" ca="1">IFERROR(BN31-BN31*BS69*(1-INDEX([1]Tables!$EA$4:$EE$60,MATCH([1]Tables!$C$22&amp;$BX31,[1]Tables!$EA$4:$EA$60,0),[1]Tables!$EE$1))*(1-DJ31)/CE60, 0)</f>
        <v>0</v>
      </c>
      <c r="DE31" s="113" cm="1">
        <f t="array" aca="1" ref="DE31" ca="1">IFERROR(BO31-BO31*BT69*(1-INDEX([1]Tables!$EA$4:$EE$60,MATCH([1]Tables!$C$22&amp;$BX31,[1]Tables!$EA$4:$EA$60,0),[1]Tables!$EE$1))*(1-DK31)/CF60, 0)</f>
        <v>0</v>
      </c>
      <c r="DF31" s="113" cm="1">
        <f t="array" aca="1" ref="DF31" ca="1">IFERROR(BP31-BP31*BU69*(1-INDEX([1]Tables!$EA$4:$EE$60,MATCH([1]Tables!$C$22&amp;$BX31,[1]Tables!$EA$4:$EA$60,0),[1]Tables!$EE$1))*(1-DL31)/CG60, 0)</f>
        <v>0</v>
      </c>
      <c r="DG31" s="114" cm="1">
        <f t="array" aca="1" ref="DG31" ca="1">IFERROR(BQ31-BQ31*BV69*(1-INDEX([1]Tables!$EA$4:$EE$60,MATCH([1]Tables!$C$22&amp;$BX31,[1]Tables!$EA$4:$EA$60,0),[1]Tables!$EE$1))*(1-DM31)/CH60, 0)</f>
        <v>0</v>
      </c>
      <c r="DI31" s="115" cm="1">
        <f t="array" aca="1" ref="DI31" ca="1">IFERROR(((SUMPRODUCT((rng_out_mail_ind = $B31) * (rng_out_sel_sp_ind = $D31)   * (rng_out_sel_excl_ind = $E31) * (rng_out_ppl_post_yr1*rng_out_340B)) +
IF([1]Tables!$C$16=[1]Tables!$CF$4, SUMPRODUCT((rng_out_mail_ind = $B31) * (rng_out_sel_sp_ind = $D31) * (rng_out_sel_excl_ind = $F31) * (rng_out_ppl_post_yr1*rng_out_340B)), 0))/[1]Tables!$AT$4)/AQ31, 0)</f>
        <v>0</v>
      </c>
      <c r="DJ31" s="116" cm="1">
        <f t="array" aca="1" ref="DJ31" ca="1">IFERROR(((SUMPRODUCT((rng_out_mail_ind = $B31) * (rng_out_sel_sp_ind = $D31)   * (rng_out_sel_excl_ind = $E31) * (rng_out_ppl_post_yr2*rng_out_340B)) +
IF([1]Tables!$C$16=[1]Tables!$CF$4, SUMPRODUCT((rng_out_mail_ind = $B31) * (rng_out_sel_sp_ind = $D31) * (rng_out_sel_excl_ind = $F31) * (rng_out_ppl_post_yr2*rng_out_340B)), 0))/[1]Tables!$AT$4)/AR31, 0)</f>
        <v>0</v>
      </c>
      <c r="DK31" s="116" cm="1">
        <f t="array" aca="1" ref="DK31" ca="1">IFERROR(((SUMPRODUCT((rng_out_mail_ind = $B31) * (rng_out_sel_sp_ind = $D31)   * (rng_out_sel_excl_ind = $E31) * (rng_out_ppl_post_yr3*rng_out_340B)) +
IF([1]Tables!$C$16=[1]Tables!$CF$4, SUMPRODUCT((rng_out_mail_ind = $B31) * (rng_out_sel_sp_ind = $D31) * (rng_out_sel_excl_ind = $F31) * (rng_out_ppl_post_yr3*rng_out_340B)), 0))/[1]Tables!$AT$4)/AS31, 0)</f>
        <v>0</v>
      </c>
      <c r="DL31" s="116" cm="1">
        <f t="array" aca="1" ref="DL31" ca="1">IFERROR(((SUMPRODUCT((rng_out_mail_ind = $B31) * (rng_out_sel_sp_ind = $D31)   * (rng_out_sel_excl_ind = $E31) * (rng_out_ppl_post_yr4*rng_out_340B)) +
IF([1]Tables!$C$16=[1]Tables!$CF$4, SUMPRODUCT((rng_out_mail_ind = $B31) * (rng_out_sel_sp_ind = $D31) * (rng_out_sel_excl_ind = $F31) * (rng_out_ppl_post_yr4*rng_out_340B)), 0))/[1]Tables!$AT$4)/AT31, 0)</f>
        <v>0</v>
      </c>
      <c r="DM31" s="117" cm="1">
        <f t="array" aca="1" ref="DM31" ca="1">IFERROR(((SUMPRODUCT((rng_out_mail_ind = $B31) * (rng_out_sel_sp_ind = $D31)   * (rng_out_sel_excl_ind = $E31) * (rng_out_ppl_post_yr5*rng_out_340B)) +
IF([1]Tables!$C$16=[1]Tables!$CF$4, SUMPRODUCT((rng_out_mail_ind = $B31) * (rng_out_sel_sp_ind = $D31) * (rng_out_sel_excl_ind = $F31) * (rng_out_ppl_post_yr5*rng_out_340B)), 0))/[1]Tables!$AT$4)/AU31, 0)</f>
        <v>0</v>
      </c>
    </row>
    <row r="32" spans="2:117" ht="15" thickBot="1" x14ac:dyDescent="0.4">
      <c r="B32" s="122"/>
      <c r="C32" s="123"/>
      <c r="D32" s="123" t="s">
        <v>13</v>
      </c>
      <c r="E32" s="122" t="s">
        <v>12</v>
      </c>
      <c r="F32" s="124" t="s">
        <v>13</v>
      </c>
      <c r="H32" s="118" t="s">
        <v>17</v>
      </c>
      <c r="I32" s="72" t="e" cm="1">
        <f t="array" aca="1" ref="I32" ca="1">SUMIFS(INDIRECT('[1]RA Output'!BZ$1), rng_out_sel_sp_ind, $D32, rng_out_sel_excl_ind,$E32)
+ SUMIFS(INDIRECT('[1]RA Output'!BZ$1), rng_out_sel_sp_ind, $D32, rng_out_sel_excl_ind,$F32, rng_out_sel_excl_yr_ind, "&gt;0")
+ IF([1]Tables!$C$16=[1]Tables!$CF$4, SUMIFS(INDIRECT('[1]RA Output'!BZ$1), rng_out_sel_sp_ind, $D32, rng_out_sel_excl_ind,$F32, rng_out_sel_excl_yr_ind, ""), 0)</f>
        <v>#REF!</v>
      </c>
      <c r="J32" s="5" t="e" cm="1">
        <f t="array" aca="1" ref="J32" ca="1">SUMIFS(INDIRECT('[1]RA Output'!CA$1), rng_out_sel_sp_ind, $D32, rng_out_sel_excl_ind,$E32)
+ SUMIFS(INDIRECT('[1]RA Output'!CA$1), rng_out_sel_sp_ind, $D32, rng_out_sel_excl_ind,$F32, rng_out_sel_excl_yr_ind, "&gt;0")
+ IF([1]Tables!$C$16=[1]Tables!$CF$4, SUMIFS(INDIRECT('[1]RA Output'!CA$1), rng_out_sel_sp_ind, $D32, rng_out_sel_excl_ind,$F32, rng_out_sel_excl_yr_ind, ""), 0)</f>
        <v>#REF!</v>
      </c>
      <c r="K32" s="5" t="e" cm="1">
        <f t="array" aca="1" ref="K32" ca="1">SUMIFS(INDIRECT('[1]RA Output'!CB$1), rng_out_sel_sp_ind, $D32, rng_out_sel_excl_ind,$E32)
+ SUMIFS(INDIRECT('[1]RA Output'!CB$1), rng_out_sel_sp_ind, $D32, rng_out_sel_excl_ind,$F32, rng_out_sel_excl_yr_ind, "&gt;0")
+ IF([1]Tables!$C$16=[1]Tables!$CF$4, SUMIFS(INDIRECT('[1]RA Output'!CB$1), rng_out_sel_sp_ind, $D32, rng_out_sel_excl_ind,$F32, rng_out_sel_excl_yr_ind, ""), 0)</f>
        <v>#REF!</v>
      </c>
      <c r="L32" s="5" t="e" cm="1">
        <f t="array" aca="1" ref="L32" ca="1">SUMIFS(INDIRECT('[1]RA Output'!CC$1), rng_out_sel_sp_ind, $D32, rng_out_sel_excl_ind,$E32)
+ SUMIFS(INDIRECT('[1]RA Output'!CC$1), rng_out_sel_sp_ind, $D32, rng_out_sel_excl_ind,$F32, rng_out_sel_excl_yr_ind, "&gt;0")
+ IF([1]Tables!$C$16=[1]Tables!$CF$4, SUMIFS(INDIRECT('[1]RA Output'!CC$1), rng_out_sel_sp_ind, $D32, rng_out_sel_excl_ind,$F32, rng_out_sel_excl_yr_ind, ""), 0)</f>
        <v>#REF!</v>
      </c>
      <c r="M32" s="125" t="e" cm="1">
        <f t="array" aca="1" ref="M32" ca="1">SUMIFS(INDIRECT('[1]RA Output'!CD$1), rng_out_sel_sp_ind, $D32, rng_out_sel_excl_ind,$E32)
+ SUMIFS(INDIRECT('[1]RA Output'!CD$1), rng_out_sel_sp_ind, $D32, rng_out_sel_excl_ind,$F32, rng_out_sel_excl_yr_ind, "&gt;0")
+ IF([1]Tables!$C$16=[1]Tables!$CF$4, SUMIFS(INDIRECT('[1]RA Output'!CD$1), rng_out_sel_sp_ind, $D32, rng_out_sel_excl_ind,$F32, rng_out_sel_excl_yr_ind, ""), 0)</f>
        <v>#REF!</v>
      </c>
      <c r="N32" s="74">
        <f ca="1">IFERROR(I32/N$61, 0)</f>
        <v>0</v>
      </c>
      <c r="O32" s="75">
        <f ca="1">IFERROR(J32/O$61, 0)</f>
        <v>0</v>
      </c>
      <c r="P32" s="75">
        <f ca="1">IFERROR(K32/P$61, 0)</f>
        <v>0</v>
      </c>
      <c r="Q32" s="75">
        <f ca="1">IFERROR(L32/Q$61, 0)</f>
        <v>0</v>
      </c>
      <c r="R32" s="126">
        <f ca="1">IFERROR(M32/R$61, 0)</f>
        <v>0</v>
      </c>
      <c r="S32" s="75">
        <f ca="1">IFERROR(I32/S$61, 0)</f>
        <v>0</v>
      </c>
      <c r="T32" s="75">
        <f ca="1">IFERROR(J32/T$61, 0)</f>
        <v>0</v>
      </c>
      <c r="U32" s="75">
        <f ca="1">IFERROR(K32/U$61, 0)</f>
        <v>0</v>
      </c>
      <c r="V32" s="75">
        <f ca="1">IFERROR(L32/V$61, 0)</f>
        <v>0</v>
      </c>
      <c r="W32" s="76">
        <f ca="1">IFERROR(M32/W$61, 0)</f>
        <v>0</v>
      </c>
      <c r="Y32" s="119" t="s">
        <v>17</v>
      </c>
      <c r="Z32" s="127">
        <f ca="1">IFERROR(I32/[1]Tables!$AT$4, 0)</f>
        <v>0</v>
      </c>
      <c r="AA32" s="128">
        <f ca="1">IFERROR(J32/[1]Tables!$AT$4, 0)</f>
        <v>0</v>
      </c>
      <c r="AB32" s="128">
        <f ca="1">IFERROR(K32/[1]Tables!$AT$4, 0)</f>
        <v>0</v>
      </c>
      <c r="AC32" s="128">
        <f ca="1">IFERROR(L32/[1]Tables!$AT$4, 0)</f>
        <v>0</v>
      </c>
      <c r="AD32" s="129">
        <f ca="1">IFERROR(M32/[1]Tables!$AT$4, 0)</f>
        <v>0</v>
      </c>
      <c r="AE32" s="130">
        <f ca="1">IFERROR(N32/[1]Tables!$AT$4, 0)</f>
        <v>0</v>
      </c>
      <c r="AF32" s="131">
        <f ca="1">IFERROR(O32/[1]Tables!$AT$4, 0)</f>
        <v>0</v>
      </c>
      <c r="AG32" s="131">
        <f ca="1">IFERROR(P32/[1]Tables!$AT$4, 0)</f>
        <v>0</v>
      </c>
      <c r="AH32" s="131">
        <f ca="1">IFERROR(Q32/[1]Tables!$AT$4, 0)</f>
        <v>0</v>
      </c>
      <c r="AI32" s="132">
        <f ca="1">IFERROR(R32/[1]Tables!$AT$4, 0)</f>
        <v>0</v>
      </c>
      <c r="AJ32" s="131">
        <f ca="1">IFERROR(S32/[1]Tables!$AT$4, 0)</f>
        <v>0</v>
      </c>
      <c r="AK32" s="131">
        <f ca="1">IFERROR(T32/[1]Tables!$AT$4, 0)</f>
        <v>0</v>
      </c>
      <c r="AL32" s="131">
        <f ca="1">IFERROR(U32/[1]Tables!$AT$4, 0)</f>
        <v>0</v>
      </c>
      <c r="AM32" s="131">
        <f ca="1">IFERROR(V32/[1]Tables!$AT$4, 0)</f>
        <v>0</v>
      </c>
      <c r="AN32" s="132">
        <f ca="1">IFERROR(W32/[1]Tables!$AT$4, 0)</f>
        <v>0</v>
      </c>
      <c r="AP32" s="120" t="s">
        <v>17</v>
      </c>
      <c r="AQ32" s="133" t="e" cm="1">
        <f t="array" aca="1" ref="AQ32" ca="1">(SUMIFS(INDIRECT('[1]RA Output'!CZ$1), rng_out_sel_sp_ind, $D32, rng_out_sel_excl_ind,$E32)
+ SUMIFS(INDIRECT('[1]RA Output'!CZ$1), rng_out_sel_sp_ind, $D32, rng_out_sel_excl_ind,$F32, rng_out_sel_excl_yr_ind, "&gt;0")
+ IF([1]Tables!$C$16=[1]Tables!$CF$4, SUMIFS(INDIRECT('[1]RA Output'!CZ$1), rng_out_sel_sp_ind, $D32, rng_out_sel_excl_ind,$F32, rng_out_sel_excl_yr_ind, ""), 0))/[1]Tables!$AT$4</f>
        <v>#REF!</v>
      </c>
      <c r="AR32" s="134" t="e" cm="1">
        <f t="array" aca="1" ref="AR32" ca="1">(SUMIFS(INDIRECT('[1]RA Output'!DA$1), rng_out_sel_sp_ind, $D32, rng_out_sel_excl_ind,$E32)
+ SUMIFS(INDIRECT('[1]RA Output'!DA$1), rng_out_sel_sp_ind, $D32, rng_out_sel_excl_ind,$F32, rng_out_sel_excl_yr_ind, "&gt;0")
+ IF([1]Tables!$C$16=[1]Tables!$CF$4, SUMIFS(INDIRECT('[1]RA Output'!DA$1), rng_out_sel_sp_ind, $D32, rng_out_sel_excl_ind,$F32, rng_out_sel_excl_yr_ind, ""), 0))/[1]Tables!$AT$4</f>
        <v>#REF!</v>
      </c>
      <c r="AS32" s="134" t="e" cm="1">
        <f t="array" aca="1" ref="AS32" ca="1">(SUMIFS(INDIRECT('[1]RA Output'!DB$1), rng_out_sel_sp_ind, $D32, rng_out_sel_excl_ind,$E32)
+ SUMIFS(INDIRECT('[1]RA Output'!DB$1), rng_out_sel_sp_ind, $D32, rng_out_sel_excl_ind,$F32, rng_out_sel_excl_yr_ind, "&gt;0")
+ IF([1]Tables!$C$16=[1]Tables!$CF$4, SUMIFS(INDIRECT('[1]RA Output'!DB$1), rng_out_sel_sp_ind, $D32, rng_out_sel_excl_ind,$F32, rng_out_sel_excl_yr_ind, ""), 0))/[1]Tables!$AT$4</f>
        <v>#REF!</v>
      </c>
      <c r="AT32" s="134" t="e" cm="1">
        <f t="array" aca="1" ref="AT32" ca="1">(SUMIFS(INDIRECT('[1]RA Output'!DC$1), rng_out_sel_sp_ind, $D32, rng_out_sel_excl_ind,$E32)
+ SUMIFS(INDIRECT('[1]RA Output'!DC$1), rng_out_sel_sp_ind, $D32, rng_out_sel_excl_ind,$F32, rng_out_sel_excl_yr_ind, "&gt;0")
+ IF([1]Tables!$C$16=[1]Tables!$CF$4, SUMIFS(INDIRECT('[1]RA Output'!DC$1), rng_out_sel_sp_ind, $D32, rng_out_sel_excl_ind,$F32, rng_out_sel_excl_yr_ind, ""), 0))/[1]Tables!$AT$4</f>
        <v>#REF!</v>
      </c>
      <c r="AU32" s="135" t="e" cm="1">
        <f t="array" aca="1" ref="AU32" ca="1">(SUMIFS(INDIRECT('[1]RA Output'!DD$1), rng_out_sel_sp_ind, $D32, rng_out_sel_excl_ind,$E32)
+ SUMIFS(INDIRECT('[1]RA Output'!DD$1), rng_out_sel_sp_ind, $D32, rng_out_sel_excl_ind,$F32, rng_out_sel_excl_yr_ind, "&gt;0")
+ IF([1]Tables!$C$16=[1]Tables!$CF$4, SUMIFS(INDIRECT('[1]RA Output'!DD$1), rng_out_sel_sp_ind, $D32, rng_out_sel_excl_ind,$F32, rng_out_sel_excl_yr_ind, ""), 0))/[1]Tables!$AT$4</f>
        <v>#REF!</v>
      </c>
      <c r="AV32" s="136">
        <f ca="1">IFERROR(AQ32/AV$61, 0)</f>
        <v>0</v>
      </c>
      <c r="AW32" s="137">
        <f ca="1">IFERROR(AR32/AW$61, 0)</f>
        <v>0</v>
      </c>
      <c r="AX32" s="137">
        <f ca="1">IFERROR(AS32/AX$61, 0)</f>
        <v>0</v>
      </c>
      <c r="AY32" s="137">
        <f ca="1">IFERROR(AT32/AY$61, 0)</f>
        <v>0</v>
      </c>
      <c r="AZ32" s="138">
        <f ca="1">IFERROR(AU32/AZ$61, 0)</f>
        <v>0</v>
      </c>
      <c r="BA32" s="137">
        <f ca="1">IFERROR(AQ32/BA$61, 0)</f>
        <v>0</v>
      </c>
      <c r="BB32" s="137">
        <f ca="1">IFERROR(AR32/BB$61, 0)</f>
        <v>0</v>
      </c>
      <c r="BC32" s="137">
        <f ca="1">IFERROR(AS32/BC$61, 0)</f>
        <v>0</v>
      </c>
      <c r="BD32" s="137">
        <f ca="1">IFERROR(AT32/BD$61, 0)</f>
        <v>0</v>
      </c>
      <c r="BE32" s="138">
        <f ca="1">IFERROR(AU32/BE$61, 0)</f>
        <v>0</v>
      </c>
      <c r="BG32" s="121" t="s">
        <v>17</v>
      </c>
      <c r="BH32" s="145" t="e">
        <f ca="1">AQ32*'[1]Lift Adjustment'!M$61</f>
        <v>#REF!</v>
      </c>
      <c r="BI32" s="146" t="e">
        <f ca="1">AR32*'[1]Lift Adjustment'!N$61</f>
        <v>#REF!</v>
      </c>
      <c r="BJ32" s="146" t="e">
        <f ca="1">AS32*'[1]Lift Adjustment'!O$61</f>
        <v>#REF!</v>
      </c>
      <c r="BK32" s="146" t="e">
        <f ca="1">AT32*'[1]Lift Adjustment'!P$61</f>
        <v>#REF!</v>
      </c>
      <c r="BL32" s="147" t="e">
        <f ca="1">AU32*'[1]Lift Adjustment'!Q$61</f>
        <v>#REF!</v>
      </c>
      <c r="BM32" s="142">
        <f ca="1">IFERROR(BH32/BM$61, 0)</f>
        <v>0</v>
      </c>
      <c r="BN32" s="143">
        <f ca="1">IFERROR(BI32/BN$61, 0)</f>
        <v>0</v>
      </c>
      <c r="BO32" s="143">
        <f ca="1">IFERROR(BJ32/BO$61, 0)</f>
        <v>0</v>
      </c>
      <c r="BP32" s="143">
        <f ca="1">IFERROR(BK32/BP$61, 0)</f>
        <v>0</v>
      </c>
      <c r="BQ32" s="144">
        <f ca="1">IFERROR(BL32/BQ$61, 0)</f>
        <v>0</v>
      </c>
      <c r="BR32" s="143">
        <f ca="1">IFERROR(BH32/BR$61, 0)</f>
        <v>0</v>
      </c>
      <c r="BS32" s="143">
        <f ca="1">IFERROR(BI32/BS$61, 0)</f>
        <v>0</v>
      </c>
      <c r="BT32" s="143">
        <f ca="1">IFERROR(BJ32/BT$61, 0)</f>
        <v>0</v>
      </c>
      <c r="BU32" s="143">
        <f ca="1">IFERROR(BK32/BU$61, 0)</f>
        <v>0</v>
      </c>
      <c r="BV32" s="144">
        <f ca="1">IFERROR(BL32/BV$61, 0)</f>
        <v>0</v>
      </c>
      <c r="BX32" s="121" t="s">
        <v>17</v>
      </c>
      <c r="BY32" s="145" t="e">
        <f t="shared" ca="1" si="7"/>
        <v>#VALUE!</v>
      </c>
      <c r="BZ32" s="146" t="e">
        <f t="shared" ca="1" si="7"/>
        <v>#VALUE!</v>
      </c>
      <c r="CA32" s="146" t="e">
        <f t="shared" ca="1" si="7"/>
        <v>#VALUE!</v>
      </c>
      <c r="CB32" s="146" t="e">
        <f t="shared" ca="1" si="7"/>
        <v>#VALUE!</v>
      </c>
      <c r="CC32" s="147" t="e">
        <f t="shared" ca="1" si="7"/>
        <v>#VALUE!</v>
      </c>
      <c r="CD32" s="142">
        <f t="shared" ca="1" si="8"/>
        <v>0</v>
      </c>
      <c r="CE32" s="143">
        <f t="shared" ca="1" si="8"/>
        <v>0</v>
      </c>
      <c r="CF32" s="143">
        <f t="shared" ca="1" si="8"/>
        <v>0</v>
      </c>
      <c r="CG32" s="143">
        <f t="shared" ca="1" si="8"/>
        <v>0</v>
      </c>
      <c r="CH32" s="144">
        <f t="shared" ca="1" si="8"/>
        <v>0</v>
      </c>
      <c r="CI32" s="143">
        <f t="shared" ca="1" si="9"/>
        <v>0</v>
      </c>
      <c r="CJ32" s="143">
        <f t="shared" ca="1" si="9"/>
        <v>0</v>
      </c>
      <c r="CK32" s="143">
        <f t="shared" ca="1" si="9"/>
        <v>0</v>
      </c>
      <c r="CL32" s="143">
        <f t="shared" ca="1" si="9"/>
        <v>0</v>
      </c>
      <c r="CM32" s="144">
        <f t="shared" ca="1" si="9"/>
        <v>0</v>
      </c>
      <c r="DC32" s="148" cm="1">
        <f t="array" aca="1" ref="DC32" ca="1">IFERROR(BM32-BM32*BR70*(1-INDEX([1]Tables!$EA$4:$EE$60,MATCH([1]Tables!$C$22&amp;$BX32,[1]Tables!$EA$4:$EA$60,0),[1]Tables!$EE$1))*(1-DI32)/CD61, 0)</f>
        <v>0</v>
      </c>
      <c r="DD32" s="149" cm="1">
        <f t="array" aca="1" ref="DD32" ca="1">IFERROR(BN32-BN32*BS70*(1-INDEX([1]Tables!$EA$4:$EE$60,MATCH([1]Tables!$C$22&amp;$BX32,[1]Tables!$EA$4:$EA$60,0),[1]Tables!$EE$1))*(1-DJ32)/CE61, 0)</f>
        <v>0</v>
      </c>
      <c r="DE32" s="149" cm="1">
        <f t="array" aca="1" ref="DE32" ca="1">IFERROR(BO32-BO32*BT70*(1-INDEX([1]Tables!$EA$4:$EE$60,MATCH([1]Tables!$C$22&amp;$BX32,[1]Tables!$EA$4:$EA$60,0),[1]Tables!$EE$1))*(1-DK32)/CF61, 0)</f>
        <v>0</v>
      </c>
      <c r="DF32" s="149" cm="1">
        <f t="array" aca="1" ref="DF32" ca="1">IFERROR(BP32-BP32*BU70*(1-INDEX([1]Tables!$EA$4:$EE$60,MATCH([1]Tables!$C$22&amp;$BX32,[1]Tables!$EA$4:$EA$60,0),[1]Tables!$EE$1))*(1-DL32)/CG61, 0)</f>
        <v>0</v>
      </c>
      <c r="DG32" s="150" cm="1">
        <f t="array" aca="1" ref="DG32" ca="1">IFERROR(BQ32-BQ32*BV70*(1-INDEX([1]Tables!$EA$4:$EE$60,MATCH([1]Tables!$C$22&amp;$BX32,[1]Tables!$EA$4:$EA$60,0),[1]Tables!$EE$1))*(1-DM32)/CH61, 0)</f>
        <v>0</v>
      </c>
      <c r="DI32" s="151" cm="1">
        <f t="array" aca="1" ref="DI32" ca="1">IFERROR(((SUMPRODUCT((rng_out_sel_sp_ind = $D32)   * (rng_out_sel_excl_ind = $E32) * (rng_out_ppl_post_yr1*rng_out_340B)) +
IF([1]Tables!$C$16=[1]Tables!$CF$4, SUMPRODUCT((rng_out_sel_sp_ind = $D32) * (rng_out_sel_excl_ind = $F32) * (rng_out_ppl_post_yr1*rng_out_340B)), 0))/[1]Tables!$AT$4)/AQ32, 0)</f>
        <v>0</v>
      </c>
      <c r="DJ32" s="152" cm="1">
        <f t="array" aca="1" ref="DJ32" ca="1">IFERROR(((SUMPRODUCT((rng_out_sel_sp_ind = $D32)   * (rng_out_sel_excl_ind = $E32) * (rng_out_ppl_post_yr2*rng_out_340B)) +
IF([1]Tables!$C$16=[1]Tables!$CF$4, SUMPRODUCT((rng_out_sel_sp_ind = $D32) * (rng_out_sel_excl_ind = $F32) * (rng_out_ppl_post_yr2*rng_out_340B)), 0))/[1]Tables!$AT$4)/AR32, 0)</f>
        <v>0</v>
      </c>
      <c r="DK32" s="152" cm="1">
        <f t="array" aca="1" ref="DK32" ca="1">IFERROR(((SUMPRODUCT((rng_out_sel_sp_ind = $D32)   * (rng_out_sel_excl_ind = $E32) * (rng_out_ppl_post_yr3*rng_out_340B)) +
IF([1]Tables!$C$16=[1]Tables!$CF$4, SUMPRODUCT((rng_out_sel_sp_ind = $D32) * (rng_out_sel_excl_ind = $F32) * (rng_out_ppl_post_yr3*rng_out_340B)), 0))/[1]Tables!$AT$4)/AS32, 0)</f>
        <v>0</v>
      </c>
      <c r="DL32" s="152" cm="1">
        <f t="array" aca="1" ref="DL32" ca="1">IFERROR(((SUMPRODUCT((rng_out_sel_sp_ind = $D32)   * (rng_out_sel_excl_ind = $E32) * (rng_out_ppl_post_yr4*rng_out_340B)) +
IF([1]Tables!$C$16=[1]Tables!$CF$4, SUMPRODUCT((rng_out_sel_sp_ind = $D32) * (rng_out_sel_excl_ind = $F32) * (rng_out_ppl_post_yr4*rng_out_340B)), 0))/[1]Tables!$AT$4)/AT32, 0)</f>
        <v>0</v>
      </c>
      <c r="DM32" s="153" cm="1">
        <f t="array" aca="1" ref="DM32" ca="1">IFERROR(((SUMPRODUCT((rng_out_sel_sp_ind = $D32)   * (rng_out_sel_excl_ind = $E32) * (rng_out_ppl_post_yr5*rng_out_340B)) +
IF([1]Tables!$C$16=[1]Tables!$CF$4, SUMPRODUCT((rng_out_sel_sp_ind = $D32) * (rng_out_sel_excl_ind = $F32) * (rng_out_ppl_post_yr5*rng_out_340B)), 0))/[1]Tables!$AT$4)/AU32, 0)</f>
        <v>0</v>
      </c>
    </row>
    <row r="33" spans="2:117" ht="15" thickBot="1" x14ac:dyDescent="0.4">
      <c r="H33" s="154" t="s">
        <v>18</v>
      </c>
      <c r="I33" s="155" t="e">
        <f ca="1">SUM(I29:I32)</f>
        <v>#REF!</v>
      </c>
      <c r="J33" s="155" t="e">
        <f ca="1">SUM(J29:J32)</f>
        <v>#REF!</v>
      </c>
      <c r="K33" s="155" t="e">
        <f ca="1">SUM(K29:K32)</f>
        <v>#REF!</v>
      </c>
      <c r="L33" s="155" t="e">
        <f ca="1">SUM(L29:L32)</f>
        <v>#REF!</v>
      </c>
      <c r="M33" s="156" t="e">
        <f ca="1">SUM(M29:M32)</f>
        <v>#REF!</v>
      </c>
      <c r="N33" s="157">
        <f ca="1">IFERROR(I33/N$62, 0)</f>
        <v>0</v>
      </c>
      <c r="O33" s="157">
        <f ca="1">IFERROR(J33/O$62, 0)</f>
        <v>0</v>
      </c>
      <c r="P33" s="157">
        <f ca="1">IFERROR(K33/P$62, 0)</f>
        <v>0</v>
      </c>
      <c r="Q33" s="157">
        <f ca="1">IFERROR(L33/Q$62, 0)</f>
        <v>0</v>
      </c>
      <c r="R33" s="158">
        <f ca="1">IFERROR(M33/R$62, 0)</f>
        <v>0</v>
      </c>
      <c r="S33" s="157">
        <f ca="1">IFERROR(I33/S$62, 0)</f>
        <v>0</v>
      </c>
      <c r="T33" s="157">
        <f ca="1">IFERROR(J33/T$62, 0)</f>
        <v>0</v>
      </c>
      <c r="U33" s="157">
        <f ca="1">IFERROR(K33/U$62, 0)</f>
        <v>0</v>
      </c>
      <c r="V33" s="157">
        <f ca="1">IFERROR(L33/V$62, 0)</f>
        <v>0</v>
      </c>
      <c r="W33" s="158">
        <f ca="1">IFERROR(M33/W$62, 0)</f>
        <v>0</v>
      </c>
      <c r="Y33" s="159" t="s">
        <v>18</v>
      </c>
      <c r="Z33" s="160">
        <f ca="1">SUM(Z29:Z32)</f>
        <v>0</v>
      </c>
      <c r="AA33" s="161">
        <f ca="1">SUM(AA29:AA32)</f>
        <v>0</v>
      </c>
      <c r="AB33" s="161">
        <f ca="1">SUM(AB29:AB32)</f>
        <v>0</v>
      </c>
      <c r="AC33" s="161">
        <f ca="1">SUM(AC29:AC32)</f>
        <v>0</v>
      </c>
      <c r="AD33" s="162">
        <f ca="1">SUM(AD29:AD32)</f>
        <v>0</v>
      </c>
      <c r="AE33" s="163">
        <f ca="1">IFERROR(N33/[1]Tables!$AT$4, 0)</f>
        <v>0</v>
      </c>
      <c r="AF33" s="164">
        <f ca="1">IFERROR(O33/[1]Tables!$AT$4, 0)</f>
        <v>0</v>
      </c>
      <c r="AG33" s="164">
        <f ca="1">IFERROR(P33/[1]Tables!$AT$4, 0)</f>
        <v>0</v>
      </c>
      <c r="AH33" s="164">
        <f ca="1">IFERROR(Q33/[1]Tables!$AT$4, 0)</f>
        <v>0</v>
      </c>
      <c r="AI33" s="165">
        <f ca="1">IFERROR(R33/[1]Tables!$AT$4, 0)</f>
        <v>0</v>
      </c>
      <c r="AJ33" s="164">
        <f ca="1">IFERROR(S33/[1]Tables!$AT$4, 0)</f>
        <v>0</v>
      </c>
      <c r="AK33" s="164">
        <f ca="1">IFERROR(T33/[1]Tables!$AT$4, 0)</f>
        <v>0</v>
      </c>
      <c r="AL33" s="164">
        <f ca="1">IFERROR(U33/[1]Tables!$AT$4, 0)</f>
        <v>0</v>
      </c>
      <c r="AM33" s="164">
        <f ca="1">IFERROR(V33/[1]Tables!$AT$4, 0)</f>
        <v>0</v>
      </c>
      <c r="AN33" s="165">
        <f ca="1">IFERROR(W33/[1]Tables!$AT$4, 0)</f>
        <v>0</v>
      </c>
      <c r="AP33" s="166" t="s">
        <v>18</v>
      </c>
      <c r="AQ33" s="167" t="e">
        <f ca="1">SUM(AQ29:AQ32)</f>
        <v>#REF!</v>
      </c>
      <c r="AR33" s="134" t="e">
        <f ca="1">SUM(AR29:AR32)</f>
        <v>#REF!</v>
      </c>
      <c r="AS33" s="134" t="e">
        <f ca="1">SUM(AS29:AS32)</f>
        <v>#REF!</v>
      </c>
      <c r="AT33" s="134" t="e">
        <f ca="1">SUM(AT29:AT32)</f>
        <v>#REF!</v>
      </c>
      <c r="AU33" s="135" t="e">
        <f ca="1">SUM(AU29:AU32)</f>
        <v>#REF!</v>
      </c>
      <c r="AV33" s="168">
        <f ca="1">IFERROR(AQ33/AV$62, 0)</f>
        <v>0</v>
      </c>
      <c r="AW33" s="169">
        <f ca="1">IFERROR(AR33/AW$62, 0)</f>
        <v>0</v>
      </c>
      <c r="AX33" s="169">
        <f ca="1">IFERROR(AS33/AX$62, 0)</f>
        <v>0</v>
      </c>
      <c r="AY33" s="169">
        <f ca="1">IFERROR(AT33/AY$62, 0)</f>
        <v>0</v>
      </c>
      <c r="AZ33" s="170">
        <f ca="1">IFERROR(AU33/AZ$62, 0)</f>
        <v>0</v>
      </c>
      <c r="BA33" s="169">
        <f ca="1">IFERROR(AQ33/BA$62, 0)</f>
        <v>0</v>
      </c>
      <c r="BB33" s="169">
        <f ca="1">IFERROR(AR33/BB$62, 0)</f>
        <v>0</v>
      </c>
      <c r="BC33" s="169">
        <f ca="1">IFERROR(AS33/BC$62, 0)</f>
        <v>0</v>
      </c>
      <c r="BD33" s="169">
        <f ca="1">IFERROR(AT33/BD$62, 0)</f>
        <v>0</v>
      </c>
      <c r="BE33" s="170">
        <f ca="1">IFERROR(AU33/BE$62, 0)</f>
        <v>0</v>
      </c>
      <c r="BG33" s="171" t="s">
        <v>18</v>
      </c>
      <c r="BH33" s="172" t="e">
        <f ca="1">SUM(BH29:BH32)</f>
        <v>#REF!</v>
      </c>
      <c r="BI33" s="173" t="e">
        <f ca="1">SUM(BI29:BI32)</f>
        <v>#REF!</v>
      </c>
      <c r="BJ33" s="173" t="e">
        <f ca="1">SUM(BJ29:BJ32)</f>
        <v>#REF!</v>
      </c>
      <c r="BK33" s="173" t="e">
        <f ca="1">SUM(BK29:BK32)</f>
        <v>#REF!</v>
      </c>
      <c r="BL33" s="174" t="e">
        <f ca="1">SUM(BL29:BL32)</f>
        <v>#REF!</v>
      </c>
      <c r="BM33" s="175">
        <f ca="1">IFERROR(BH33/BM$62, 0)</f>
        <v>0</v>
      </c>
      <c r="BN33" s="176">
        <f ca="1">IFERROR(BI33/BN$62, 0)</f>
        <v>0</v>
      </c>
      <c r="BO33" s="176">
        <f ca="1">IFERROR(BJ33/BO$62, 0)</f>
        <v>0</v>
      </c>
      <c r="BP33" s="176">
        <f ca="1">IFERROR(BK33/BP$62, 0)</f>
        <v>0</v>
      </c>
      <c r="BQ33" s="177">
        <f ca="1">IFERROR(BL33/BQ$62, 0)</f>
        <v>0</v>
      </c>
      <c r="BR33" s="176">
        <f ca="1">IFERROR(BH33/BR$62, 0)</f>
        <v>0</v>
      </c>
      <c r="BS33" s="176">
        <f ca="1">IFERROR(BI33/BS$62, 0)</f>
        <v>0</v>
      </c>
      <c r="BT33" s="176">
        <f ca="1">IFERROR(BJ33/BT$62, 0)</f>
        <v>0</v>
      </c>
      <c r="BU33" s="176">
        <f ca="1">IFERROR(BK33/BU$62, 0)</f>
        <v>0</v>
      </c>
      <c r="BV33" s="177">
        <f ca="1">IFERROR(BL33/BV$62, 0)</f>
        <v>0</v>
      </c>
      <c r="BX33" s="171" t="s">
        <v>18</v>
      </c>
      <c r="BY33" s="172" t="e">
        <f ca="1">SUM(BY29:BY32)</f>
        <v>#VALUE!</v>
      </c>
      <c r="BZ33" s="173" t="e">
        <f ca="1">SUM(BZ29:BZ32)</f>
        <v>#VALUE!</v>
      </c>
      <c r="CA33" s="173" t="e">
        <f ca="1">SUM(CA29:CA32)</f>
        <v>#VALUE!</v>
      </c>
      <c r="CB33" s="173" t="e">
        <f ca="1">SUM(CB29:CB32)</f>
        <v>#VALUE!</v>
      </c>
      <c r="CC33" s="174" t="e">
        <f ca="1">SUM(CC29:CC32)</f>
        <v>#VALUE!</v>
      </c>
      <c r="CD33" s="175">
        <f ca="1">IFERROR(BY33/CD62, 0)</f>
        <v>0</v>
      </c>
      <c r="CE33" s="176">
        <f ca="1">IFERROR(BZ33/CE62, 0)</f>
        <v>0</v>
      </c>
      <c r="CF33" s="176">
        <f ca="1">IFERROR(CA33/CF62, 0)</f>
        <v>0</v>
      </c>
      <c r="CG33" s="176">
        <f ca="1">IFERROR(CB33/CG62, 0)</f>
        <v>0</v>
      </c>
      <c r="CH33" s="177">
        <f ca="1">IFERROR(CC33/CH62, 0)</f>
        <v>0</v>
      </c>
      <c r="CI33" s="176">
        <f t="shared" ca="1" si="9"/>
        <v>0</v>
      </c>
      <c r="CJ33" s="176">
        <f t="shared" ca="1" si="9"/>
        <v>0</v>
      </c>
      <c r="CK33" s="176">
        <f t="shared" ca="1" si="9"/>
        <v>0</v>
      </c>
      <c r="CL33" s="176">
        <f t="shared" ca="1" si="9"/>
        <v>0</v>
      </c>
      <c r="CM33" s="177">
        <f t="shared" ca="1" si="9"/>
        <v>0</v>
      </c>
    </row>
    <row r="34" spans="2:117" ht="15" thickBot="1" x14ac:dyDescent="0.4">
      <c r="AQ34" s="5"/>
      <c r="AR34" s="5"/>
      <c r="AS34" s="5"/>
      <c r="AT34" s="5"/>
      <c r="AU34" s="5"/>
    </row>
    <row r="35" spans="2:117" ht="15" thickBot="1" x14ac:dyDescent="0.4">
      <c r="I35" s="21" t="s">
        <v>21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3"/>
      <c r="Z35" s="24" t="s">
        <v>21</v>
      </c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6"/>
      <c r="AQ35" s="178" t="s">
        <v>21</v>
      </c>
      <c r="AR35" s="179"/>
      <c r="AS35" s="179"/>
      <c r="AT35" s="179"/>
      <c r="AU35" s="180"/>
      <c r="AV35" s="28"/>
      <c r="AW35" s="28"/>
      <c r="AX35" s="28"/>
      <c r="AY35" s="28"/>
      <c r="AZ35" s="28"/>
      <c r="BA35" s="28"/>
      <c r="BB35" s="28"/>
      <c r="BC35" s="28"/>
      <c r="BD35" s="28"/>
      <c r="BE35" s="30"/>
      <c r="BH35" s="31" t="s">
        <v>21</v>
      </c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3"/>
      <c r="BY35" s="34" t="s">
        <v>21</v>
      </c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6"/>
      <c r="DC35" s="34" t="s">
        <v>21</v>
      </c>
      <c r="DD35" s="35"/>
      <c r="DE35" s="35"/>
      <c r="DF35" s="35"/>
      <c r="DG35" s="36"/>
      <c r="DI35" s="34" t="s">
        <v>21</v>
      </c>
      <c r="DJ35" s="35"/>
      <c r="DK35" s="35"/>
      <c r="DL35" s="35"/>
      <c r="DM35" s="36"/>
    </row>
    <row r="36" spans="2:117" ht="15" thickBot="1" x14ac:dyDescent="0.4">
      <c r="H36" s="37"/>
      <c r="I36" s="38" t="s">
        <v>2</v>
      </c>
      <c r="J36" s="39"/>
      <c r="K36" s="39"/>
      <c r="L36" s="39"/>
      <c r="M36" s="40"/>
      <c r="N36" s="38" t="s">
        <v>3</v>
      </c>
      <c r="O36" s="39"/>
      <c r="P36" s="39"/>
      <c r="Q36" s="39"/>
      <c r="R36" s="40"/>
      <c r="S36" s="38" t="s">
        <v>4</v>
      </c>
      <c r="T36" s="39"/>
      <c r="U36" s="39"/>
      <c r="V36" s="39"/>
      <c r="W36" s="40"/>
      <c r="Z36" s="41" t="s">
        <v>2</v>
      </c>
      <c r="AA36" s="42"/>
      <c r="AB36" s="42"/>
      <c r="AC36" s="42"/>
      <c r="AD36" s="43"/>
      <c r="AE36" s="41" t="s">
        <v>3</v>
      </c>
      <c r="AF36" s="42"/>
      <c r="AG36" s="42"/>
      <c r="AH36" s="42"/>
      <c r="AI36" s="43"/>
      <c r="AJ36" s="41" t="s">
        <v>4</v>
      </c>
      <c r="AK36" s="42"/>
      <c r="AL36" s="42"/>
      <c r="AM36" s="42"/>
      <c r="AN36" s="43"/>
      <c r="AQ36" s="181" t="s">
        <v>2</v>
      </c>
      <c r="AR36" s="182"/>
      <c r="AS36" s="182"/>
      <c r="AT36" s="182"/>
      <c r="AU36" s="183"/>
      <c r="AV36" s="44" t="s">
        <v>3</v>
      </c>
      <c r="AW36" s="45"/>
      <c r="AX36" s="45"/>
      <c r="AY36" s="45"/>
      <c r="AZ36" s="46"/>
      <c r="BA36" s="45" t="s">
        <v>4</v>
      </c>
      <c r="BB36" s="45"/>
      <c r="BC36" s="45"/>
      <c r="BD36" s="45"/>
      <c r="BE36" s="46"/>
      <c r="BH36" s="47" t="s">
        <v>2</v>
      </c>
      <c r="BI36" s="48"/>
      <c r="BJ36" s="48"/>
      <c r="BK36" s="48"/>
      <c r="BL36" s="49"/>
      <c r="BM36" s="47" t="s">
        <v>3</v>
      </c>
      <c r="BN36" s="48"/>
      <c r="BO36" s="48"/>
      <c r="BP36" s="48"/>
      <c r="BQ36" s="49"/>
      <c r="BR36" s="50" t="s">
        <v>4</v>
      </c>
      <c r="BS36" s="50"/>
      <c r="BT36" s="50"/>
      <c r="BU36" s="50"/>
      <c r="BV36" s="51"/>
      <c r="BY36" s="47" t="s">
        <v>2</v>
      </c>
      <c r="BZ36" s="48"/>
      <c r="CA36" s="48"/>
      <c r="CB36" s="48"/>
      <c r="CC36" s="49"/>
      <c r="CD36" s="47" t="s">
        <v>3</v>
      </c>
      <c r="CE36" s="48"/>
      <c r="CF36" s="48"/>
      <c r="CG36" s="48"/>
      <c r="CH36" s="49"/>
      <c r="CI36" s="50" t="s">
        <v>4</v>
      </c>
      <c r="CJ36" s="50"/>
      <c r="CK36" s="50"/>
      <c r="CL36" s="50"/>
      <c r="CM36" s="51"/>
      <c r="DC36" s="52" t="s">
        <v>5</v>
      </c>
      <c r="DD36" s="50"/>
      <c r="DE36" s="50"/>
      <c r="DF36" s="50"/>
      <c r="DG36" s="51"/>
      <c r="DI36" s="52" t="s">
        <v>6</v>
      </c>
      <c r="DJ36" s="50"/>
      <c r="DK36" s="50"/>
      <c r="DL36" s="50"/>
      <c r="DM36" s="51"/>
    </row>
    <row r="37" spans="2:117" ht="15" thickBot="1" x14ac:dyDescent="0.4">
      <c r="H37" s="55"/>
      <c r="I37" s="56" t="str">
        <f>[1]Tables!$AA$4</f>
        <v>07/27 - 06/28</v>
      </c>
      <c r="J37" s="55" t="str">
        <f>[1]Tables!$AA$5</f>
        <v>07/28 - 06/29</v>
      </c>
      <c r="K37" s="55" t="str">
        <f>[1]Tables!$AA$6</f>
        <v>07/29 - 06/30</v>
      </c>
      <c r="L37" s="55" t="str">
        <f>[1]Tables!$AA$7</f>
        <v>07/30 - 06/31</v>
      </c>
      <c r="M37" s="57" t="str">
        <f>[1]Tables!$AA$8</f>
        <v>07/31 - 06/32</v>
      </c>
      <c r="N37" s="56" t="str">
        <f>[1]Tables!$AA$4</f>
        <v>07/27 - 06/28</v>
      </c>
      <c r="O37" s="55" t="str">
        <f>[1]Tables!$AA$5</f>
        <v>07/28 - 06/29</v>
      </c>
      <c r="P37" s="55" t="str">
        <f>[1]Tables!$AA$6</f>
        <v>07/29 - 06/30</v>
      </c>
      <c r="Q37" s="55" t="str">
        <f>[1]Tables!$AA$7</f>
        <v>07/30 - 06/31</v>
      </c>
      <c r="R37" s="57" t="str">
        <f>[1]Tables!$AA$8</f>
        <v>07/31 - 06/32</v>
      </c>
      <c r="S37" s="56" t="str">
        <f>[1]Tables!$AA$4</f>
        <v>07/27 - 06/28</v>
      </c>
      <c r="T37" s="55" t="str">
        <f>[1]Tables!$AA$5</f>
        <v>07/28 - 06/29</v>
      </c>
      <c r="U37" s="55" t="str">
        <f>[1]Tables!$AA$6</f>
        <v>07/29 - 06/30</v>
      </c>
      <c r="V37" s="55" t="str">
        <f>[1]Tables!$AA$7</f>
        <v>07/30 - 06/31</v>
      </c>
      <c r="W37" s="57" t="str">
        <f>[1]Tables!$AA$8</f>
        <v>07/31 - 06/32</v>
      </c>
      <c r="Y37" s="58"/>
      <c r="Z37" s="59" t="str">
        <f>[1]Tables!$AA$4</f>
        <v>07/27 - 06/28</v>
      </c>
      <c r="AA37" s="60" t="str">
        <f>[1]Tables!$AA$5</f>
        <v>07/28 - 06/29</v>
      </c>
      <c r="AB37" s="60" t="str">
        <f>[1]Tables!$AA$6</f>
        <v>07/29 - 06/30</v>
      </c>
      <c r="AC37" s="60" t="str">
        <f>[1]Tables!$AA$7</f>
        <v>07/30 - 06/31</v>
      </c>
      <c r="AD37" s="61" t="str">
        <f>[1]Tables!$AA$8</f>
        <v>07/31 - 06/32</v>
      </c>
      <c r="AE37" s="59" t="str">
        <f>[1]Tables!$AA$4</f>
        <v>07/27 - 06/28</v>
      </c>
      <c r="AF37" s="60" t="str">
        <f>[1]Tables!$AA$5</f>
        <v>07/28 - 06/29</v>
      </c>
      <c r="AG37" s="60" t="str">
        <f>[1]Tables!$AA$6</f>
        <v>07/29 - 06/30</v>
      </c>
      <c r="AH37" s="60" t="str">
        <f>[1]Tables!$AA$7</f>
        <v>07/30 - 06/31</v>
      </c>
      <c r="AI37" s="61" t="str">
        <f>[1]Tables!$AA$8</f>
        <v>07/31 - 06/32</v>
      </c>
      <c r="AJ37" s="59" t="str">
        <f>[1]Tables!$AA$4</f>
        <v>07/27 - 06/28</v>
      </c>
      <c r="AK37" s="60" t="str">
        <f>[1]Tables!$AA$5</f>
        <v>07/28 - 06/29</v>
      </c>
      <c r="AL37" s="60" t="str">
        <f>[1]Tables!$AA$6</f>
        <v>07/29 - 06/30</v>
      </c>
      <c r="AM37" s="60" t="str">
        <f>[1]Tables!$AA$7</f>
        <v>07/30 - 06/31</v>
      </c>
      <c r="AN37" s="61" t="str">
        <f>[1]Tables!$AA$8</f>
        <v>07/31 - 06/32</v>
      </c>
      <c r="AP37" s="58"/>
      <c r="AQ37" s="184" t="str">
        <f>[1]Tables!$AA$4</f>
        <v>07/27 - 06/28</v>
      </c>
      <c r="AR37" s="185" t="str">
        <f>[1]Tables!$AA$5</f>
        <v>07/28 - 06/29</v>
      </c>
      <c r="AS37" s="185" t="str">
        <f>[1]Tables!$AA$6</f>
        <v>07/29 - 06/30</v>
      </c>
      <c r="AT37" s="185" t="str">
        <f>[1]Tables!$AA$7</f>
        <v>07/30 - 06/31</v>
      </c>
      <c r="AU37" s="186" t="str">
        <f>[1]Tables!$AA$8</f>
        <v>07/31 - 06/32</v>
      </c>
      <c r="AV37" s="62" t="str">
        <f>[1]Tables!$AA$4</f>
        <v>07/27 - 06/28</v>
      </c>
      <c r="AW37" s="63" t="str">
        <f>[1]Tables!$AA$5</f>
        <v>07/28 - 06/29</v>
      </c>
      <c r="AX37" s="63" t="str">
        <f>[1]Tables!$AA$6</f>
        <v>07/29 - 06/30</v>
      </c>
      <c r="AY37" s="63" t="str">
        <f>[1]Tables!$AA$7</f>
        <v>07/30 - 06/31</v>
      </c>
      <c r="AZ37" s="64" t="str">
        <f>[1]Tables!$AA$8</f>
        <v>07/31 - 06/32</v>
      </c>
      <c r="BA37" s="63" t="str">
        <f>[1]Tables!$AA$4</f>
        <v>07/27 - 06/28</v>
      </c>
      <c r="BB37" s="63" t="str">
        <f>[1]Tables!$AA$5</f>
        <v>07/28 - 06/29</v>
      </c>
      <c r="BC37" s="63" t="str">
        <f>[1]Tables!$AA$6</f>
        <v>07/29 - 06/30</v>
      </c>
      <c r="BD37" s="63" t="str">
        <f>[1]Tables!$AA$7</f>
        <v>07/30 - 06/31</v>
      </c>
      <c r="BE37" s="64" t="str">
        <f>[1]Tables!$AA$8</f>
        <v>07/31 - 06/32</v>
      </c>
      <c r="BG37" s="58"/>
      <c r="BH37" s="65" t="str">
        <f>[1]Tables!$AA$4</f>
        <v>07/27 - 06/28</v>
      </c>
      <c r="BI37" s="66" t="str">
        <f>[1]Tables!$AA$5</f>
        <v>07/28 - 06/29</v>
      </c>
      <c r="BJ37" s="66" t="str">
        <f>[1]Tables!$AA$6</f>
        <v>07/29 - 06/30</v>
      </c>
      <c r="BK37" s="66" t="str">
        <f>[1]Tables!$AA$7</f>
        <v>07/30 - 06/31</v>
      </c>
      <c r="BL37" s="67" t="str">
        <f>[1]Tables!$AA$8</f>
        <v>07/31 - 06/32</v>
      </c>
      <c r="BM37" s="65" t="str">
        <f>[1]Tables!$AA$4</f>
        <v>07/27 - 06/28</v>
      </c>
      <c r="BN37" s="66" t="str">
        <f>[1]Tables!$AA$5</f>
        <v>07/28 - 06/29</v>
      </c>
      <c r="BO37" s="66" t="str">
        <f>[1]Tables!$AA$6</f>
        <v>07/29 - 06/30</v>
      </c>
      <c r="BP37" s="66" t="str">
        <f>[1]Tables!$AA$7</f>
        <v>07/30 - 06/31</v>
      </c>
      <c r="BQ37" s="67" t="str">
        <f>[1]Tables!$AA$8</f>
        <v>07/31 - 06/32</v>
      </c>
      <c r="BR37" s="66" t="str">
        <f>[1]Tables!$AA$4</f>
        <v>07/27 - 06/28</v>
      </c>
      <c r="BS37" s="66" t="str">
        <f>[1]Tables!$AA$5</f>
        <v>07/28 - 06/29</v>
      </c>
      <c r="BT37" s="66" t="str">
        <f>[1]Tables!$AA$6</f>
        <v>07/29 - 06/30</v>
      </c>
      <c r="BU37" s="66" t="str">
        <f>[1]Tables!$AA$7</f>
        <v>07/30 - 06/31</v>
      </c>
      <c r="BV37" s="67" t="str">
        <f>[1]Tables!$AA$8</f>
        <v>07/31 - 06/32</v>
      </c>
      <c r="BX37" s="58"/>
      <c r="BY37" s="65" t="str">
        <f>[1]Tables!$AA$4</f>
        <v>07/27 - 06/28</v>
      </c>
      <c r="BZ37" s="66" t="str">
        <f>[1]Tables!$AA$5</f>
        <v>07/28 - 06/29</v>
      </c>
      <c r="CA37" s="66" t="str">
        <f>[1]Tables!$AA$6</f>
        <v>07/29 - 06/30</v>
      </c>
      <c r="CB37" s="66" t="str">
        <f>[1]Tables!$AA$7</f>
        <v>07/30 - 06/31</v>
      </c>
      <c r="CC37" s="67" t="str">
        <f>[1]Tables!$AA$8</f>
        <v>07/31 - 06/32</v>
      </c>
      <c r="CD37" s="65" t="str">
        <f>[1]Tables!$AA$4</f>
        <v>07/27 - 06/28</v>
      </c>
      <c r="CE37" s="66" t="str">
        <f>[1]Tables!$AA$5</f>
        <v>07/28 - 06/29</v>
      </c>
      <c r="CF37" s="66" t="str">
        <f>[1]Tables!$AA$6</f>
        <v>07/29 - 06/30</v>
      </c>
      <c r="CG37" s="66" t="str">
        <f>[1]Tables!$AA$7</f>
        <v>07/30 - 06/31</v>
      </c>
      <c r="CH37" s="67" t="str">
        <f>[1]Tables!$AA$8</f>
        <v>07/31 - 06/32</v>
      </c>
      <c r="CI37" s="66" t="str">
        <f>[1]Tables!$AA$4</f>
        <v>07/27 - 06/28</v>
      </c>
      <c r="CJ37" s="66" t="str">
        <f>[1]Tables!$AA$5</f>
        <v>07/28 - 06/29</v>
      </c>
      <c r="CK37" s="66" t="str">
        <f>[1]Tables!$AA$6</f>
        <v>07/29 - 06/30</v>
      </c>
      <c r="CL37" s="66" t="str">
        <f>[1]Tables!$AA$7</f>
        <v>07/30 - 06/31</v>
      </c>
      <c r="CM37" s="67" t="str">
        <f>[1]Tables!$AA$8</f>
        <v>07/31 - 06/32</v>
      </c>
      <c r="DC37" s="65" t="str">
        <f>[1]Tables!$AA$4</f>
        <v>07/27 - 06/28</v>
      </c>
      <c r="DD37" s="66" t="str">
        <f>[1]Tables!$AA$5</f>
        <v>07/28 - 06/29</v>
      </c>
      <c r="DE37" s="66" t="str">
        <f>[1]Tables!$AA$6</f>
        <v>07/29 - 06/30</v>
      </c>
      <c r="DF37" s="66" t="str">
        <f>[1]Tables!$AA$7</f>
        <v>07/30 - 06/31</v>
      </c>
      <c r="DG37" s="67" t="str">
        <f>[1]Tables!$AA$8</f>
        <v>07/31 - 06/32</v>
      </c>
      <c r="DI37" s="65" t="str">
        <f>[1]Tables!$AA$4</f>
        <v>07/27 - 06/28</v>
      </c>
      <c r="DJ37" s="66" t="str">
        <f>[1]Tables!$AA$5</f>
        <v>07/28 - 06/29</v>
      </c>
      <c r="DK37" s="66" t="str">
        <f>[1]Tables!$AA$6</f>
        <v>07/29 - 06/30</v>
      </c>
      <c r="DL37" s="66" t="str">
        <f>[1]Tables!$AA$7</f>
        <v>07/30 - 06/31</v>
      </c>
      <c r="DM37" s="67" t="str">
        <f>[1]Tables!$AA$8</f>
        <v>07/31 - 06/32</v>
      </c>
    </row>
    <row r="38" spans="2:117" x14ac:dyDescent="0.35">
      <c r="B38" s="68" t="s">
        <v>11</v>
      </c>
      <c r="C38" s="69">
        <v>30</v>
      </c>
      <c r="D38" s="69" t="s">
        <v>12</v>
      </c>
      <c r="E38" s="68" t="s">
        <v>12</v>
      </c>
      <c r="F38" s="70" t="s">
        <v>13</v>
      </c>
      <c r="H38" s="71" t="s">
        <v>14</v>
      </c>
      <c r="I38" s="72" t="e" cm="1">
        <f t="array" aca="1" ref="I38" ca="1">SUMIFS(INDIRECT('[1]RA Output'!CE$1), rng_out_mail_ind, $B38, rng_out_ds, $C38, rng_out_sel_sp_ind, $D38, rng_out_sel_excl_ind,$E38)
+ SUMIFS(INDIRECT('[1]RA Output'!CE$1), rng_out_mail_ind, $B38, rng_out_ds, $C38, rng_out_sel_sp_ind, $D38, rng_out_sel_excl_ind,$F38, rng_out_sel_excl_yr_ind, "&gt;0", rng_out_sel_excl_ind,$F38)
+ IF([1]Tables!$C$16=[1]Tables!$CF$4, SUMIFS(INDIRECT('[1]RA Output'!CE$1), rng_out_mail_ind, $B38, rng_out_ds, $C38, rng_out_sel_sp_ind, $D38, rng_out_sel_excl_ind,$F38,rng_out_sel_excl_yr_ind, ""), 0)</f>
        <v>#REF!</v>
      </c>
      <c r="J38" s="5" t="e" cm="1">
        <f t="array" aca="1" ref="J38" ca="1">SUMIFS(INDIRECT('[1]RA Output'!CF$1), rng_out_mail_ind, $B38, rng_out_ds, $C38, rng_out_sel_sp_ind, $D38, rng_out_sel_excl_ind,$E38)
+ SUMIFS(INDIRECT('[1]RA Output'!CF$1), rng_out_mail_ind, $B38, rng_out_ds, $C38, rng_out_sel_sp_ind, $D38, rng_out_sel_excl_ind,$F38, rng_out_sel_excl_yr_ind, "&gt;0", rng_out_sel_excl_ind,$F38)
+ IF([1]Tables!$C$16=[1]Tables!$CF$4, SUMIFS(INDIRECT('[1]RA Output'!CF$1), rng_out_mail_ind, $B38, rng_out_ds, $C38, rng_out_sel_sp_ind, $D38, rng_out_sel_excl_ind,$F38,rng_out_sel_excl_yr_ind, ""), 0)</f>
        <v>#REF!</v>
      </c>
      <c r="K38" s="5" t="e" cm="1">
        <f t="array" aca="1" ref="K38" ca="1">SUMIFS(INDIRECT('[1]RA Output'!CG$1), rng_out_mail_ind, $B38, rng_out_ds, $C38, rng_out_sel_sp_ind, $D38, rng_out_sel_excl_ind,$E38)
+ SUMIFS(INDIRECT('[1]RA Output'!CG$1), rng_out_mail_ind, $B38, rng_out_ds, $C38, rng_out_sel_sp_ind, $D38, rng_out_sel_excl_ind,$F38, rng_out_sel_excl_yr_ind, "&gt;0", rng_out_sel_excl_ind,$F38)
+ IF([1]Tables!$C$16=[1]Tables!$CF$4, SUMIFS(INDIRECT('[1]RA Output'!CG$1), rng_out_mail_ind, $B38, rng_out_ds, $C38, rng_out_sel_sp_ind, $D38, rng_out_sel_excl_ind,$F38,rng_out_sel_excl_yr_ind, ""), 0)</f>
        <v>#REF!</v>
      </c>
      <c r="L38" s="5" t="e" cm="1">
        <f t="array" aca="1" ref="L38" ca="1">SUMIFS(INDIRECT('[1]RA Output'!CH$1), rng_out_mail_ind, $B38, rng_out_ds, $C38, rng_out_sel_sp_ind, $D38, rng_out_sel_excl_ind,$E38)
+ SUMIFS(INDIRECT('[1]RA Output'!CH$1), rng_out_mail_ind, $B38, rng_out_ds, $C38, rng_out_sel_sp_ind, $D38, rng_out_sel_excl_ind,$F38, rng_out_sel_excl_yr_ind, "&gt;0", rng_out_sel_excl_ind,$F38)
+ IF([1]Tables!$C$16=[1]Tables!$CF$4, SUMIFS(INDIRECT('[1]RA Output'!CH$1), rng_out_mail_ind, $B38, rng_out_ds, $C38, rng_out_sel_sp_ind, $D38, rng_out_sel_excl_ind,$F38,rng_out_sel_excl_yr_ind, ""), 0)</f>
        <v>#REF!</v>
      </c>
      <c r="M38" s="73" t="e" cm="1">
        <f t="array" aca="1" ref="M38" ca="1">SUMIFS(INDIRECT('[1]RA Output'!CI$1), rng_out_mail_ind, $B38, rng_out_ds, $C38, rng_out_sel_sp_ind, $D38, rng_out_sel_excl_ind,$E38)
+ SUMIFS(INDIRECT('[1]RA Output'!CI$1), rng_out_mail_ind, $B38, rng_out_ds, $C38, rng_out_sel_sp_ind, $D38, rng_out_sel_excl_ind,$F38, rng_out_sel_excl_yr_ind, "&gt;0", rng_out_sel_excl_ind,$F38)
+ IF([1]Tables!$C$16=[1]Tables!$CF$4, SUMIFS(INDIRECT('[1]RA Output'!CI$1), rng_out_mail_ind, $B38, rng_out_ds, $C38, rng_out_sel_sp_ind, $D38, rng_out_sel_excl_ind,$F38,rng_out_sel_excl_yr_ind, ""), 0)</f>
        <v>#REF!</v>
      </c>
      <c r="N38" s="74">
        <f ca="1">IFERROR(I38/N$58, 0)</f>
        <v>0</v>
      </c>
      <c r="O38" s="75">
        <f ca="1">IFERROR(J38/O$58, 0)</f>
        <v>0</v>
      </c>
      <c r="P38" s="75">
        <f ca="1">IFERROR(K38/P$58, 0)</f>
        <v>0</v>
      </c>
      <c r="Q38" s="75">
        <f ca="1">IFERROR(L38/Q$58, 0)</f>
        <v>0</v>
      </c>
      <c r="R38" s="76">
        <f ca="1">IFERROR(M38/R$58, 0)</f>
        <v>0</v>
      </c>
      <c r="S38" s="74">
        <f ca="1">IFERROR(I38/S$58, 0)</f>
        <v>0</v>
      </c>
      <c r="T38" s="75">
        <f ca="1">IFERROR(J38/T$58, 0)</f>
        <v>0</v>
      </c>
      <c r="U38" s="75">
        <f ca="1">IFERROR(K38/U$58, 0)</f>
        <v>0</v>
      </c>
      <c r="V38" s="75">
        <f ca="1">IFERROR(L38/V$58, 0)</f>
        <v>0</v>
      </c>
      <c r="W38" s="76">
        <f ca="1">IFERROR(M38/W$58, 0)</f>
        <v>0</v>
      </c>
      <c r="Y38" s="77" t="s">
        <v>14</v>
      </c>
      <c r="Z38" s="78">
        <f ca="1">IFERROR(I38/[1]Tables!$AT$4, 0)</f>
        <v>0</v>
      </c>
      <c r="AA38" s="79">
        <f ca="1">IFERROR(J38/[1]Tables!$AT$4, 0)</f>
        <v>0</v>
      </c>
      <c r="AB38" s="79">
        <f ca="1">IFERROR(K38/[1]Tables!$AT$4, 0)</f>
        <v>0</v>
      </c>
      <c r="AC38" s="79">
        <f ca="1">IFERROR(L38/[1]Tables!$AT$4, 0)</f>
        <v>0</v>
      </c>
      <c r="AD38" s="80">
        <f ca="1">IFERROR(M38/[1]Tables!$AT$4, 0)</f>
        <v>0</v>
      </c>
      <c r="AE38" s="81">
        <f ca="1">IFERROR(N38/[1]Tables!$AT$4, 0)</f>
        <v>0</v>
      </c>
      <c r="AF38" s="75">
        <f ca="1">IFERROR(O38/[1]Tables!$AT$4, 0)</f>
        <v>0</v>
      </c>
      <c r="AG38" s="75">
        <f ca="1">IFERROR(P38/[1]Tables!$AT$4, 0)</f>
        <v>0</v>
      </c>
      <c r="AH38" s="75">
        <f ca="1">IFERROR(Q38/[1]Tables!$AT$4, 0)</f>
        <v>0</v>
      </c>
      <c r="AI38" s="82">
        <f ca="1">IFERROR(R38/[1]Tables!$AT$4, 0)</f>
        <v>0</v>
      </c>
      <c r="AJ38" s="81">
        <f ca="1">IFERROR(S38/[1]Tables!$AT$4, 0)</f>
        <v>0</v>
      </c>
      <c r="AK38" s="75">
        <f ca="1">IFERROR(T38/[1]Tables!$AT$4, 0)</f>
        <v>0</v>
      </c>
      <c r="AL38" s="75">
        <f ca="1">IFERROR(U38/[1]Tables!$AT$4, 0)</f>
        <v>0</v>
      </c>
      <c r="AM38" s="75">
        <f ca="1">IFERROR(V38/[1]Tables!$AT$4, 0)</f>
        <v>0</v>
      </c>
      <c r="AN38" s="82">
        <f ca="1">IFERROR(W38/[1]Tables!$AT$4, 0)</f>
        <v>0</v>
      </c>
      <c r="AP38" s="83" t="s">
        <v>14</v>
      </c>
      <c r="AQ38" s="84" t="e" cm="1">
        <f t="array" aca="1" ref="AQ38" ca="1">(SUMIFS(INDIRECT('[1]RA Output'!DE$1), rng_out_mail_ind, $B38, rng_out_ds, $C38, rng_out_sel_sp_ind, $D38, rng_out_sel_excl_ind,$E38)
+ SUMIFS(INDIRECT('[1]RA Output'!DE$1), rng_out_mail_ind, $B38, rng_out_ds, $C38, rng_out_sel_sp_ind, $D38, rng_out_sel_excl_ind,$F38, rng_out_sel_excl_yr_ind, "&gt;0", rng_out_sel_excl_ind,$F38)
+ IF([1]Tables!$C$16=[1]Tables!$CF$4, SUMIFS(INDIRECT('[1]RA Output'!DE$1), rng_out_mail_ind, $B38, rng_out_ds, $C38, rng_out_sel_sp_ind, $D38, rng_out_sel_excl_ind,$F38,rng_out_sel_excl_yr_ind, ""), 0))/[1]Tables!$AT$4</f>
        <v>#REF!</v>
      </c>
      <c r="AR38" s="5" t="e" cm="1">
        <f t="array" aca="1" ref="AR38" ca="1">(SUMIFS(INDIRECT('[1]RA Output'!DF$1), rng_out_mail_ind, $B38, rng_out_ds, $C38, rng_out_sel_sp_ind, $D38, rng_out_sel_excl_ind,$E38)
+ SUMIFS(INDIRECT('[1]RA Output'!DF$1), rng_out_mail_ind, $B38, rng_out_ds, $C38, rng_out_sel_sp_ind, $D38, rng_out_sel_excl_ind,$F38, rng_out_sel_excl_yr_ind, "&gt;0", rng_out_sel_excl_ind,$F38)
+ IF([1]Tables!$C$16=[1]Tables!$CF$4, SUMIFS(INDIRECT('[1]RA Output'!DF$1), rng_out_mail_ind, $B38, rng_out_ds, $C38, rng_out_sel_sp_ind, $D38, rng_out_sel_excl_ind,$F38,rng_out_sel_excl_yr_ind, ""), 0))/[1]Tables!$AT$4</f>
        <v>#REF!</v>
      </c>
      <c r="AS38" s="5" t="e" cm="1">
        <f t="array" aca="1" ref="AS38" ca="1">(SUMIFS(INDIRECT('[1]RA Output'!DG$1), rng_out_mail_ind, $B38, rng_out_ds, $C38, rng_out_sel_sp_ind, $D38, rng_out_sel_excl_ind,$E38)
+ SUMIFS(INDIRECT('[1]RA Output'!DG$1), rng_out_mail_ind, $B38, rng_out_ds, $C38, rng_out_sel_sp_ind, $D38, rng_out_sel_excl_ind,$F38, rng_out_sel_excl_yr_ind, "&gt;0", rng_out_sel_excl_ind,$F38)
+ IF([1]Tables!$C$16=[1]Tables!$CF$4, SUMIFS(INDIRECT('[1]RA Output'!DG$1), rng_out_mail_ind, $B38, rng_out_ds, $C38, rng_out_sel_sp_ind, $D38, rng_out_sel_excl_ind,$F38,rng_out_sel_excl_yr_ind, ""), 0))/[1]Tables!$AT$4</f>
        <v>#REF!</v>
      </c>
      <c r="AT38" s="5" t="e" cm="1">
        <f t="array" aca="1" ref="AT38" ca="1">(SUMIFS(INDIRECT('[1]RA Output'!DH$1), rng_out_mail_ind, $B38, rng_out_ds, $C38, rng_out_sel_sp_ind, $D38, rng_out_sel_excl_ind,$E38)
+ SUMIFS(INDIRECT('[1]RA Output'!DH$1), rng_out_mail_ind, $B38, rng_out_ds, $C38, rng_out_sel_sp_ind, $D38, rng_out_sel_excl_ind,$F38, rng_out_sel_excl_yr_ind, "&gt;0", rng_out_sel_excl_ind,$F38)
+ IF([1]Tables!$C$16=[1]Tables!$CF$4, SUMIFS(INDIRECT('[1]RA Output'!DH$1), rng_out_mail_ind, $B38, rng_out_ds, $C38, rng_out_sel_sp_ind, $D38, rng_out_sel_excl_ind,$F38,rng_out_sel_excl_yr_ind, ""), 0))/[1]Tables!$AT$4</f>
        <v>#REF!</v>
      </c>
      <c r="AU38" s="85" t="e" cm="1">
        <f t="array" aca="1" ref="AU38" ca="1">(SUMIFS(INDIRECT('[1]RA Output'!DI$1), rng_out_mail_ind, $B38, rng_out_ds, $C38, rng_out_sel_sp_ind, $D38, rng_out_sel_excl_ind,$E38)
+ SUMIFS(INDIRECT('[1]RA Output'!DI$1), rng_out_mail_ind, $B38, rng_out_ds, $C38, rng_out_sel_sp_ind, $D38, rng_out_sel_excl_ind,$F38, rng_out_sel_excl_yr_ind, "&gt;0", rng_out_sel_excl_ind,$F38)
+ IF([1]Tables!$C$16=[1]Tables!$CF$4, SUMIFS(INDIRECT('[1]RA Output'!DI$1), rng_out_mail_ind, $B38, rng_out_ds, $C38, rng_out_sel_sp_ind, $D38, rng_out_sel_excl_ind,$F38,rng_out_sel_excl_yr_ind, ""), 0))/[1]Tables!$AT$4</f>
        <v>#REF!</v>
      </c>
      <c r="AV38" s="86">
        <f ca="1">IFERROR(AQ38/AV$58, 0)</f>
        <v>0</v>
      </c>
      <c r="AW38" s="75">
        <f ca="1">IFERROR(AR38/AW$58, 0)</f>
        <v>0</v>
      </c>
      <c r="AX38" s="75">
        <f ca="1">IFERROR(AS38/AX$58, 0)</f>
        <v>0</v>
      </c>
      <c r="AY38" s="75">
        <f ca="1">IFERROR(AT38/AY$58, 0)</f>
        <v>0</v>
      </c>
      <c r="AZ38" s="87">
        <f ca="1">IFERROR(AU38/AZ$58, 0)</f>
        <v>0</v>
      </c>
      <c r="BA38" s="75">
        <f ca="1">IFERROR(AQ38/BA$58, 0)</f>
        <v>0</v>
      </c>
      <c r="BB38" s="75">
        <f ca="1">IFERROR(AR38/BB$58, 0)</f>
        <v>0</v>
      </c>
      <c r="BC38" s="75">
        <f ca="1">IFERROR(AS38/BC$58, 0)</f>
        <v>0</v>
      </c>
      <c r="BD38" s="75">
        <f ca="1">IFERROR(AT38/BD$58, 0)</f>
        <v>0</v>
      </c>
      <c r="BE38" s="87">
        <f ca="1">IFERROR(AU38/BE$58, 0)</f>
        <v>0</v>
      </c>
      <c r="BG38" s="88" t="s">
        <v>14</v>
      </c>
      <c r="BH38" s="97" t="e">
        <f ca="1">AQ38*'[1]Lift Adjustment'!M$58</f>
        <v>#REF!</v>
      </c>
      <c r="BI38" s="79" t="e">
        <f ca="1">AR38*'[1]Lift Adjustment'!N$58</f>
        <v>#REF!</v>
      </c>
      <c r="BJ38" s="79" t="e">
        <f ca="1">AS38*'[1]Lift Adjustment'!O$58</f>
        <v>#REF!</v>
      </c>
      <c r="BK38" s="79" t="e">
        <f ca="1">AT38*'[1]Lift Adjustment'!P$58</f>
        <v>#REF!</v>
      </c>
      <c r="BL38" s="98" t="e">
        <f ca="1">AU38*'[1]Lift Adjustment'!Q$58</f>
        <v>#REF!</v>
      </c>
      <c r="BM38" s="92">
        <f ca="1">IFERROR(BH38/BM$58, 0)</f>
        <v>0</v>
      </c>
      <c r="BN38" s="75">
        <f ca="1">IFERROR(BI38/BN$58, 0)</f>
        <v>0</v>
      </c>
      <c r="BO38" s="75">
        <f ca="1">IFERROR(BJ38/BO$58, 0)</f>
        <v>0</v>
      </c>
      <c r="BP38" s="75">
        <f ca="1">IFERROR(BK38/BP$58, 0)</f>
        <v>0</v>
      </c>
      <c r="BQ38" s="93">
        <f ca="1">IFERROR(BL38/BQ$58, 0)</f>
        <v>0</v>
      </c>
      <c r="BR38" s="94">
        <f ca="1">IFERROR(BH38/BR$58, 0)</f>
        <v>0</v>
      </c>
      <c r="BS38" s="95">
        <f ca="1">IFERROR(BI38/BS$58, 0)</f>
        <v>0</v>
      </c>
      <c r="BT38" s="95">
        <f ca="1">IFERROR(BJ38/BT$58, 0)</f>
        <v>0</v>
      </c>
      <c r="BU38" s="95">
        <f ca="1">IFERROR(BK38/BU$58, 0)</f>
        <v>0</v>
      </c>
      <c r="BV38" s="96">
        <f ca="1">IFERROR(BL38/BV$58, 0)</f>
        <v>0</v>
      </c>
      <c r="BX38" s="88" t="s">
        <v>14</v>
      </c>
      <c r="BY38" s="97" t="e">
        <f t="shared" ref="BY38:CC41" ca="1" si="10">CD38*CD58</f>
        <v>#VALUE!</v>
      </c>
      <c r="BZ38" s="79" t="e">
        <f t="shared" ca="1" si="10"/>
        <v>#VALUE!</v>
      </c>
      <c r="CA38" s="79" t="e">
        <f t="shared" ca="1" si="10"/>
        <v>#VALUE!</v>
      </c>
      <c r="CB38" s="79" t="e">
        <f t="shared" ca="1" si="10"/>
        <v>#VALUE!</v>
      </c>
      <c r="CC38" s="98" t="e">
        <f t="shared" ca="1" si="10"/>
        <v>#VALUE!</v>
      </c>
      <c r="CD38" s="92">
        <f t="shared" ref="CD38:CH41" ca="1" si="11">BM38-DC38</f>
        <v>0</v>
      </c>
      <c r="CE38" s="75">
        <f t="shared" ca="1" si="11"/>
        <v>0</v>
      </c>
      <c r="CF38" s="75">
        <f t="shared" ca="1" si="11"/>
        <v>0</v>
      </c>
      <c r="CG38" s="75">
        <f t="shared" ca="1" si="11"/>
        <v>0</v>
      </c>
      <c r="CH38" s="93">
        <f t="shared" ca="1" si="11"/>
        <v>0</v>
      </c>
      <c r="CI38" s="94">
        <f t="shared" ref="CI38:CM42" ca="1" si="12">IFERROR(BY38/CI58, 0)</f>
        <v>0</v>
      </c>
      <c r="CJ38" s="95">
        <f t="shared" ca="1" si="12"/>
        <v>0</v>
      </c>
      <c r="CK38" s="95">
        <f t="shared" ca="1" si="12"/>
        <v>0</v>
      </c>
      <c r="CL38" s="95">
        <f t="shared" ca="1" si="12"/>
        <v>0</v>
      </c>
      <c r="CM38" s="96">
        <f t="shared" ca="1" si="12"/>
        <v>0</v>
      </c>
      <c r="DC38" s="99" cm="1">
        <f t="array" aca="1" ref="DC38" ca="1">IFERROR(BM38-BM38*BR67*(1-INDEX([1]Tables!$EA$4:$EE$60,MATCH([1]Tables!$C$22&amp;$BX38,[1]Tables!$EA$4:$EA$60,0),[1]Tables!$EE$1))*(1-DI38)/CD58, 0)</f>
        <v>0</v>
      </c>
      <c r="DD38" s="100" cm="1">
        <f t="array" aca="1" ref="DD38" ca="1">IFERROR(BN38-BN38*BS67*(1-INDEX([1]Tables!$EA$4:$EE$60,MATCH([1]Tables!$C$22&amp;$BX38,[1]Tables!$EA$4:$EA$60,0),[1]Tables!$EE$1))*(1-DJ38)/CE58, 0)</f>
        <v>0</v>
      </c>
      <c r="DE38" s="100" cm="1">
        <f t="array" aca="1" ref="DE38" ca="1">IFERROR(BO38-BO38*BT67*(1-INDEX([1]Tables!$EA$4:$EE$60,MATCH([1]Tables!$C$22&amp;$BX38,[1]Tables!$EA$4:$EA$60,0),[1]Tables!$EE$1))*(1-DK38)/CF58, 0)</f>
        <v>0</v>
      </c>
      <c r="DF38" s="100" cm="1">
        <f t="array" aca="1" ref="DF38" ca="1">IFERROR(BP38-BP38*BU67*(1-INDEX([1]Tables!$EA$4:$EE$60,MATCH([1]Tables!$C$22&amp;$BX38,[1]Tables!$EA$4:$EA$60,0),[1]Tables!$EE$1))*(1-DL38)/CG58, 0)</f>
        <v>0</v>
      </c>
      <c r="DG38" s="101" cm="1">
        <f t="array" aca="1" ref="DG38" ca="1">IFERROR(BQ38-BQ38*BV67*(1-INDEX([1]Tables!$EA$4:$EE$60,MATCH([1]Tables!$C$22&amp;$BX38,[1]Tables!$EA$4:$EA$60,0),[1]Tables!$EE$1))*(1-DM38)/CH58, 0)</f>
        <v>0</v>
      </c>
      <c r="DI38" s="102" cm="1">
        <f t="array" aca="1" ref="DI38" ca="1">IFERROR(((SUMPRODUCT((rng_out_mail_ind = $B38) * (rng_out_ds = $C38) * (rng_out_sel_sp_ind = $D38)   * (rng_out_sel_excl_ind = $E38) * (rng_out_ppa_post_yr1*rng_out_340B)) +
IF([1]Tables!$C$16=[1]Tables!$CF$4, SUMPRODUCT((rng_out_mail_ind = $B38) * (rng_out_ds = $C38) * (rng_out_sel_sp_ind = $D38) * (rng_out_sel_excl_ind = $F38) * (rng_out_ppa_post_yr1*rng_out_340B)), 0))/[1]Tables!$AT$4)/AQ38, 0)</f>
        <v>0</v>
      </c>
      <c r="DJ38" s="103" cm="1">
        <f t="array" aca="1" ref="DJ38" ca="1">IFERROR(((SUMPRODUCT((rng_out_mail_ind = $B38) * (rng_out_ds = $C38) * (rng_out_sel_sp_ind = $D38)   * (rng_out_sel_excl_ind = $E38) * (rng_out_ppa_post_yr2*rng_out_340B)) +
IF([1]Tables!$C$16=[1]Tables!$CF$4, SUMPRODUCT((rng_out_mail_ind = $B38) * (rng_out_ds = $C38) * (rng_out_sel_sp_ind = $D38) * (rng_out_sel_excl_ind = $F38) * (rng_out_ppa_post_yr2*rng_out_340B)), 0))/[1]Tables!$AT$4)/AR38, 0)</f>
        <v>0</v>
      </c>
      <c r="DK38" s="103" cm="1">
        <f t="array" aca="1" ref="DK38" ca="1">IFERROR(((SUMPRODUCT((rng_out_mail_ind = $B38) * (rng_out_ds = $C38) * (rng_out_sel_sp_ind = $D38)   * (rng_out_sel_excl_ind = $E38) * (rng_out_ppa_post_yr3*rng_out_340B)) +
IF([1]Tables!$C$16=[1]Tables!$CF$4, SUMPRODUCT((rng_out_mail_ind = $B38) * (rng_out_ds = $C38) * (rng_out_sel_sp_ind = $D38) * (rng_out_sel_excl_ind = $F38) * (rng_out_ppa_post_yr3*rng_out_340B)), 0))/[1]Tables!$AT$4)/AS38, 0)</f>
        <v>0</v>
      </c>
      <c r="DL38" s="103" cm="1">
        <f t="array" aca="1" ref="DL38" ca="1">IFERROR(((SUMPRODUCT((rng_out_mail_ind = $B38) * (rng_out_ds = $C38) * (rng_out_sel_sp_ind = $D38)   * (rng_out_sel_excl_ind = $E38) * (rng_out_ppa_post_yr4*rng_out_340B)) +
IF([1]Tables!$C$16=[1]Tables!$CF$4, SUMPRODUCT((rng_out_mail_ind = $B38) * (rng_out_ds = $C38) * (rng_out_sel_sp_ind = $D38) * (rng_out_sel_excl_ind = $F38) * (rng_out_ppa_post_yr4*rng_out_340B)), 0))/[1]Tables!$AT$4)/AT38, 0)</f>
        <v>0</v>
      </c>
      <c r="DM38" s="104" cm="1">
        <f t="array" aca="1" ref="DM38" ca="1">IFERROR(((SUMPRODUCT((rng_out_mail_ind = $B38) * (rng_out_ds = $C38) * (rng_out_sel_sp_ind = $D38)   * (rng_out_sel_excl_ind = $E38) * (rng_out_ppa_post_yr5*rng_out_340B)) +
IF([1]Tables!$C$16=[1]Tables!$CF$4, SUMPRODUCT((rng_out_mail_ind = $B38) * (rng_out_ds = $C38) * (rng_out_sel_sp_ind = $D38) * (rng_out_sel_excl_ind = $F38) * (rng_out_ppa_post_yr5*rng_out_340B)), 0))/[1]Tables!$AT$4)/AU38, 0)</f>
        <v>0</v>
      </c>
    </row>
    <row r="39" spans="2:117" x14ac:dyDescent="0.35">
      <c r="B39" s="105" t="s">
        <v>11</v>
      </c>
      <c r="C39" s="106">
        <v>90</v>
      </c>
      <c r="D39" s="106" t="s">
        <v>12</v>
      </c>
      <c r="E39" s="105" t="s">
        <v>12</v>
      </c>
      <c r="F39" s="107" t="s">
        <v>13</v>
      </c>
      <c r="H39" s="108" t="s">
        <v>15</v>
      </c>
      <c r="I39" s="72" t="e" cm="1">
        <f t="array" aca="1" ref="I39" ca="1">SUMIFS(INDIRECT('[1]RA Output'!CE$1), rng_out_mail_ind, $B39, rng_out_ds, $C39, rng_out_sel_sp_ind, $D39, rng_out_sel_excl_ind,$E39)
+ SUMIFS(INDIRECT('[1]RA Output'!CE$1), rng_out_mail_ind, $B39, rng_out_ds, $C39, rng_out_sel_sp_ind, $D39, rng_out_sel_excl_ind,$F39, rng_out_sel_excl_yr_ind, "&gt;0", rng_out_sel_excl_ind,$F39)
+ IF([1]Tables!$C$16=[1]Tables!$CF$4, SUMIFS(INDIRECT('[1]RA Output'!CE$1), rng_out_mail_ind, $B39, rng_out_ds, $C39, rng_out_sel_sp_ind, $D39, rng_out_sel_excl_ind,$F39,rng_out_sel_excl_yr_ind, ""), 0)</f>
        <v>#REF!</v>
      </c>
      <c r="J39" s="5" t="e" cm="1">
        <f t="array" aca="1" ref="J39" ca="1">SUMIFS(INDIRECT('[1]RA Output'!CF$1), rng_out_mail_ind, $B39, rng_out_ds, $C39, rng_out_sel_sp_ind, $D39, rng_out_sel_excl_ind,$E39)
+ SUMIFS(INDIRECT('[1]RA Output'!CF$1), rng_out_mail_ind, $B39, rng_out_ds, $C39, rng_out_sel_sp_ind, $D39, rng_out_sel_excl_ind,$F39, rng_out_sel_excl_yr_ind, "&gt;0", rng_out_sel_excl_ind,$F39)
+ IF([1]Tables!$C$16=[1]Tables!$CF$4, SUMIFS(INDIRECT('[1]RA Output'!CF$1), rng_out_mail_ind, $B39, rng_out_ds, $C39, rng_out_sel_sp_ind, $D39, rng_out_sel_excl_ind,$F39,rng_out_sel_excl_yr_ind, ""), 0)</f>
        <v>#REF!</v>
      </c>
      <c r="K39" s="5" t="e" cm="1">
        <f t="array" aca="1" ref="K39" ca="1">SUMIFS(INDIRECT('[1]RA Output'!CG$1), rng_out_mail_ind, $B39, rng_out_ds, $C39, rng_out_sel_sp_ind, $D39, rng_out_sel_excl_ind,$E39)
+ SUMIFS(INDIRECT('[1]RA Output'!CG$1), rng_out_mail_ind, $B39, rng_out_ds, $C39, rng_out_sel_sp_ind, $D39, rng_out_sel_excl_ind,$F39, rng_out_sel_excl_yr_ind, "&gt;0", rng_out_sel_excl_ind,$F39)
+ IF([1]Tables!$C$16=[1]Tables!$CF$4, SUMIFS(INDIRECT('[1]RA Output'!CG$1), rng_out_mail_ind, $B39, rng_out_ds, $C39, rng_out_sel_sp_ind, $D39, rng_out_sel_excl_ind,$F39,rng_out_sel_excl_yr_ind, ""), 0)</f>
        <v>#REF!</v>
      </c>
      <c r="L39" s="5" t="e" cm="1">
        <f t="array" aca="1" ref="L39" ca="1">SUMIFS(INDIRECT('[1]RA Output'!CH$1), rng_out_mail_ind, $B39, rng_out_ds, $C39, rng_out_sel_sp_ind, $D39, rng_out_sel_excl_ind,$E39)
+ SUMIFS(INDIRECT('[1]RA Output'!CH$1), rng_out_mail_ind, $B39, rng_out_ds, $C39, rng_out_sel_sp_ind, $D39, rng_out_sel_excl_ind,$F39, rng_out_sel_excl_yr_ind, "&gt;0", rng_out_sel_excl_ind,$F39)
+ IF([1]Tables!$C$16=[1]Tables!$CF$4, SUMIFS(INDIRECT('[1]RA Output'!CH$1), rng_out_mail_ind, $B39, rng_out_ds, $C39, rng_out_sel_sp_ind, $D39, rng_out_sel_excl_ind,$F39,rng_out_sel_excl_yr_ind, ""), 0)</f>
        <v>#REF!</v>
      </c>
      <c r="M39" s="73" t="e" cm="1">
        <f t="array" aca="1" ref="M39" ca="1">SUMIFS(INDIRECT('[1]RA Output'!CI$1), rng_out_mail_ind, $B39, rng_out_ds, $C39, rng_out_sel_sp_ind, $D39, rng_out_sel_excl_ind,$E39)
+ SUMIFS(INDIRECT('[1]RA Output'!CI$1), rng_out_mail_ind, $B39, rng_out_ds, $C39, rng_out_sel_sp_ind, $D39, rng_out_sel_excl_ind,$F39, rng_out_sel_excl_yr_ind, "&gt;0", rng_out_sel_excl_ind,$F39)
+ IF([1]Tables!$C$16=[1]Tables!$CF$4, SUMIFS(INDIRECT('[1]RA Output'!CI$1), rng_out_mail_ind, $B39, rng_out_ds, $C39, rng_out_sel_sp_ind, $D39, rng_out_sel_excl_ind,$F39,rng_out_sel_excl_yr_ind, ""), 0)</f>
        <v>#REF!</v>
      </c>
      <c r="N39" s="74">
        <f ca="1">IFERROR(I39/N$59, 0)</f>
        <v>0</v>
      </c>
      <c r="O39" s="75">
        <f ca="1">IFERROR(J39/O$59, 0)</f>
        <v>0</v>
      </c>
      <c r="P39" s="75">
        <f ca="1">IFERROR(K39/P$59, 0)</f>
        <v>0</v>
      </c>
      <c r="Q39" s="75">
        <f ca="1">IFERROR(L39/Q$59, 0)</f>
        <v>0</v>
      </c>
      <c r="R39" s="76">
        <f ca="1">IFERROR(M39/R$59, 0)</f>
        <v>0</v>
      </c>
      <c r="S39" s="74">
        <f ca="1">IFERROR(I39/S$59, 0)</f>
        <v>0</v>
      </c>
      <c r="T39" s="75">
        <f ca="1">IFERROR(J39/T$59, 0)</f>
        <v>0</v>
      </c>
      <c r="U39" s="75">
        <f ca="1">IFERROR(K39/U$59, 0)</f>
        <v>0</v>
      </c>
      <c r="V39" s="75">
        <f ca="1">IFERROR(L39/V$59, 0)</f>
        <v>0</v>
      </c>
      <c r="W39" s="76">
        <f ca="1">IFERROR(M39/W$59, 0)</f>
        <v>0</v>
      </c>
      <c r="Y39" s="109" t="s">
        <v>15</v>
      </c>
      <c r="Z39" s="78">
        <f ca="1">IFERROR(I39/[1]Tables!$AT$4, 0)</f>
        <v>0</v>
      </c>
      <c r="AA39" s="79">
        <f ca="1">IFERROR(J39/[1]Tables!$AT$4, 0)</f>
        <v>0</v>
      </c>
      <c r="AB39" s="79">
        <f ca="1">IFERROR(K39/[1]Tables!$AT$4, 0)</f>
        <v>0</v>
      </c>
      <c r="AC39" s="79">
        <f ca="1">IFERROR(L39/[1]Tables!$AT$4, 0)</f>
        <v>0</v>
      </c>
      <c r="AD39" s="80">
        <f ca="1">IFERROR(M39/[1]Tables!$AT$4, 0)</f>
        <v>0</v>
      </c>
      <c r="AE39" s="81">
        <f ca="1">IFERROR(N39/[1]Tables!$AT$4, 0)</f>
        <v>0</v>
      </c>
      <c r="AF39" s="75">
        <f ca="1">IFERROR(O39/[1]Tables!$AT$4, 0)</f>
        <v>0</v>
      </c>
      <c r="AG39" s="75">
        <f ca="1">IFERROR(P39/[1]Tables!$AT$4, 0)</f>
        <v>0</v>
      </c>
      <c r="AH39" s="75">
        <f ca="1">IFERROR(Q39/[1]Tables!$AT$4, 0)</f>
        <v>0</v>
      </c>
      <c r="AI39" s="82">
        <f ca="1">IFERROR(R39/[1]Tables!$AT$4, 0)</f>
        <v>0</v>
      </c>
      <c r="AJ39" s="81">
        <f ca="1">IFERROR(S39/[1]Tables!$AT$4, 0)</f>
        <v>0</v>
      </c>
      <c r="AK39" s="75">
        <f ca="1">IFERROR(T39/[1]Tables!$AT$4, 0)</f>
        <v>0</v>
      </c>
      <c r="AL39" s="75">
        <f ca="1">IFERROR(U39/[1]Tables!$AT$4, 0)</f>
        <v>0</v>
      </c>
      <c r="AM39" s="75">
        <f ca="1">IFERROR(V39/[1]Tables!$AT$4, 0)</f>
        <v>0</v>
      </c>
      <c r="AN39" s="82">
        <f ca="1">IFERROR(W39/[1]Tables!$AT$4, 0)</f>
        <v>0</v>
      </c>
      <c r="AP39" s="110" t="s">
        <v>15</v>
      </c>
      <c r="AQ39" s="84" t="e" cm="1">
        <f t="array" aca="1" ref="AQ39" ca="1">(SUMIFS(INDIRECT('[1]RA Output'!DE$1), rng_out_mail_ind, $B39, rng_out_ds, $C39, rng_out_sel_sp_ind, $D39, rng_out_sel_excl_ind,$E39)
+ SUMIFS(INDIRECT('[1]RA Output'!DE$1), rng_out_mail_ind, $B39, rng_out_ds, $C39, rng_out_sel_sp_ind, $D39, rng_out_sel_excl_ind,$F39, rng_out_sel_excl_yr_ind, "&gt;0", rng_out_sel_excl_ind,$F39)
+ IF([1]Tables!$C$16=[1]Tables!$CF$4, SUMIFS(INDIRECT('[1]RA Output'!DE$1), rng_out_mail_ind, $B39, rng_out_ds, $C39, rng_out_sel_sp_ind, $D39, rng_out_sel_excl_ind,$F39,rng_out_sel_excl_yr_ind, ""), 0))/[1]Tables!$AT$4</f>
        <v>#REF!</v>
      </c>
      <c r="AR39" s="5" t="e" cm="1">
        <f t="array" aca="1" ref="AR39" ca="1">(SUMIFS(INDIRECT('[1]RA Output'!DF$1), rng_out_mail_ind, $B39, rng_out_ds, $C39, rng_out_sel_sp_ind, $D39, rng_out_sel_excl_ind,$E39)
+ SUMIFS(INDIRECT('[1]RA Output'!DF$1), rng_out_mail_ind, $B39, rng_out_ds, $C39, rng_out_sel_sp_ind, $D39, rng_out_sel_excl_ind,$F39, rng_out_sel_excl_yr_ind, "&gt;0", rng_out_sel_excl_ind,$F39)
+ IF([1]Tables!$C$16=[1]Tables!$CF$4, SUMIFS(INDIRECT('[1]RA Output'!DF$1), rng_out_mail_ind, $B39, rng_out_ds, $C39, rng_out_sel_sp_ind, $D39, rng_out_sel_excl_ind,$F39,rng_out_sel_excl_yr_ind, ""), 0))/[1]Tables!$AT$4</f>
        <v>#REF!</v>
      </c>
      <c r="AS39" s="5" t="e" cm="1">
        <f t="array" aca="1" ref="AS39" ca="1">(SUMIFS(INDIRECT('[1]RA Output'!DG$1), rng_out_mail_ind, $B39, rng_out_ds, $C39, rng_out_sel_sp_ind, $D39, rng_out_sel_excl_ind,$E39)
+ SUMIFS(INDIRECT('[1]RA Output'!DG$1), rng_out_mail_ind, $B39, rng_out_ds, $C39, rng_out_sel_sp_ind, $D39, rng_out_sel_excl_ind,$F39, rng_out_sel_excl_yr_ind, "&gt;0", rng_out_sel_excl_ind,$F39)
+ IF([1]Tables!$C$16=[1]Tables!$CF$4, SUMIFS(INDIRECT('[1]RA Output'!DG$1), rng_out_mail_ind, $B39, rng_out_ds, $C39, rng_out_sel_sp_ind, $D39, rng_out_sel_excl_ind,$F39,rng_out_sel_excl_yr_ind, ""), 0))/[1]Tables!$AT$4</f>
        <v>#REF!</v>
      </c>
      <c r="AT39" s="5" t="e" cm="1">
        <f t="array" aca="1" ref="AT39" ca="1">(SUMIFS(INDIRECT('[1]RA Output'!DH$1), rng_out_mail_ind, $B39, rng_out_ds, $C39, rng_out_sel_sp_ind, $D39, rng_out_sel_excl_ind,$E39)
+ SUMIFS(INDIRECT('[1]RA Output'!DH$1), rng_out_mail_ind, $B39, rng_out_ds, $C39, rng_out_sel_sp_ind, $D39, rng_out_sel_excl_ind,$F39, rng_out_sel_excl_yr_ind, "&gt;0", rng_out_sel_excl_ind,$F39)
+ IF([1]Tables!$C$16=[1]Tables!$CF$4, SUMIFS(INDIRECT('[1]RA Output'!DH$1), rng_out_mail_ind, $B39, rng_out_ds, $C39, rng_out_sel_sp_ind, $D39, rng_out_sel_excl_ind,$F39,rng_out_sel_excl_yr_ind, ""), 0))/[1]Tables!$AT$4</f>
        <v>#REF!</v>
      </c>
      <c r="AU39" s="85" t="e" cm="1">
        <f t="array" aca="1" ref="AU39" ca="1">(SUMIFS(INDIRECT('[1]RA Output'!DI$1), rng_out_mail_ind, $B39, rng_out_ds, $C39, rng_out_sel_sp_ind, $D39, rng_out_sel_excl_ind,$E39)
+ SUMIFS(INDIRECT('[1]RA Output'!DI$1), rng_out_mail_ind, $B39, rng_out_ds, $C39, rng_out_sel_sp_ind, $D39, rng_out_sel_excl_ind,$F39, rng_out_sel_excl_yr_ind, "&gt;0", rng_out_sel_excl_ind,$F39)
+ IF([1]Tables!$C$16=[1]Tables!$CF$4, SUMIFS(INDIRECT('[1]RA Output'!DI$1), rng_out_mail_ind, $B39, rng_out_ds, $C39, rng_out_sel_sp_ind, $D39, rng_out_sel_excl_ind,$F39,rng_out_sel_excl_yr_ind, ""), 0))/[1]Tables!$AT$4</f>
        <v>#REF!</v>
      </c>
      <c r="AV39" s="86">
        <f ca="1">IFERROR(AQ39/AV$59, 0)</f>
        <v>0</v>
      </c>
      <c r="AW39" s="75">
        <f ca="1">IFERROR(AR39/AW$59, 0)</f>
        <v>0</v>
      </c>
      <c r="AX39" s="75">
        <f ca="1">IFERROR(AS39/AX$59, 0)</f>
        <v>0</v>
      </c>
      <c r="AY39" s="75">
        <f ca="1">IFERROR(AT39/AY$59, 0)</f>
        <v>0</v>
      </c>
      <c r="AZ39" s="87">
        <f ca="1">IFERROR(AU39/AZ$59, 0)</f>
        <v>0</v>
      </c>
      <c r="BA39" s="75">
        <f ca="1">IFERROR(AQ39/BA$59, 0)</f>
        <v>0</v>
      </c>
      <c r="BB39" s="75">
        <f ca="1">IFERROR(AR39/BB$59, 0)</f>
        <v>0</v>
      </c>
      <c r="BC39" s="75">
        <f ca="1">IFERROR(AS39/BC$59, 0)</f>
        <v>0</v>
      </c>
      <c r="BD39" s="75">
        <f ca="1">IFERROR(AT39/BD$59, 0)</f>
        <v>0</v>
      </c>
      <c r="BE39" s="87">
        <f ca="1">IFERROR(AU39/BE$59, 0)</f>
        <v>0</v>
      </c>
      <c r="BG39" s="111" t="s">
        <v>15</v>
      </c>
      <c r="BH39" s="97" t="e">
        <f ca="1">AQ39*'[1]Lift Adjustment'!M$59</f>
        <v>#REF!</v>
      </c>
      <c r="BI39" s="79" t="e">
        <f ca="1">AR39*'[1]Lift Adjustment'!N$59</f>
        <v>#REF!</v>
      </c>
      <c r="BJ39" s="79" t="e">
        <f ca="1">AS39*'[1]Lift Adjustment'!O$59</f>
        <v>#REF!</v>
      </c>
      <c r="BK39" s="79" t="e">
        <f ca="1">AT39*'[1]Lift Adjustment'!P$59</f>
        <v>#REF!</v>
      </c>
      <c r="BL39" s="98" t="e">
        <f ca="1">AU39*'[1]Lift Adjustment'!Q$59</f>
        <v>#REF!</v>
      </c>
      <c r="BM39" s="92">
        <f ca="1">IFERROR(BH39/BM$59, 0)</f>
        <v>0</v>
      </c>
      <c r="BN39" s="75">
        <f ca="1">IFERROR(BI39/BN$59, 0)</f>
        <v>0</v>
      </c>
      <c r="BO39" s="75">
        <f ca="1">IFERROR(BJ39/BO$59, 0)</f>
        <v>0</v>
      </c>
      <c r="BP39" s="75">
        <f ca="1">IFERROR(BK39/BP$59, 0)</f>
        <v>0</v>
      </c>
      <c r="BQ39" s="93">
        <f ca="1">IFERROR(BL39/BQ$59, 0)</f>
        <v>0</v>
      </c>
      <c r="BR39" s="92">
        <f ca="1">IFERROR(BH39/BR$59, 0)</f>
        <v>0</v>
      </c>
      <c r="BS39" s="75">
        <f ca="1">IFERROR(BI39/BS$59, 0)</f>
        <v>0</v>
      </c>
      <c r="BT39" s="75">
        <f ca="1">IFERROR(BJ39/BT$59, 0)</f>
        <v>0</v>
      </c>
      <c r="BU39" s="75">
        <f ca="1">IFERROR(BK39/BU$59, 0)</f>
        <v>0</v>
      </c>
      <c r="BV39" s="93">
        <f ca="1">IFERROR(BL39/BV$59, 0)</f>
        <v>0</v>
      </c>
      <c r="BX39" s="111" t="s">
        <v>15</v>
      </c>
      <c r="BY39" s="97" t="e">
        <f t="shared" ca="1" si="10"/>
        <v>#VALUE!</v>
      </c>
      <c r="BZ39" s="79" t="e">
        <f t="shared" ca="1" si="10"/>
        <v>#VALUE!</v>
      </c>
      <c r="CA39" s="79" t="e">
        <f t="shared" ca="1" si="10"/>
        <v>#VALUE!</v>
      </c>
      <c r="CB39" s="79" t="e">
        <f t="shared" ca="1" si="10"/>
        <v>#VALUE!</v>
      </c>
      <c r="CC39" s="98" t="e">
        <f t="shared" ca="1" si="10"/>
        <v>#VALUE!</v>
      </c>
      <c r="CD39" s="92">
        <f t="shared" ca="1" si="11"/>
        <v>0</v>
      </c>
      <c r="CE39" s="75">
        <f t="shared" ca="1" si="11"/>
        <v>0</v>
      </c>
      <c r="CF39" s="75">
        <f t="shared" ca="1" si="11"/>
        <v>0</v>
      </c>
      <c r="CG39" s="75">
        <f t="shared" ca="1" si="11"/>
        <v>0</v>
      </c>
      <c r="CH39" s="93">
        <f t="shared" ca="1" si="11"/>
        <v>0</v>
      </c>
      <c r="CI39" s="92">
        <f t="shared" ca="1" si="12"/>
        <v>0</v>
      </c>
      <c r="CJ39" s="75">
        <f t="shared" ca="1" si="12"/>
        <v>0</v>
      </c>
      <c r="CK39" s="75">
        <f t="shared" ca="1" si="12"/>
        <v>0</v>
      </c>
      <c r="CL39" s="75">
        <f t="shared" ca="1" si="12"/>
        <v>0</v>
      </c>
      <c r="CM39" s="93">
        <f t="shared" ca="1" si="12"/>
        <v>0</v>
      </c>
      <c r="DC39" s="112" cm="1">
        <f t="array" aca="1" ref="DC39" ca="1">IFERROR(BM39-BM39*BR68*(1-INDEX([1]Tables!$EA$4:$EE$60,MATCH([1]Tables!$C$22&amp;$BX39,[1]Tables!$EA$4:$EA$60,0),[1]Tables!$EE$1))*(1-DI39)/CD59, 0)</f>
        <v>0</v>
      </c>
      <c r="DD39" s="113" cm="1">
        <f t="array" aca="1" ref="DD39" ca="1">IFERROR(BN39-BN39*BS68*(1-INDEX([1]Tables!$EA$4:$EE$60,MATCH([1]Tables!$C$22&amp;$BX39,[1]Tables!$EA$4:$EA$60,0),[1]Tables!$EE$1))*(1-DJ39)/CE59, 0)</f>
        <v>0</v>
      </c>
      <c r="DE39" s="113" cm="1">
        <f t="array" aca="1" ref="DE39" ca="1">IFERROR(BO39-BO39*BT68*(1-INDEX([1]Tables!$EA$4:$EE$60,MATCH([1]Tables!$C$22&amp;$BX39,[1]Tables!$EA$4:$EA$60,0),[1]Tables!$EE$1))*(1-DK39)/CF59, 0)</f>
        <v>0</v>
      </c>
      <c r="DF39" s="113" cm="1">
        <f t="array" aca="1" ref="DF39" ca="1">IFERROR(BP39-BP39*BU68*(1-INDEX([1]Tables!$EA$4:$EE$60,MATCH([1]Tables!$C$22&amp;$BX39,[1]Tables!$EA$4:$EA$60,0),[1]Tables!$EE$1))*(1-DL39)/CG59, 0)</f>
        <v>0</v>
      </c>
      <c r="DG39" s="114" cm="1">
        <f t="array" aca="1" ref="DG39" ca="1">IFERROR(BQ39-BQ39*BV68*(1-INDEX([1]Tables!$EA$4:$EE$60,MATCH([1]Tables!$C$22&amp;$BX39,[1]Tables!$EA$4:$EA$60,0),[1]Tables!$EE$1))*(1-DM39)/CH59, 0)</f>
        <v>0</v>
      </c>
      <c r="DI39" s="115" cm="1">
        <f t="array" aca="1" ref="DI39" ca="1">IFERROR(((SUMPRODUCT((rng_out_mail_ind = $B39) * (rng_out_ds = $C39) * (rng_out_sel_sp_ind = $D39)   * (rng_out_sel_excl_ind = $E39) * (rng_out_ppa_post_yr1*rng_out_340B)) +
IF([1]Tables!$C$16=[1]Tables!$CF$4, SUMPRODUCT((rng_out_mail_ind = $B39) * (rng_out_ds = $C39) * (rng_out_sel_sp_ind = $D39) * (rng_out_sel_excl_ind = $F39) * (rng_out_ppa_post_yr1*rng_out_340B)), 0))/[1]Tables!$AT$4)/AQ39, 0)</f>
        <v>0</v>
      </c>
      <c r="DJ39" s="116" cm="1">
        <f t="array" aca="1" ref="DJ39" ca="1">IFERROR(((SUMPRODUCT((rng_out_mail_ind = $B39) * (rng_out_ds = $C39) * (rng_out_sel_sp_ind = $D39)   * (rng_out_sel_excl_ind = $E39) * (rng_out_ppa_post_yr2*rng_out_340B)) +
IF([1]Tables!$C$16=[1]Tables!$CF$4, SUMPRODUCT((rng_out_mail_ind = $B39) * (rng_out_ds = $C39) * (rng_out_sel_sp_ind = $D39) * (rng_out_sel_excl_ind = $F39) * (rng_out_ppa_post_yr2*rng_out_340B)), 0))/[1]Tables!$AT$4)/AR39, 0)</f>
        <v>0</v>
      </c>
      <c r="DK39" s="116" cm="1">
        <f t="array" aca="1" ref="DK39" ca="1">IFERROR(((SUMPRODUCT((rng_out_mail_ind = $B39) * (rng_out_ds = $C39) * (rng_out_sel_sp_ind = $D39)   * (rng_out_sel_excl_ind = $E39) * (rng_out_ppa_post_yr3*rng_out_340B)) +
IF([1]Tables!$C$16=[1]Tables!$CF$4, SUMPRODUCT((rng_out_mail_ind = $B39) * (rng_out_ds = $C39) * (rng_out_sel_sp_ind = $D39) * (rng_out_sel_excl_ind = $F39) * (rng_out_ppa_post_yr3*rng_out_340B)), 0))/[1]Tables!$AT$4)/AS39, 0)</f>
        <v>0</v>
      </c>
      <c r="DL39" s="116" cm="1">
        <f t="array" aca="1" ref="DL39" ca="1">IFERROR(((SUMPRODUCT((rng_out_mail_ind = $B39) * (rng_out_ds = $C39) * (rng_out_sel_sp_ind = $D39)   * (rng_out_sel_excl_ind = $E39) * (rng_out_ppa_post_yr4*rng_out_340B)) +
IF([1]Tables!$C$16=[1]Tables!$CF$4, SUMPRODUCT((rng_out_mail_ind = $B39) * (rng_out_ds = $C39) * (rng_out_sel_sp_ind = $D39) * (rng_out_sel_excl_ind = $F39) * (rng_out_ppa_post_yr4*rng_out_340B)), 0))/[1]Tables!$AT$4)/AT39, 0)</f>
        <v>0</v>
      </c>
      <c r="DM39" s="117" cm="1">
        <f t="array" aca="1" ref="DM39" ca="1">IFERROR(((SUMPRODUCT((rng_out_mail_ind = $B39) * (rng_out_ds = $C39) * (rng_out_sel_sp_ind = $D39)   * (rng_out_sel_excl_ind = $E39) * (rng_out_ppa_post_yr5*rng_out_340B)) +
IF([1]Tables!$C$16=[1]Tables!$CF$4, SUMPRODUCT((rng_out_mail_ind = $B39) * (rng_out_ds = $C39) * (rng_out_sel_sp_ind = $D39) * (rng_out_sel_excl_ind = $F39) * (rng_out_ppa_post_yr5*rng_out_340B)), 0))/[1]Tables!$AT$4)/AU39, 0)</f>
        <v>0</v>
      </c>
    </row>
    <row r="40" spans="2:117" x14ac:dyDescent="0.35">
      <c r="B40" s="105" t="s">
        <v>16</v>
      </c>
      <c r="C40" s="106"/>
      <c r="D40" s="106" t="s">
        <v>12</v>
      </c>
      <c r="E40" s="105" t="s">
        <v>12</v>
      </c>
      <c r="F40" s="107" t="s">
        <v>13</v>
      </c>
      <c r="H40" s="118" t="s">
        <v>7</v>
      </c>
      <c r="I40" s="72" t="e" cm="1">
        <f t="array" aca="1" ref="I40" ca="1">SUMIFS(INDIRECT('[1]RA Output'!CE$1), rng_out_mail_ind, $B40, rng_out_sel_sp_ind, $D40, rng_out_sel_excl_ind,$E40)
+ SUMIFS(INDIRECT('[1]RA Output'!CE$1), rng_out_mail_ind, $B40, rng_out_sel_sp_ind, $D40, rng_out_sel_excl_ind,$F40, rng_out_sel_excl_yr_ind, "&gt;0")
+ IF([1]Tables!$C$16=[1]Tables!$CF$4, SUMIFS(INDIRECT('[1]RA Output'!CE$1), rng_out_mail_ind, $B40, rng_out_sel_sp_ind, $D40, rng_out_sel_excl_ind,$F40,rng_out_sel_excl_yr_ind, ""), 0)</f>
        <v>#REF!</v>
      </c>
      <c r="J40" s="5" t="e" cm="1">
        <f t="array" aca="1" ref="J40" ca="1">SUMIFS(INDIRECT('[1]RA Output'!CF$1), rng_out_mail_ind, $B40, rng_out_sel_sp_ind, $D40, rng_out_sel_excl_ind,$E40)
+ SUMIFS(INDIRECT('[1]RA Output'!CF$1), rng_out_mail_ind, $B40, rng_out_sel_sp_ind, $D40, rng_out_sel_excl_ind,$F40, rng_out_sel_excl_yr_ind, "&gt;0")
+ IF([1]Tables!$C$16=[1]Tables!$CF$4, SUMIFS(INDIRECT('[1]RA Output'!CF$1), rng_out_mail_ind, $B40, rng_out_sel_sp_ind, $D40, rng_out_sel_excl_ind,$F40,rng_out_sel_excl_yr_ind, ""), 0)</f>
        <v>#REF!</v>
      </c>
      <c r="K40" s="5" t="e" cm="1">
        <f t="array" aca="1" ref="K40" ca="1">SUMIFS(INDIRECT('[1]RA Output'!CG$1), rng_out_mail_ind, $B40, rng_out_sel_sp_ind, $D40, rng_out_sel_excl_ind,$E40)
+ SUMIFS(INDIRECT('[1]RA Output'!CG$1), rng_out_mail_ind, $B40, rng_out_sel_sp_ind, $D40, rng_out_sel_excl_ind,$F40, rng_out_sel_excl_yr_ind, "&gt;0")
+ IF([1]Tables!$C$16=[1]Tables!$CF$4, SUMIFS(INDIRECT('[1]RA Output'!CG$1), rng_out_mail_ind, $B40, rng_out_sel_sp_ind, $D40, rng_out_sel_excl_ind,$F40,rng_out_sel_excl_yr_ind, ""), 0)</f>
        <v>#REF!</v>
      </c>
      <c r="L40" s="5" t="e" cm="1">
        <f t="array" aca="1" ref="L40" ca="1">SUMIFS(INDIRECT('[1]RA Output'!CH$1), rng_out_mail_ind, $B40, rng_out_sel_sp_ind, $D40, rng_out_sel_excl_ind,$E40)
+ SUMIFS(INDIRECT('[1]RA Output'!CH$1), rng_out_mail_ind, $B40, rng_out_sel_sp_ind, $D40, rng_out_sel_excl_ind,$F40, rng_out_sel_excl_yr_ind, "&gt;0")
+ IF([1]Tables!$C$16=[1]Tables!$CF$4, SUMIFS(INDIRECT('[1]RA Output'!CH$1), rng_out_mail_ind, $B40, rng_out_sel_sp_ind, $D40, rng_out_sel_excl_ind,$F40,rng_out_sel_excl_yr_ind, ""), 0)</f>
        <v>#REF!</v>
      </c>
      <c r="M40" s="73" t="e" cm="1">
        <f t="array" aca="1" ref="M40" ca="1">SUMIFS(INDIRECT('[1]RA Output'!CI$1), rng_out_mail_ind, $B40, rng_out_sel_sp_ind, $D40, rng_out_sel_excl_ind,$E40)
+ SUMIFS(INDIRECT('[1]RA Output'!CI$1), rng_out_mail_ind, $B40, rng_out_sel_sp_ind, $D40, rng_out_sel_excl_ind,$F40, rng_out_sel_excl_yr_ind, "&gt;0")
+ IF([1]Tables!$C$16=[1]Tables!$CF$4, SUMIFS(INDIRECT('[1]RA Output'!CI$1), rng_out_mail_ind, $B40, rng_out_sel_sp_ind, $D40, rng_out_sel_excl_ind,$F40,rng_out_sel_excl_yr_ind, ""), 0)</f>
        <v>#REF!</v>
      </c>
      <c r="N40" s="74">
        <f ca="1">IFERROR(I40/N$60, 0)</f>
        <v>0</v>
      </c>
      <c r="O40" s="75">
        <f ca="1">IFERROR(J40/O$60, 0)</f>
        <v>0</v>
      </c>
      <c r="P40" s="75">
        <f ca="1">IFERROR(K40/P$60, 0)</f>
        <v>0</v>
      </c>
      <c r="Q40" s="75">
        <f ca="1">IFERROR(L40/Q$60, 0)</f>
        <v>0</v>
      </c>
      <c r="R40" s="76">
        <f ca="1">IFERROR(M40/R$60, 0)</f>
        <v>0</v>
      </c>
      <c r="S40" s="74">
        <f ca="1">IFERROR(I40/S$60, 0)</f>
        <v>0</v>
      </c>
      <c r="T40" s="75">
        <f ca="1">IFERROR(J40/T$60, 0)</f>
        <v>0</v>
      </c>
      <c r="U40" s="75">
        <f ca="1">IFERROR(K40/U$60, 0)</f>
        <v>0</v>
      </c>
      <c r="V40" s="75">
        <f ca="1">IFERROR(L40/V$60, 0)</f>
        <v>0</v>
      </c>
      <c r="W40" s="76">
        <f ca="1">IFERROR(M40/W$60, 0)</f>
        <v>0</v>
      </c>
      <c r="Y40" s="119" t="s">
        <v>7</v>
      </c>
      <c r="Z40" s="78">
        <f ca="1">IFERROR(I40/[1]Tables!$AT$4, 0)</f>
        <v>0</v>
      </c>
      <c r="AA40" s="79">
        <f ca="1">IFERROR(J40/[1]Tables!$AT$4, 0)</f>
        <v>0</v>
      </c>
      <c r="AB40" s="79">
        <f ca="1">IFERROR(K40/[1]Tables!$AT$4, 0)</f>
        <v>0</v>
      </c>
      <c r="AC40" s="79">
        <f ca="1">IFERROR(L40/[1]Tables!$AT$4, 0)</f>
        <v>0</v>
      </c>
      <c r="AD40" s="80">
        <f ca="1">IFERROR(M40/[1]Tables!$AT$4, 0)</f>
        <v>0</v>
      </c>
      <c r="AE40" s="81">
        <f ca="1">IFERROR(N40/[1]Tables!$AT$4, 0)</f>
        <v>0</v>
      </c>
      <c r="AF40" s="75">
        <f ca="1">IFERROR(O40/[1]Tables!$AT$4, 0)</f>
        <v>0</v>
      </c>
      <c r="AG40" s="75">
        <f ca="1">IFERROR(P40/[1]Tables!$AT$4, 0)</f>
        <v>0</v>
      </c>
      <c r="AH40" s="75">
        <f ca="1">IFERROR(Q40/[1]Tables!$AT$4, 0)</f>
        <v>0</v>
      </c>
      <c r="AI40" s="82">
        <f ca="1">IFERROR(R40/[1]Tables!$AT$4, 0)</f>
        <v>0</v>
      </c>
      <c r="AJ40" s="81">
        <f ca="1">IFERROR(S40/[1]Tables!$AT$4, 0)</f>
        <v>0</v>
      </c>
      <c r="AK40" s="75">
        <f ca="1">IFERROR(T40/[1]Tables!$AT$4, 0)</f>
        <v>0</v>
      </c>
      <c r="AL40" s="75">
        <f ca="1">IFERROR(U40/[1]Tables!$AT$4, 0)</f>
        <v>0</v>
      </c>
      <c r="AM40" s="75">
        <f ca="1">IFERROR(V40/[1]Tables!$AT$4, 0)</f>
        <v>0</v>
      </c>
      <c r="AN40" s="82">
        <f ca="1">IFERROR(W40/[1]Tables!$AT$4, 0)</f>
        <v>0</v>
      </c>
      <c r="AP40" s="120" t="s">
        <v>7</v>
      </c>
      <c r="AQ40" s="84" t="e" cm="1">
        <f t="array" aca="1" ref="AQ40" ca="1">(SUMIFS(INDIRECT('[1]RA Output'!DE$1), rng_out_mail_ind, $B40, rng_out_sel_sp_ind, $D40, rng_out_sel_excl_ind,$E40)
+ SUMIFS(INDIRECT('[1]RA Output'!DE$1), rng_out_mail_ind, $B40, rng_out_sel_sp_ind, $D40, rng_out_sel_excl_ind,$F40, rng_out_sel_excl_yr_ind, "&gt;0")
+ IF([1]Tables!$C$16=[1]Tables!$CF$4, SUMIFS(INDIRECT('[1]RA Output'!DE$1), rng_out_mail_ind, $B40, rng_out_sel_sp_ind, $D40, rng_out_sel_excl_ind,$F40,rng_out_sel_excl_yr_ind, ""), 0))/[1]Tables!$AT$4</f>
        <v>#REF!</v>
      </c>
      <c r="AR40" s="5" t="e" cm="1">
        <f t="array" aca="1" ref="AR40" ca="1">(SUMIFS(INDIRECT('[1]RA Output'!DF$1), rng_out_mail_ind, $B40, rng_out_sel_sp_ind, $D40, rng_out_sel_excl_ind,$E40)
+ SUMIFS(INDIRECT('[1]RA Output'!DF$1), rng_out_mail_ind, $B40, rng_out_sel_sp_ind, $D40, rng_out_sel_excl_ind,$F40, rng_out_sel_excl_yr_ind, "&gt;0")
+ IF([1]Tables!$C$16=[1]Tables!$CF$4, SUMIFS(INDIRECT('[1]RA Output'!DF$1), rng_out_mail_ind, $B40, rng_out_sel_sp_ind, $D40, rng_out_sel_excl_ind,$F40,rng_out_sel_excl_yr_ind, ""), 0))/[1]Tables!$AT$4</f>
        <v>#REF!</v>
      </c>
      <c r="AS40" s="5" t="e" cm="1">
        <f t="array" aca="1" ref="AS40" ca="1">(SUMIFS(INDIRECT('[1]RA Output'!DG$1), rng_out_mail_ind, $B40, rng_out_sel_sp_ind, $D40, rng_out_sel_excl_ind,$E40)
+ SUMIFS(INDIRECT('[1]RA Output'!DG$1), rng_out_mail_ind, $B40, rng_out_sel_sp_ind, $D40, rng_out_sel_excl_ind,$F40, rng_out_sel_excl_yr_ind, "&gt;0")
+ IF([1]Tables!$C$16=[1]Tables!$CF$4, SUMIFS(INDIRECT('[1]RA Output'!DG$1), rng_out_mail_ind, $B40, rng_out_sel_sp_ind, $D40, rng_out_sel_excl_ind,$F40,rng_out_sel_excl_yr_ind, ""), 0))/[1]Tables!$AT$4</f>
        <v>#REF!</v>
      </c>
      <c r="AT40" s="5" t="e" cm="1">
        <f t="array" aca="1" ref="AT40" ca="1">(SUMIFS(INDIRECT('[1]RA Output'!DH$1), rng_out_mail_ind, $B40, rng_out_sel_sp_ind, $D40, rng_out_sel_excl_ind,$E40)
+ SUMIFS(INDIRECT('[1]RA Output'!DH$1), rng_out_mail_ind, $B40, rng_out_sel_sp_ind, $D40, rng_out_sel_excl_ind,$F40, rng_out_sel_excl_yr_ind, "&gt;0")
+ IF([1]Tables!$C$16=[1]Tables!$CF$4, SUMIFS(INDIRECT('[1]RA Output'!DH$1), rng_out_mail_ind, $B40, rng_out_sel_sp_ind, $D40, rng_out_sel_excl_ind,$F40,rng_out_sel_excl_yr_ind, ""), 0))/[1]Tables!$AT$4</f>
        <v>#REF!</v>
      </c>
      <c r="AU40" s="85" t="e" cm="1">
        <f t="array" aca="1" ref="AU40" ca="1">(SUMIFS(INDIRECT('[1]RA Output'!DI$1), rng_out_mail_ind, $B40, rng_out_sel_sp_ind, $D40, rng_out_sel_excl_ind,$E40)
+ SUMIFS(INDIRECT('[1]RA Output'!DI$1), rng_out_mail_ind, $B40, rng_out_sel_sp_ind, $D40, rng_out_sel_excl_ind,$F40, rng_out_sel_excl_yr_ind, "&gt;0")
+ IF([1]Tables!$C$16=[1]Tables!$CF$4, SUMIFS(INDIRECT('[1]RA Output'!DI$1), rng_out_mail_ind, $B40, rng_out_sel_sp_ind, $D40, rng_out_sel_excl_ind,$F40,rng_out_sel_excl_yr_ind, ""), 0))/[1]Tables!$AT$4</f>
        <v>#REF!</v>
      </c>
      <c r="AV40" s="86">
        <f ca="1">IFERROR(AQ40/AV$60, 0)</f>
        <v>0</v>
      </c>
      <c r="AW40" s="75">
        <f ca="1">IFERROR(AR40/AW$60, 0)</f>
        <v>0</v>
      </c>
      <c r="AX40" s="75">
        <f ca="1">IFERROR(AS40/AX$60, 0)</f>
        <v>0</v>
      </c>
      <c r="AY40" s="75">
        <f ca="1">IFERROR(AT40/AY$60, 0)</f>
        <v>0</v>
      </c>
      <c r="AZ40" s="87">
        <f ca="1">IFERROR(AU40/AZ$60, 0)</f>
        <v>0</v>
      </c>
      <c r="BA40" s="75">
        <f ca="1">IFERROR(AQ40/BA$60, 0)</f>
        <v>0</v>
      </c>
      <c r="BB40" s="75">
        <f ca="1">IFERROR(AR40/BB$60, 0)</f>
        <v>0</v>
      </c>
      <c r="BC40" s="75">
        <f ca="1">IFERROR(AS40/BC$60, 0)</f>
        <v>0</v>
      </c>
      <c r="BD40" s="75">
        <f ca="1">IFERROR(AT40/BD$60, 0)</f>
        <v>0</v>
      </c>
      <c r="BE40" s="87">
        <f ca="1">IFERROR(AU40/BE$60, 0)</f>
        <v>0</v>
      </c>
      <c r="BG40" s="121" t="s">
        <v>7</v>
      </c>
      <c r="BH40" s="97" t="e">
        <f ca="1">AQ40*'[1]Lift Adjustment'!M$60</f>
        <v>#REF!</v>
      </c>
      <c r="BI40" s="79" t="e">
        <f ca="1">AR40*'[1]Lift Adjustment'!N$60</f>
        <v>#REF!</v>
      </c>
      <c r="BJ40" s="79" t="e">
        <f ca="1">AS40*'[1]Lift Adjustment'!O$60</f>
        <v>#REF!</v>
      </c>
      <c r="BK40" s="79" t="e">
        <f ca="1">AT40*'[1]Lift Adjustment'!P$60</f>
        <v>#REF!</v>
      </c>
      <c r="BL40" s="98" t="e">
        <f ca="1">AU40*'[1]Lift Adjustment'!Q$60</f>
        <v>#REF!</v>
      </c>
      <c r="BM40" s="92">
        <f ca="1">IFERROR(BH40/BM$60, 0)</f>
        <v>0</v>
      </c>
      <c r="BN40" s="75">
        <f ca="1">IFERROR(BI40/BN$60, 0)</f>
        <v>0</v>
      </c>
      <c r="BO40" s="75">
        <f ca="1">IFERROR(BJ40/BO$60, 0)</f>
        <v>0</v>
      </c>
      <c r="BP40" s="75">
        <f ca="1">IFERROR(BK40/BP$60, 0)</f>
        <v>0</v>
      </c>
      <c r="BQ40" s="93">
        <f ca="1">IFERROR(BL40/BQ$60, 0)</f>
        <v>0</v>
      </c>
      <c r="BR40" s="92">
        <f ca="1">IFERROR(BH40/BR$60, 0)</f>
        <v>0</v>
      </c>
      <c r="BS40" s="75">
        <f ca="1">IFERROR(BI40/BS$60, 0)</f>
        <v>0</v>
      </c>
      <c r="BT40" s="75">
        <f ca="1">IFERROR(BJ40/BT$60, 0)</f>
        <v>0</v>
      </c>
      <c r="BU40" s="75">
        <f ca="1">IFERROR(BK40/BU$60, 0)</f>
        <v>0</v>
      </c>
      <c r="BV40" s="93">
        <f ca="1">IFERROR(BL40/BV$60, 0)</f>
        <v>0</v>
      </c>
      <c r="BX40" s="121" t="s">
        <v>7</v>
      </c>
      <c r="BY40" s="97" t="e">
        <f t="shared" ca="1" si="10"/>
        <v>#VALUE!</v>
      </c>
      <c r="BZ40" s="79" t="e">
        <f t="shared" ca="1" si="10"/>
        <v>#VALUE!</v>
      </c>
      <c r="CA40" s="79" t="e">
        <f t="shared" ca="1" si="10"/>
        <v>#VALUE!</v>
      </c>
      <c r="CB40" s="79" t="e">
        <f t="shared" ca="1" si="10"/>
        <v>#VALUE!</v>
      </c>
      <c r="CC40" s="98" t="e">
        <f t="shared" ca="1" si="10"/>
        <v>#VALUE!</v>
      </c>
      <c r="CD40" s="92">
        <f t="shared" ca="1" si="11"/>
        <v>0</v>
      </c>
      <c r="CE40" s="75">
        <f t="shared" ca="1" si="11"/>
        <v>0</v>
      </c>
      <c r="CF40" s="75">
        <f t="shared" ca="1" si="11"/>
        <v>0</v>
      </c>
      <c r="CG40" s="75">
        <f t="shared" ca="1" si="11"/>
        <v>0</v>
      </c>
      <c r="CH40" s="93">
        <f t="shared" ca="1" si="11"/>
        <v>0</v>
      </c>
      <c r="CI40" s="92">
        <f t="shared" ca="1" si="12"/>
        <v>0</v>
      </c>
      <c r="CJ40" s="75">
        <f t="shared" ca="1" si="12"/>
        <v>0</v>
      </c>
      <c r="CK40" s="75">
        <f t="shared" ca="1" si="12"/>
        <v>0</v>
      </c>
      <c r="CL40" s="75">
        <f t="shared" ca="1" si="12"/>
        <v>0</v>
      </c>
      <c r="CM40" s="93">
        <f t="shared" ca="1" si="12"/>
        <v>0</v>
      </c>
      <c r="DC40" s="112" cm="1">
        <f t="array" aca="1" ref="DC40" ca="1">IFERROR(BM40-BM40*BR69*(1-INDEX([1]Tables!$EA$4:$EE$60,MATCH([1]Tables!$C$22&amp;$BX40,[1]Tables!$EA$4:$EA$60,0),[1]Tables!$EE$1))*(1-DI40)/CD60, 0)</f>
        <v>0</v>
      </c>
      <c r="DD40" s="113" cm="1">
        <f t="array" aca="1" ref="DD40" ca="1">IFERROR(BN40-BN40*BS69*(1-INDEX([1]Tables!$EA$4:$EE$60,MATCH([1]Tables!$C$22&amp;$BX40,[1]Tables!$EA$4:$EA$60,0),[1]Tables!$EE$1))*(1-DJ40)/CE60, 0)</f>
        <v>0</v>
      </c>
      <c r="DE40" s="113" cm="1">
        <f t="array" aca="1" ref="DE40" ca="1">IFERROR(BO40-BO40*BT69*(1-INDEX([1]Tables!$EA$4:$EE$60,MATCH([1]Tables!$C$22&amp;$BX40,[1]Tables!$EA$4:$EA$60,0),[1]Tables!$EE$1))*(1-DK40)/CF60, 0)</f>
        <v>0</v>
      </c>
      <c r="DF40" s="113" cm="1">
        <f t="array" aca="1" ref="DF40" ca="1">IFERROR(BP40-BP40*BU69*(1-INDEX([1]Tables!$EA$4:$EE$60,MATCH([1]Tables!$C$22&amp;$BX40,[1]Tables!$EA$4:$EA$60,0),[1]Tables!$EE$1))*(1-DL40)/CG60, 0)</f>
        <v>0</v>
      </c>
      <c r="DG40" s="114" cm="1">
        <f t="array" aca="1" ref="DG40" ca="1">IFERROR(BQ40-BQ40*BV69*(1-INDEX([1]Tables!$EA$4:$EE$60,MATCH([1]Tables!$C$22&amp;$BX40,[1]Tables!$EA$4:$EA$60,0),[1]Tables!$EE$1))*(1-DM40)/CH60, 0)</f>
        <v>0</v>
      </c>
      <c r="DI40" s="115" cm="1">
        <f t="array" aca="1" ref="DI40" ca="1">IFERROR(((SUMPRODUCT((rng_out_mail_ind = $B40) * (rng_out_sel_sp_ind = $D40)   * (rng_out_sel_excl_ind = $E40) * (rng_out_ppa_post_yr1*rng_out_340B)) +
IF([1]Tables!$C$16=[1]Tables!$CF$4, SUMPRODUCT((rng_out_mail_ind = $B40) * (rng_out_sel_sp_ind = $D40) * (rng_out_sel_excl_ind = $F40) * (rng_out_ppa_post_yr1*rng_out_340B)), 0))/[1]Tables!$AT$4)/AQ40, 0)</f>
        <v>0</v>
      </c>
      <c r="DJ40" s="116" cm="1">
        <f t="array" aca="1" ref="DJ40" ca="1">IFERROR(((SUMPRODUCT((rng_out_mail_ind = $B40) * (rng_out_sel_sp_ind = $D40)   * (rng_out_sel_excl_ind = $E40) * (rng_out_ppa_post_yr2*rng_out_340B)) +
IF([1]Tables!$C$16=[1]Tables!$CF$4, SUMPRODUCT((rng_out_mail_ind = $B40) * (rng_out_sel_sp_ind = $D40) * (rng_out_sel_excl_ind = $F40) * (rng_out_ppa_post_yr2*rng_out_340B)), 0))/[1]Tables!$AT$4)/AR40, 0)</f>
        <v>0</v>
      </c>
      <c r="DK40" s="116" cm="1">
        <f t="array" aca="1" ref="DK40" ca="1">IFERROR(((SUMPRODUCT((rng_out_mail_ind = $B40) * (rng_out_sel_sp_ind = $D40)   * (rng_out_sel_excl_ind = $E40) * (rng_out_ppa_post_yr3*rng_out_340B)) +
IF([1]Tables!$C$16=[1]Tables!$CF$4, SUMPRODUCT((rng_out_mail_ind = $B40) * (rng_out_sel_sp_ind = $D40) * (rng_out_sel_excl_ind = $F40) * (rng_out_ppa_post_yr3*rng_out_340B)), 0))/[1]Tables!$AT$4)/AS40, 0)</f>
        <v>0</v>
      </c>
      <c r="DL40" s="116" cm="1">
        <f t="array" aca="1" ref="DL40" ca="1">IFERROR(((SUMPRODUCT((rng_out_mail_ind = $B40) * (rng_out_sel_sp_ind = $D40)   * (rng_out_sel_excl_ind = $E40) * (rng_out_ppa_post_yr4*rng_out_340B)) +
IF([1]Tables!$C$16=[1]Tables!$CF$4, SUMPRODUCT((rng_out_mail_ind = $B40) * (rng_out_sel_sp_ind = $D40) * (rng_out_sel_excl_ind = $F40) * (rng_out_ppa_post_yr4*rng_out_340B)), 0))/[1]Tables!$AT$4)/AT40, 0)</f>
        <v>0</v>
      </c>
      <c r="DM40" s="117" cm="1">
        <f t="array" aca="1" ref="DM40" ca="1">IFERROR(((SUMPRODUCT((rng_out_mail_ind = $B40) * (rng_out_sel_sp_ind = $D40)   * (rng_out_sel_excl_ind = $E40) * (rng_out_ppa_post_yr5*rng_out_340B)) +
IF([1]Tables!$C$16=[1]Tables!$CF$4, SUMPRODUCT((rng_out_mail_ind = $B40) * (rng_out_sel_sp_ind = $D40) * (rng_out_sel_excl_ind = $F40) * (rng_out_ppa_post_yr5*rng_out_340B)), 0))/[1]Tables!$AT$4)/AU40, 0)</f>
        <v>0</v>
      </c>
    </row>
    <row r="41" spans="2:117" ht="15" thickBot="1" x14ac:dyDescent="0.4">
      <c r="B41" s="122"/>
      <c r="C41" s="123"/>
      <c r="D41" s="123" t="s">
        <v>13</v>
      </c>
      <c r="E41" s="122" t="s">
        <v>12</v>
      </c>
      <c r="F41" s="124" t="s">
        <v>13</v>
      </c>
      <c r="H41" s="118" t="s">
        <v>17</v>
      </c>
      <c r="I41" s="72" t="e" cm="1">
        <f t="array" aca="1" ref="I41" ca="1">SUMIFS(INDIRECT('[1]RA Output'!CE$1), rng_out_sel_sp_ind, $D41, rng_out_sel_excl_ind,$E41)
+ SUMIFS(INDIRECT('[1]RA Output'!CE$1), rng_out_sel_sp_ind, $D41, rng_out_sel_excl_ind,$F41, rng_out_sel_excl_yr_ind, "&gt;0")
+ IF([1]Tables!$C$16=[1]Tables!$CF$4, SUMIFS(INDIRECT('[1]RA Output'!CE$1), rng_out_sel_sp_ind, $D41, rng_out_sel_excl_ind,$F41, rng_out_sel_excl_yr_ind, ""), 0)</f>
        <v>#REF!</v>
      </c>
      <c r="J41" s="5" t="e" cm="1">
        <f t="array" aca="1" ref="J41" ca="1">SUMIFS(INDIRECT('[1]RA Output'!CF$1), rng_out_sel_sp_ind, $D41, rng_out_sel_excl_ind,$E41)
+ SUMIFS(INDIRECT('[1]RA Output'!CF$1), rng_out_sel_sp_ind, $D41, rng_out_sel_excl_ind,$F41, rng_out_sel_excl_yr_ind, "&gt;0")
+ IF([1]Tables!$C$16=[1]Tables!$CF$4, SUMIFS(INDIRECT('[1]RA Output'!CF$1), rng_out_sel_sp_ind, $D41, rng_out_sel_excl_ind,$F41, rng_out_sel_excl_yr_ind, ""), 0)</f>
        <v>#REF!</v>
      </c>
      <c r="K41" s="5" t="e" cm="1">
        <f t="array" aca="1" ref="K41" ca="1">SUMIFS(INDIRECT('[1]RA Output'!CG$1), rng_out_sel_sp_ind, $D41, rng_out_sel_excl_ind,$E41)
+ SUMIFS(INDIRECT('[1]RA Output'!CG$1), rng_out_sel_sp_ind, $D41, rng_out_sel_excl_ind,$F41, rng_out_sel_excl_yr_ind, "&gt;0")
+ IF([1]Tables!$C$16=[1]Tables!$CF$4, SUMIFS(INDIRECT('[1]RA Output'!CG$1), rng_out_sel_sp_ind, $D41, rng_out_sel_excl_ind,$F41, rng_out_sel_excl_yr_ind, ""), 0)</f>
        <v>#REF!</v>
      </c>
      <c r="L41" s="5" t="e" cm="1">
        <f t="array" aca="1" ref="L41" ca="1">SUMIFS(INDIRECT('[1]RA Output'!CH$1), rng_out_sel_sp_ind, $D41, rng_out_sel_excl_ind,$E41)
+ SUMIFS(INDIRECT('[1]RA Output'!CH$1), rng_out_sel_sp_ind, $D41, rng_out_sel_excl_ind,$F41, rng_out_sel_excl_yr_ind, "&gt;0")
+ IF([1]Tables!$C$16=[1]Tables!$CF$4, SUMIFS(INDIRECT('[1]RA Output'!CH$1), rng_out_sel_sp_ind, $D41, rng_out_sel_excl_ind,$F41, rng_out_sel_excl_yr_ind, ""), 0)</f>
        <v>#REF!</v>
      </c>
      <c r="M41" s="125" t="e" cm="1">
        <f t="array" aca="1" ref="M41" ca="1">SUMIFS(INDIRECT('[1]RA Output'!CI$1), rng_out_sel_sp_ind, $D41, rng_out_sel_excl_ind,$E41)
+ SUMIFS(INDIRECT('[1]RA Output'!CI$1), rng_out_sel_sp_ind, $D41, rng_out_sel_excl_ind,$F41, rng_out_sel_excl_yr_ind, "&gt;0")
+ IF([1]Tables!$C$16=[1]Tables!$CF$4, SUMIFS(INDIRECT('[1]RA Output'!CI$1), rng_out_sel_sp_ind, $D41, rng_out_sel_excl_ind,$F41, rng_out_sel_excl_yr_ind, ""), 0)</f>
        <v>#REF!</v>
      </c>
      <c r="N41" s="74">
        <f ca="1">IFERROR(I41/N$61, 0)</f>
        <v>0</v>
      </c>
      <c r="O41" s="75">
        <f ca="1">IFERROR(J41/O$61, 0)</f>
        <v>0</v>
      </c>
      <c r="P41" s="75">
        <f ca="1">IFERROR(K41/P$61, 0)</f>
        <v>0</v>
      </c>
      <c r="Q41" s="75">
        <f ca="1">IFERROR(L41/Q$61, 0)</f>
        <v>0</v>
      </c>
      <c r="R41" s="126">
        <f ca="1">IFERROR(M41/R$61, 0)</f>
        <v>0</v>
      </c>
      <c r="S41" s="75">
        <f ca="1">IFERROR(I41/S$61, 0)</f>
        <v>0</v>
      </c>
      <c r="T41" s="75">
        <f ca="1">IFERROR(J41/T$61, 0)</f>
        <v>0</v>
      </c>
      <c r="U41" s="75">
        <f ca="1">IFERROR(K41/U$61, 0)</f>
        <v>0</v>
      </c>
      <c r="V41" s="75">
        <f ca="1">IFERROR(L41/V$61, 0)</f>
        <v>0</v>
      </c>
      <c r="W41" s="76">
        <f ca="1">IFERROR(M41/W$61, 0)</f>
        <v>0</v>
      </c>
      <c r="Y41" s="119" t="s">
        <v>17</v>
      </c>
      <c r="Z41" s="127">
        <f ca="1">IFERROR(I41/[1]Tables!$AT$4, 0)</f>
        <v>0</v>
      </c>
      <c r="AA41" s="128">
        <f ca="1">IFERROR(J41/[1]Tables!$AT$4, 0)</f>
        <v>0</v>
      </c>
      <c r="AB41" s="128">
        <f ca="1">IFERROR(K41/[1]Tables!$AT$4, 0)</f>
        <v>0</v>
      </c>
      <c r="AC41" s="128">
        <f ca="1">IFERROR(L41/[1]Tables!$AT$4, 0)</f>
        <v>0</v>
      </c>
      <c r="AD41" s="129">
        <f ca="1">IFERROR(M41/[1]Tables!$AT$4, 0)</f>
        <v>0</v>
      </c>
      <c r="AE41" s="130">
        <f ca="1">IFERROR(N41/[1]Tables!$AT$4, 0)</f>
        <v>0</v>
      </c>
      <c r="AF41" s="131">
        <f ca="1">IFERROR(O41/[1]Tables!$AT$4, 0)</f>
        <v>0</v>
      </c>
      <c r="AG41" s="131">
        <f ca="1">IFERROR(P41/[1]Tables!$AT$4, 0)</f>
        <v>0</v>
      </c>
      <c r="AH41" s="131">
        <f ca="1">IFERROR(Q41/[1]Tables!$AT$4, 0)</f>
        <v>0</v>
      </c>
      <c r="AI41" s="132">
        <f ca="1">IFERROR(R41/[1]Tables!$AT$4, 0)</f>
        <v>0</v>
      </c>
      <c r="AJ41" s="131">
        <f ca="1">IFERROR(S41/[1]Tables!$AT$4, 0)</f>
        <v>0</v>
      </c>
      <c r="AK41" s="131">
        <f ca="1">IFERROR(T41/[1]Tables!$AT$4, 0)</f>
        <v>0</v>
      </c>
      <c r="AL41" s="131">
        <f ca="1">IFERROR(U41/[1]Tables!$AT$4, 0)</f>
        <v>0</v>
      </c>
      <c r="AM41" s="131">
        <f ca="1">IFERROR(V41/[1]Tables!$AT$4, 0)</f>
        <v>0</v>
      </c>
      <c r="AN41" s="132">
        <f ca="1">IFERROR(W41/[1]Tables!$AT$4, 0)</f>
        <v>0</v>
      </c>
      <c r="AP41" s="120" t="s">
        <v>17</v>
      </c>
      <c r="AQ41" s="133" t="e" cm="1">
        <f t="array" aca="1" ref="AQ41" ca="1">(SUMIFS(INDIRECT('[1]RA Output'!DE$1), rng_out_sel_sp_ind, $D41, rng_out_sel_excl_ind,$E41)
+ SUMIFS(INDIRECT('[1]RA Output'!DE$1), rng_out_sel_sp_ind, $D41, rng_out_sel_excl_ind,$F41, rng_out_sel_excl_yr_ind, "&gt;0")
+ IF([1]Tables!$C$16=[1]Tables!$CF$4, SUMIFS(INDIRECT('[1]RA Output'!DE$1), rng_out_sel_sp_ind, $D41, rng_out_sel_excl_ind,$F41, rng_out_sel_excl_yr_ind, ""), 0))/[1]Tables!$AT$4</f>
        <v>#REF!</v>
      </c>
      <c r="AR41" s="134" t="e" cm="1">
        <f t="array" aca="1" ref="AR41" ca="1">(SUMIFS(INDIRECT('[1]RA Output'!DF$1), rng_out_sel_sp_ind, $D41, rng_out_sel_excl_ind,$E41)
+ SUMIFS(INDIRECT('[1]RA Output'!DF$1), rng_out_sel_sp_ind, $D41, rng_out_sel_excl_ind,$F41, rng_out_sel_excl_yr_ind, "&gt;0")
+ IF([1]Tables!$C$16=[1]Tables!$CF$4, SUMIFS(INDIRECT('[1]RA Output'!DF$1), rng_out_sel_sp_ind, $D41, rng_out_sel_excl_ind,$F41, rng_out_sel_excl_yr_ind, ""), 0))/[1]Tables!$AT$4</f>
        <v>#REF!</v>
      </c>
      <c r="AS41" s="134" t="e" cm="1">
        <f t="array" aca="1" ref="AS41" ca="1">(SUMIFS(INDIRECT('[1]RA Output'!DG$1), rng_out_sel_sp_ind, $D41, rng_out_sel_excl_ind,$E41)
+ SUMIFS(INDIRECT('[1]RA Output'!DG$1), rng_out_sel_sp_ind, $D41, rng_out_sel_excl_ind,$F41, rng_out_sel_excl_yr_ind, "&gt;0")
+ IF([1]Tables!$C$16=[1]Tables!$CF$4, SUMIFS(INDIRECT('[1]RA Output'!DG$1), rng_out_sel_sp_ind, $D41, rng_out_sel_excl_ind,$F41, rng_out_sel_excl_yr_ind, ""), 0))/[1]Tables!$AT$4</f>
        <v>#REF!</v>
      </c>
      <c r="AT41" s="134" t="e" cm="1">
        <f t="array" aca="1" ref="AT41" ca="1">(SUMIFS(INDIRECT('[1]RA Output'!DH$1), rng_out_sel_sp_ind, $D41, rng_out_sel_excl_ind,$E41)
+ SUMIFS(INDIRECT('[1]RA Output'!DH$1), rng_out_sel_sp_ind, $D41, rng_out_sel_excl_ind,$F41, rng_out_sel_excl_yr_ind, "&gt;0")
+ IF([1]Tables!$C$16=[1]Tables!$CF$4, SUMIFS(INDIRECT('[1]RA Output'!DH$1), rng_out_sel_sp_ind, $D41, rng_out_sel_excl_ind,$F41, rng_out_sel_excl_yr_ind, ""), 0))/[1]Tables!$AT$4</f>
        <v>#REF!</v>
      </c>
      <c r="AU41" s="135" t="e" cm="1">
        <f t="array" aca="1" ref="AU41" ca="1">(SUMIFS(INDIRECT('[1]RA Output'!DI$1), rng_out_sel_sp_ind, $D41, rng_out_sel_excl_ind,$E41)
+ SUMIFS(INDIRECT('[1]RA Output'!DI$1), rng_out_sel_sp_ind, $D41, rng_out_sel_excl_ind,$F41, rng_out_sel_excl_yr_ind, "&gt;0")
+ IF([1]Tables!$C$16=[1]Tables!$CF$4, SUMIFS(INDIRECT('[1]RA Output'!DI$1), rng_out_sel_sp_ind, $D41, rng_out_sel_excl_ind,$F41, rng_out_sel_excl_yr_ind, ""), 0))/[1]Tables!$AT$4</f>
        <v>#REF!</v>
      </c>
      <c r="AV41" s="136">
        <f ca="1">IFERROR(AQ41/AV$61, 0)</f>
        <v>0</v>
      </c>
      <c r="AW41" s="137">
        <f ca="1">IFERROR(AR41/AW$61, 0)</f>
        <v>0</v>
      </c>
      <c r="AX41" s="137">
        <f ca="1">IFERROR(AS41/AX$61, 0)</f>
        <v>0</v>
      </c>
      <c r="AY41" s="137">
        <f ca="1">IFERROR(AT41/AY$61, 0)</f>
        <v>0</v>
      </c>
      <c r="AZ41" s="138">
        <f ca="1">IFERROR(AU41/AZ$61, 0)</f>
        <v>0</v>
      </c>
      <c r="BA41" s="137">
        <f ca="1">IFERROR(AQ41/BA$61, 0)</f>
        <v>0</v>
      </c>
      <c r="BB41" s="137">
        <f ca="1">IFERROR(AR41/BB$61, 0)</f>
        <v>0</v>
      </c>
      <c r="BC41" s="137">
        <f ca="1">IFERROR(AS41/BC$61, 0)</f>
        <v>0</v>
      </c>
      <c r="BD41" s="137">
        <f ca="1">IFERROR(AT41/BD$61, 0)</f>
        <v>0</v>
      </c>
      <c r="BE41" s="138">
        <f ca="1">IFERROR(AU41/BE$61, 0)</f>
        <v>0</v>
      </c>
      <c r="BG41" s="121" t="s">
        <v>17</v>
      </c>
      <c r="BH41" s="145" t="e">
        <f ca="1">AQ41*'[1]Lift Adjustment'!M$61</f>
        <v>#REF!</v>
      </c>
      <c r="BI41" s="146" t="e">
        <f ca="1">AR41*'[1]Lift Adjustment'!N$61</f>
        <v>#REF!</v>
      </c>
      <c r="BJ41" s="146" t="e">
        <f ca="1">AS41*'[1]Lift Adjustment'!O$61</f>
        <v>#REF!</v>
      </c>
      <c r="BK41" s="146" t="e">
        <f ca="1">AT41*'[1]Lift Adjustment'!P$61</f>
        <v>#REF!</v>
      </c>
      <c r="BL41" s="147" t="e">
        <f ca="1">AU41*'[1]Lift Adjustment'!Q$61</f>
        <v>#REF!</v>
      </c>
      <c r="BM41" s="142">
        <f ca="1">IFERROR(BH41/BM$61, 0)</f>
        <v>0</v>
      </c>
      <c r="BN41" s="143">
        <f ca="1">IFERROR(BI41/BN$61, 0)</f>
        <v>0</v>
      </c>
      <c r="BO41" s="143">
        <f ca="1">IFERROR(BJ41/BO$61, 0)</f>
        <v>0</v>
      </c>
      <c r="BP41" s="143">
        <f ca="1">IFERROR(BK41/BP$61, 0)</f>
        <v>0</v>
      </c>
      <c r="BQ41" s="144">
        <f ca="1">IFERROR(BL41/BQ$61, 0)</f>
        <v>0</v>
      </c>
      <c r="BR41" s="143">
        <f ca="1">IFERROR(BH41/BR$61, 0)</f>
        <v>0</v>
      </c>
      <c r="BS41" s="143">
        <f ca="1">IFERROR(BI41/BS$61, 0)</f>
        <v>0</v>
      </c>
      <c r="BT41" s="143">
        <f ca="1">IFERROR(BJ41/BT$61, 0)</f>
        <v>0</v>
      </c>
      <c r="BU41" s="143">
        <f ca="1">IFERROR(BK41/BU$61, 0)</f>
        <v>0</v>
      </c>
      <c r="BV41" s="144">
        <f ca="1">IFERROR(BL41/BV$61, 0)</f>
        <v>0</v>
      </c>
      <c r="BX41" s="121" t="s">
        <v>17</v>
      </c>
      <c r="BY41" s="145" t="e">
        <f t="shared" ca="1" si="10"/>
        <v>#VALUE!</v>
      </c>
      <c r="BZ41" s="146" t="e">
        <f t="shared" ca="1" si="10"/>
        <v>#VALUE!</v>
      </c>
      <c r="CA41" s="146" t="e">
        <f t="shared" ca="1" si="10"/>
        <v>#VALUE!</v>
      </c>
      <c r="CB41" s="146" t="e">
        <f t="shared" ca="1" si="10"/>
        <v>#VALUE!</v>
      </c>
      <c r="CC41" s="147" t="e">
        <f t="shared" ca="1" si="10"/>
        <v>#VALUE!</v>
      </c>
      <c r="CD41" s="142">
        <f t="shared" ca="1" si="11"/>
        <v>0</v>
      </c>
      <c r="CE41" s="143">
        <f t="shared" ca="1" si="11"/>
        <v>0</v>
      </c>
      <c r="CF41" s="143">
        <f t="shared" ca="1" si="11"/>
        <v>0</v>
      </c>
      <c r="CG41" s="143">
        <f t="shared" ca="1" si="11"/>
        <v>0</v>
      </c>
      <c r="CH41" s="144">
        <f t="shared" ca="1" si="11"/>
        <v>0</v>
      </c>
      <c r="CI41" s="143">
        <f t="shared" ca="1" si="12"/>
        <v>0</v>
      </c>
      <c r="CJ41" s="143">
        <f t="shared" ca="1" si="12"/>
        <v>0</v>
      </c>
      <c r="CK41" s="143">
        <f t="shared" ca="1" si="12"/>
        <v>0</v>
      </c>
      <c r="CL41" s="143">
        <f t="shared" ca="1" si="12"/>
        <v>0</v>
      </c>
      <c r="CM41" s="144">
        <f t="shared" ca="1" si="12"/>
        <v>0</v>
      </c>
      <c r="DC41" s="148" cm="1">
        <f t="array" aca="1" ref="DC41" ca="1">IFERROR(BM41-BM41*BR70*(1-INDEX([1]Tables!$EA$4:$EE$60,MATCH([1]Tables!$C$22&amp;$BX41,[1]Tables!$EA$4:$EA$60,0),[1]Tables!$EE$1))*(1-DI41)/CD61, 0)</f>
        <v>0</v>
      </c>
      <c r="DD41" s="149" cm="1">
        <f t="array" aca="1" ref="DD41" ca="1">IFERROR(BN41-BN41*BS70*(1-INDEX([1]Tables!$EA$4:$EE$60,MATCH([1]Tables!$C$22&amp;$BX41,[1]Tables!$EA$4:$EA$60,0),[1]Tables!$EE$1))*(1-DJ41)/CE61, 0)</f>
        <v>0</v>
      </c>
      <c r="DE41" s="149" cm="1">
        <f t="array" aca="1" ref="DE41" ca="1">IFERROR(BO41-BO41*BT70*(1-INDEX([1]Tables!$EA$4:$EE$60,MATCH([1]Tables!$C$22&amp;$BX41,[1]Tables!$EA$4:$EA$60,0),[1]Tables!$EE$1))*(1-DK41)/CF61, 0)</f>
        <v>0</v>
      </c>
      <c r="DF41" s="149" cm="1">
        <f t="array" aca="1" ref="DF41" ca="1">IFERROR(BP41-BP41*BU70*(1-INDEX([1]Tables!$EA$4:$EE$60,MATCH([1]Tables!$C$22&amp;$BX41,[1]Tables!$EA$4:$EA$60,0),[1]Tables!$EE$1))*(1-DL41)/CG61, 0)</f>
        <v>0</v>
      </c>
      <c r="DG41" s="150" cm="1">
        <f t="array" aca="1" ref="DG41" ca="1">IFERROR(BQ41-BQ41*BV70*(1-INDEX([1]Tables!$EA$4:$EE$60,MATCH([1]Tables!$C$22&amp;$BX41,[1]Tables!$EA$4:$EA$60,0),[1]Tables!$EE$1))*(1-DM41)/CH61, 0)</f>
        <v>0</v>
      </c>
      <c r="DI41" s="151" cm="1">
        <f t="array" aca="1" ref="DI41" ca="1">IFERROR(((SUMPRODUCT((rng_out_sel_sp_ind = $D41)   * (rng_out_sel_excl_ind = $E41) * (rng_out_ppa_post_yr1*rng_out_340B)) +
IF([1]Tables!$C$16=[1]Tables!$CF$4, SUMPRODUCT((rng_out_sel_sp_ind = $D41) * (rng_out_sel_excl_ind = $F41) * (rng_out_ppa_post_yr1*rng_out_340B)), 0))/[1]Tables!$AT$4)/AQ41, 0)</f>
        <v>0</v>
      </c>
      <c r="DJ41" s="152" cm="1">
        <f t="array" aca="1" ref="DJ41" ca="1">IFERROR(((SUMPRODUCT((rng_out_sel_sp_ind = $D41)   * (rng_out_sel_excl_ind = $E41) * (rng_out_ppa_post_yr2*rng_out_340B)) +
IF([1]Tables!$C$16=[1]Tables!$CF$4, SUMPRODUCT((rng_out_sel_sp_ind = $D41) * (rng_out_sel_excl_ind = $F41) * (rng_out_ppa_post_yr2*rng_out_340B)), 0))/[1]Tables!$AT$4)/AR41, 0)</f>
        <v>0</v>
      </c>
      <c r="DK41" s="152" cm="1">
        <f t="array" aca="1" ref="DK41" ca="1">IFERROR(((SUMPRODUCT((rng_out_sel_sp_ind = $D41)   * (rng_out_sel_excl_ind = $E41) * (rng_out_ppa_post_yr3*rng_out_340B)) +
IF([1]Tables!$C$16=[1]Tables!$CF$4, SUMPRODUCT((rng_out_sel_sp_ind = $D41) * (rng_out_sel_excl_ind = $F41) * (rng_out_ppa_post_yr3*rng_out_340B)), 0))/[1]Tables!$AT$4)/AS41, 0)</f>
        <v>0</v>
      </c>
      <c r="DL41" s="152" cm="1">
        <f t="array" aca="1" ref="DL41" ca="1">IFERROR(((SUMPRODUCT((rng_out_sel_sp_ind = $D41)   * (rng_out_sel_excl_ind = $E41) * (rng_out_ppa_post_yr4*rng_out_340B)) +
IF([1]Tables!$C$16=[1]Tables!$CF$4, SUMPRODUCT((rng_out_sel_sp_ind = $D41) * (rng_out_sel_excl_ind = $F41) * (rng_out_ppa_post_yr4*rng_out_340B)), 0))/[1]Tables!$AT$4)/AT41, 0)</f>
        <v>0</v>
      </c>
      <c r="DM41" s="153" cm="1">
        <f t="array" aca="1" ref="DM41" ca="1">IFERROR(((SUMPRODUCT((rng_out_sel_sp_ind = $D41)   * (rng_out_sel_excl_ind = $E41) * (rng_out_ppa_post_yr5*rng_out_340B)) +
IF([1]Tables!$C$16=[1]Tables!$CF$4, SUMPRODUCT((rng_out_sel_sp_ind = $D41) * (rng_out_sel_excl_ind = $F41) * (rng_out_ppa_post_yr5*rng_out_340B)), 0))/[1]Tables!$AT$4)/AU41, 0)</f>
        <v>0</v>
      </c>
    </row>
    <row r="42" spans="2:117" ht="15" thickBot="1" x14ac:dyDescent="0.4">
      <c r="H42" s="154" t="s">
        <v>18</v>
      </c>
      <c r="I42" s="155" t="e">
        <f ca="1">SUM(I38:I41)</f>
        <v>#REF!</v>
      </c>
      <c r="J42" s="155" t="e">
        <f ca="1">SUM(J38:J41)</f>
        <v>#REF!</v>
      </c>
      <c r="K42" s="155" t="e">
        <f ca="1">SUM(K38:K41)</f>
        <v>#REF!</v>
      </c>
      <c r="L42" s="155" t="e">
        <f ca="1">SUM(L38:L41)</f>
        <v>#REF!</v>
      </c>
      <c r="M42" s="156" t="e">
        <f ca="1">SUM(M38:M41)</f>
        <v>#REF!</v>
      </c>
      <c r="N42" s="157">
        <f ca="1">IFERROR(I42/N$62, 0)</f>
        <v>0</v>
      </c>
      <c r="O42" s="157">
        <f ca="1">IFERROR(J42/O$62, 0)</f>
        <v>0</v>
      </c>
      <c r="P42" s="157">
        <f ca="1">IFERROR(K42/P$62, 0)</f>
        <v>0</v>
      </c>
      <c r="Q42" s="157">
        <f ca="1">IFERROR(L42/Q$62, 0)</f>
        <v>0</v>
      </c>
      <c r="R42" s="158">
        <f ca="1">IFERROR(M42/R$62, 0)</f>
        <v>0</v>
      </c>
      <c r="S42" s="157">
        <f ca="1">IFERROR(I42/S$62, 0)</f>
        <v>0</v>
      </c>
      <c r="T42" s="157">
        <f ca="1">IFERROR(J42/T$62, 0)</f>
        <v>0</v>
      </c>
      <c r="U42" s="157">
        <f ca="1">IFERROR(K42/U$62, 0)</f>
        <v>0</v>
      </c>
      <c r="V42" s="157">
        <f ca="1">IFERROR(L42/V$62, 0)</f>
        <v>0</v>
      </c>
      <c r="W42" s="158">
        <f ca="1">IFERROR(M42/W$62, 0)</f>
        <v>0</v>
      </c>
      <c r="Y42" s="159" t="s">
        <v>18</v>
      </c>
      <c r="Z42" s="160">
        <f ca="1">SUM(Z38:Z41)</f>
        <v>0</v>
      </c>
      <c r="AA42" s="161">
        <f ca="1">SUM(AA38:AA41)</f>
        <v>0</v>
      </c>
      <c r="AB42" s="161">
        <f ca="1">SUM(AB38:AB41)</f>
        <v>0</v>
      </c>
      <c r="AC42" s="161">
        <f ca="1">SUM(AC38:AC41)</f>
        <v>0</v>
      </c>
      <c r="AD42" s="162">
        <f ca="1">SUM(AD38:AD41)</f>
        <v>0</v>
      </c>
      <c r="AE42" s="163">
        <f ca="1">IFERROR(N42/[1]Tables!$AT$4, 0)</f>
        <v>0</v>
      </c>
      <c r="AF42" s="164">
        <f ca="1">IFERROR(O42/[1]Tables!$AT$4, 0)</f>
        <v>0</v>
      </c>
      <c r="AG42" s="164">
        <f ca="1">IFERROR(P42/[1]Tables!$AT$4, 0)</f>
        <v>0</v>
      </c>
      <c r="AH42" s="164">
        <f ca="1">IFERROR(Q42/[1]Tables!$AT$4, 0)</f>
        <v>0</v>
      </c>
      <c r="AI42" s="165">
        <f ca="1">IFERROR(R42/[1]Tables!$AT$4, 0)</f>
        <v>0</v>
      </c>
      <c r="AJ42" s="164">
        <f ca="1">IFERROR(S42/[1]Tables!$AT$4, 0)</f>
        <v>0</v>
      </c>
      <c r="AK42" s="164">
        <f ca="1">IFERROR(T42/[1]Tables!$AT$4, 0)</f>
        <v>0</v>
      </c>
      <c r="AL42" s="164">
        <f ca="1">IFERROR(U42/[1]Tables!$AT$4, 0)</f>
        <v>0</v>
      </c>
      <c r="AM42" s="164">
        <f ca="1">IFERROR(V42/[1]Tables!$AT$4, 0)</f>
        <v>0</v>
      </c>
      <c r="AN42" s="165">
        <f ca="1">IFERROR(W42/[1]Tables!$AT$4, 0)</f>
        <v>0</v>
      </c>
      <c r="AP42" s="166" t="s">
        <v>18</v>
      </c>
      <c r="AQ42" s="167" t="e">
        <f ca="1">SUM(AQ38:AQ41)</f>
        <v>#REF!</v>
      </c>
      <c r="AR42" s="134" t="e">
        <f ca="1">SUM(AR38:AR41)</f>
        <v>#REF!</v>
      </c>
      <c r="AS42" s="134" t="e">
        <f ca="1">SUM(AS38:AS41)</f>
        <v>#REF!</v>
      </c>
      <c r="AT42" s="134" t="e">
        <f ca="1">SUM(AT38:AT41)</f>
        <v>#REF!</v>
      </c>
      <c r="AU42" s="135" t="e">
        <f ca="1">SUM(AU38:AU41)</f>
        <v>#REF!</v>
      </c>
      <c r="AV42" s="168">
        <f ca="1">IFERROR(AQ42/AV$62, 0)</f>
        <v>0</v>
      </c>
      <c r="AW42" s="169">
        <f ca="1">IFERROR(AR42/AW$62, 0)</f>
        <v>0</v>
      </c>
      <c r="AX42" s="169">
        <f ca="1">IFERROR(AS42/AX$62, 0)</f>
        <v>0</v>
      </c>
      <c r="AY42" s="169">
        <f ca="1">IFERROR(AT42/AY$62, 0)</f>
        <v>0</v>
      </c>
      <c r="AZ42" s="170">
        <f ca="1">IFERROR(AU42/AZ$62, 0)</f>
        <v>0</v>
      </c>
      <c r="BA42" s="169">
        <f ca="1">IFERROR(AQ42/BA$62, 0)</f>
        <v>0</v>
      </c>
      <c r="BB42" s="169">
        <f ca="1">IFERROR(AR42/BB$62, 0)</f>
        <v>0</v>
      </c>
      <c r="BC42" s="169">
        <f ca="1">IFERROR(AS42/BC$62, 0)</f>
        <v>0</v>
      </c>
      <c r="BD42" s="169">
        <f ca="1">IFERROR(AT42/BD$62, 0)</f>
        <v>0</v>
      </c>
      <c r="BE42" s="170">
        <f ca="1">IFERROR(AU42/BE$62, 0)</f>
        <v>0</v>
      </c>
      <c r="BG42" s="171" t="s">
        <v>18</v>
      </c>
      <c r="BH42" s="172" t="e">
        <f ca="1">SUM(BH38:BH41)</f>
        <v>#REF!</v>
      </c>
      <c r="BI42" s="173" t="e">
        <f ca="1">SUM(BI38:BI41)</f>
        <v>#REF!</v>
      </c>
      <c r="BJ42" s="173" t="e">
        <f ca="1">SUM(BJ38:BJ41)</f>
        <v>#REF!</v>
      </c>
      <c r="BK42" s="173" t="e">
        <f ca="1">SUM(BK38:BK41)</f>
        <v>#REF!</v>
      </c>
      <c r="BL42" s="174" t="e">
        <f ca="1">SUM(BL38:BL41)</f>
        <v>#REF!</v>
      </c>
      <c r="BM42" s="175">
        <f ca="1">IFERROR(BH42/BM$62, 0)</f>
        <v>0</v>
      </c>
      <c r="BN42" s="176">
        <f ca="1">IFERROR(BI42/BN$62, 0)</f>
        <v>0</v>
      </c>
      <c r="BO42" s="176">
        <f ca="1">IFERROR(BJ42/BO$62, 0)</f>
        <v>0</v>
      </c>
      <c r="BP42" s="176">
        <f ca="1">IFERROR(BK42/BP$62, 0)</f>
        <v>0</v>
      </c>
      <c r="BQ42" s="177">
        <f ca="1">IFERROR(BL42/BQ$62, 0)</f>
        <v>0</v>
      </c>
      <c r="BR42" s="176">
        <f ca="1">IFERROR(BH42/BR$62, 0)</f>
        <v>0</v>
      </c>
      <c r="BS42" s="176">
        <f ca="1">IFERROR(BI42/BS$62, 0)</f>
        <v>0</v>
      </c>
      <c r="BT42" s="176">
        <f ca="1">IFERROR(BJ42/BT$62, 0)</f>
        <v>0</v>
      </c>
      <c r="BU42" s="176">
        <f ca="1">IFERROR(BK42/BU$62, 0)</f>
        <v>0</v>
      </c>
      <c r="BV42" s="177">
        <f ca="1">IFERROR(BL42/BV$62, 0)</f>
        <v>0</v>
      </c>
      <c r="BX42" s="171" t="s">
        <v>18</v>
      </c>
      <c r="BY42" s="172" t="e">
        <f ca="1">SUM(BY38:BY41)</f>
        <v>#VALUE!</v>
      </c>
      <c r="BZ42" s="173" t="e">
        <f ca="1">SUM(BZ38:BZ41)</f>
        <v>#VALUE!</v>
      </c>
      <c r="CA42" s="173" t="e">
        <f ca="1">SUM(CA38:CA41)</f>
        <v>#VALUE!</v>
      </c>
      <c r="CB42" s="173" t="e">
        <f ca="1">SUM(CB38:CB41)</f>
        <v>#VALUE!</v>
      </c>
      <c r="CC42" s="174" t="e">
        <f ca="1">SUM(CC38:CC41)</f>
        <v>#VALUE!</v>
      </c>
      <c r="CD42" s="175">
        <f ca="1">IFERROR(BY42/CD62, 0)</f>
        <v>0</v>
      </c>
      <c r="CE42" s="176">
        <f ca="1">IFERROR(BZ42/CE62, 0)</f>
        <v>0</v>
      </c>
      <c r="CF42" s="176">
        <f ca="1">IFERROR(CA42/CF62, 0)</f>
        <v>0</v>
      </c>
      <c r="CG42" s="176">
        <f ca="1">IFERROR(CB42/CG62, 0)</f>
        <v>0</v>
      </c>
      <c r="CH42" s="177">
        <f ca="1">IFERROR(CC42/CH62, 0)</f>
        <v>0</v>
      </c>
      <c r="CI42" s="176">
        <f t="shared" ca="1" si="12"/>
        <v>0</v>
      </c>
      <c r="CJ42" s="176">
        <f t="shared" ca="1" si="12"/>
        <v>0</v>
      </c>
      <c r="CK42" s="176">
        <f t="shared" ca="1" si="12"/>
        <v>0</v>
      </c>
      <c r="CL42" s="176">
        <f t="shared" ca="1" si="12"/>
        <v>0</v>
      </c>
      <c r="CM42" s="177">
        <f t="shared" ca="1" si="12"/>
        <v>0</v>
      </c>
    </row>
    <row r="43" spans="2:117" ht="15" thickBot="1" x14ac:dyDescent="0.4">
      <c r="DC43" s="4"/>
      <c r="DD43" s="113"/>
      <c r="DI43" s="4"/>
    </row>
    <row r="44" spans="2:117" ht="15" thickBot="1" x14ac:dyDescent="0.4">
      <c r="I44" s="22" t="s">
        <v>22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3"/>
      <c r="Z44" s="24" t="s">
        <v>22</v>
      </c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6"/>
      <c r="AQ44" s="27" t="s">
        <v>22</v>
      </c>
      <c r="AR44" s="28"/>
      <c r="AS44" s="28"/>
      <c r="AT44" s="28"/>
      <c r="AU44" s="29"/>
      <c r="AV44" s="28"/>
      <c r="AW44" s="28"/>
      <c r="AX44" s="28"/>
      <c r="AY44" s="28"/>
      <c r="AZ44" s="28"/>
      <c r="BA44" s="28"/>
      <c r="BB44" s="28"/>
      <c r="BC44" s="28"/>
      <c r="BD44" s="28"/>
      <c r="BE44" s="30"/>
      <c r="BH44" s="31" t="s">
        <v>22</v>
      </c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3"/>
      <c r="BY44" s="34" t="s">
        <v>22</v>
      </c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6"/>
      <c r="DC44" s="4"/>
      <c r="DD44" s="113"/>
    </row>
    <row r="45" spans="2:117" ht="15" thickBot="1" x14ac:dyDescent="0.4">
      <c r="H45" s="37"/>
      <c r="I45" s="38" t="s">
        <v>2</v>
      </c>
      <c r="J45" s="39"/>
      <c r="K45" s="39"/>
      <c r="L45" s="39"/>
      <c r="M45" s="40"/>
      <c r="N45" s="38" t="s">
        <v>3</v>
      </c>
      <c r="O45" s="39"/>
      <c r="P45" s="39"/>
      <c r="Q45" s="39"/>
      <c r="R45" s="40"/>
      <c r="S45" s="38" t="s">
        <v>4</v>
      </c>
      <c r="T45" s="39"/>
      <c r="U45" s="39"/>
      <c r="V45" s="39"/>
      <c r="W45" s="40"/>
      <c r="Z45" s="41" t="s">
        <v>2</v>
      </c>
      <c r="AA45" s="42"/>
      <c r="AB45" s="42"/>
      <c r="AC45" s="42"/>
      <c r="AD45" s="43"/>
      <c r="AE45" s="41" t="s">
        <v>3</v>
      </c>
      <c r="AF45" s="42"/>
      <c r="AG45" s="42"/>
      <c r="AH45" s="42"/>
      <c r="AI45" s="43"/>
      <c r="AJ45" s="41" t="s">
        <v>4</v>
      </c>
      <c r="AK45" s="42"/>
      <c r="AL45" s="42"/>
      <c r="AM45" s="42"/>
      <c r="AN45" s="43"/>
      <c r="AQ45" s="44" t="s">
        <v>2</v>
      </c>
      <c r="AR45" s="45"/>
      <c r="AS45" s="45"/>
      <c r="AT45" s="45"/>
      <c r="AU45" s="46"/>
      <c r="AV45" s="44" t="s">
        <v>3</v>
      </c>
      <c r="AW45" s="45"/>
      <c r="AX45" s="45"/>
      <c r="AY45" s="45"/>
      <c r="AZ45" s="46"/>
      <c r="BA45" s="45" t="s">
        <v>4</v>
      </c>
      <c r="BB45" s="45"/>
      <c r="BC45" s="45"/>
      <c r="BD45" s="45"/>
      <c r="BE45" s="46"/>
      <c r="BH45" s="47" t="s">
        <v>2</v>
      </c>
      <c r="BI45" s="48"/>
      <c r="BJ45" s="48"/>
      <c r="BK45" s="48"/>
      <c r="BL45" s="49"/>
      <c r="BM45" s="47" t="s">
        <v>3</v>
      </c>
      <c r="BN45" s="48"/>
      <c r="BO45" s="48"/>
      <c r="BP45" s="48"/>
      <c r="BQ45" s="49"/>
      <c r="BR45" s="50" t="s">
        <v>4</v>
      </c>
      <c r="BS45" s="50"/>
      <c r="BT45" s="50"/>
      <c r="BU45" s="50"/>
      <c r="BV45" s="51"/>
      <c r="BY45" s="47" t="s">
        <v>2</v>
      </c>
      <c r="BZ45" s="48"/>
      <c r="CA45" s="48"/>
      <c r="CB45" s="48"/>
      <c r="CC45" s="49"/>
      <c r="CD45" s="47" t="s">
        <v>3</v>
      </c>
      <c r="CE45" s="48"/>
      <c r="CF45" s="48"/>
      <c r="CG45" s="48"/>
      <c r="CH45" s="49"/>
      <c r="CI45" s="50" t="s">
        <v>4</v>
      </c>
      <c r="CJ45" s="50"/>
      <c r="CK45" s="50"/>
      <c r="CL45" s="50"/>
      <c r="CM45" s="51"/>
      <c r="DC45" s="4"/>
      <c r="DD45" s="113"/>
    </row>
    <row r="46" spans="2:117" ht="15" thickBot="1" x14ac:dyDescent="0.4">
      <c r="H46" s="55"/>
      <c r="I46" s="56" t="str">
        <f>[1]Tables!$AA$4</f>
        <v>07/27 - 06/28</v>
      </c>
      <c r="J46" s="55" t="str">
        <f>[1]Tables!$AA$5</f>
        <v>07/28 - 06/29</v>
      </c>
      <c r="K46" s="55" t="str">
        <f>[1]Tables!$AA$6</f>
        <v>07/29 - 06/30</v>
      </c>
      <c r="L46" s="55" t="str">
        <f>[1]Tables!$AA$7</f>
        <v>07/30 - 06/31</v>
      </c>
      <c r="M46" s="57" t="str">
        <f>[1]Tables!$AA$8</f>
        <v>07/31 - 06/32</v>
      </c>
      <c r="N46" s="56" t="str">
        <f>[1]Tables!$AA$4</f>
        <v>07/27 - 06/28</v>
      </c>
      <c r="O46" s="55" t="str">
        <f>[1]Tables!$AA$5</f>
        <v>07/28 - 06/29</v>
      </c>
      <c r="P46" s="55" t="str">
        <f>[1]Tables!$AA$6</f>
        <v>07/29 - 06/30</v>
      </c>
      <c r="Q46" s="55" t="str">
        <f>[1]Tables!$AA$7</f>
        <v>07/30 - 06/31</v>
      </c>
      <c r="R46" s="57" t="str">
        <f>[1]Tables!$AA$8</f>
        <v>07/31 - 06/32</v>
      </c>
      <c r="S46" s="56" t="str">
        <f>[1]Tables!$AA$4</f>
        <v>07/27 - 06/28</v>
      </c>
      <c r="T46" s="55" t="str">
        <f>[1]Tables!$AA$5</f>
        <v>07/28 - 06/29</v>
      </c>
      <c r="U46" s="55" t="str">
        <f>[1]Tables!$AA$6</f>
        <v>07/29 - 06/30</v>
      </c>
      <c r="V46" s="55" t="str">
        <f>[1]Tables!$AA$7</f>
        <v>07/30 - 06/31</v>
      </c>
      <c r="W46" s="57" t="str">
        <f>[1]Tables!$AA$8</f>
        <v>07/31 - 06/32</v>
      </c>
      <c r="Y46" s="58"/>
      <c r="Z46" s="59" t="str">
        <f>[1]Tables!$AA$4</f>
        <v>07/27 - 06/28</v>
      </c>
      <c r="AA46" s="60" t="str">
        <f>[1]Tables!$AA$5</f>
        <v>07/28 - 06/29</v>
      </c>
      <c r="AB46" s="60" t="str">
        <f>[1]Tables!$AA$6</f>
        <v>07/29 - 06/30</v>
      </c>
      <c r="AC46" s="60" t="str">
        <f>[1]Tables!$AA$7</f>
        <v>07/30 - 06/31</v>
      </c>
      <c r="AD46" s="61" t="str">
        <f>[1]Tables!$AA$8</f>
        <v>07/31 - 06/32</v>
      </c>
      <c r="AE46" s="59" t="str">
        <f>[1]Tables!$AA$4</f>
        <v>07/27 - 06/28</v>
      </c>
      <c r="AF46" s="60" t="str">
        <f>[1]Tables!$AA$5</f>
        <v>07/28 - 06/29</v>
      </c>
      <c r="AG46" s="60" t="str">
        <f>[1]Tables!$AA$6</f>
        <v>07/29 - 06/30</v>
      </c>
      <c r="AH46" s="60" t="str">
        <f>[1]Tables!$AA$7</f>
        <v>07/30 - 06/31</v>
      </c>
      <c r="AI46" s="61" t="str">
        <f>[1]Tables!$AA$8</f>
        <v>07/31 - 06/32</v>
      </c>
      <c r="AJ46" s="59" t="str">
        <f>[1]Tables!$AA$4</f>
        <v>07/27 - 06/28</v>
      </c>
      <c r="AK46" s="60" t="str">
        <f>[1]Tables!$AA$5</f>
        <v>07/28 - 06/29</v>
      </c>
      <c r="AL46" s="60" t="str">
        <f>[1]Tables!$AA$6</f>
        <v>07/29 - 06/30</v>
      </c>
      <c r="AM46" s="60" t="str">
        <f>[1]Tables!$AA$7</f>
        <v>07/30 - 06/31</v>
      </c>
      <c r="AN46" s="61" t="str">
        <f>[1]Tables!$AA$8</f>
        <v>07/31 - 06/32</v>
      </c>
      <c r="AP46" s="58"/>
      <c r="AQ46" s="62" t="str">
        <f>[1]Tables!$AA$4</f>
        <v>07/27 - 06/28</v>
      </c>
      <c r="AR46" s="63" t="str">
        <f>[1]Tables!$AA$5</f>
        <v>07/28 - 06/29</v>
      </c>
      <c r="AS46" s="63" t="str">
        <f>[1]Tables!$AA$6</f>
        <v>07/29 - 06/30</v>
      </c>
      <c r="AT46" s="63" t="str">
        <f>[1]Tables!$AA$7</f>
        <v>07/30 - 06/31</v>
      </c>
      <c r="AU46" s="64" t="str">
        <f>[1]Tables!$AA$8</f>
        <v>07/31 - 06/32</v>
      </c>
      <c r="AV46" s="62" t="str">
        <f>[1]Tables!$AA$4</f>
        <v>07/27 - 06/28</v>
      </c>
      <c r="AW46" s="63" t="str">
        <f>[1]Tables!$AA$5</f>
        <v>07/28 - 06/29</v>
      </c>
      <c r="AX46" s="63" t="str">
        <f>[1]Tables!$AA$6</f>
        <v>07/29 - 06/30</v>
      </c>
      <c r="AY46" s="63" t="str">
        <f>[1]Tables!$AA$7</f>
        <v>07/30 - 06/31</v>
      </c>
      <c r="AZ46" s="64" t="str">
        <f>[1]Tables!$AA$8</f>
        <v>07/31 - 06/32</v>
      </c>
      <c r="BA46" s="63" t="str">
        <f>[1]Tables!$AA$4</f>
        <v>07/27 - 06/28</v>
      </c>
      <c r="BB46" s="63" t="str">
        <f>[1]Tables!$AA$5</f>
        <v>07/28 - 06/29</v>
      </c>
      <c r="BC46" s="63" t="str">
        <f>[1]Tables!$AA$6</f>
        <v>07/29 - 06/30</v>
      </c>
      <c r="BD46" s="63" t="str">
        <f>[1]Tables!$AA$7</f>
        <v>07/30 - 06/31</v>
      </c>
      <c r="BE46" s="64" t="str">
        <f>[1]Tables!$AA$8</f>
        <v>07/31 - 06/32</v>
      </c>
      <c r="BG46" s="58"/>
      <c r="BH46" s="65" t="str">
        <f>[1]Tables!$AA$4</f>
        <v>07/27 - 06/28</v>
      </c>
      <c r="BI46" s="66" t="str">
        <f>[1]Tables!$AA$5</f>
        <v>07/28 - 06/29</v>
      </c>
      <c r="BJ46" s="66" t="str">
        <f>[1]Tables!$AA$6</f>
        <v>07/29 - 06/30</v>
      </c>
      <c r="BK46" s="66" t="str">
        <f>[1]Tables!$AA$7</f>
        <v>07/30 - 06/31</v>
      </c>
      <c r="BL46" s="67" t="str">
        <f>[1]Tables!$AA$8</f>
        <v>07/31 - 06/32</v>
      </c>
      <c r="BM46" s="65" t="str">
        <f>[1]Tables!$AA$4</f>
        <v>07/27 - 06/28</v>
      </c>
      <c r="BN46" s="66" t="str">
        <f>[1]Tables!$AA$5</f>
        <v>07/28 - 06/29</v>
      </c>
      <c r="BO46" s="66" t="str">
        <f>[1]Tables!$AA$6</f>
        <v>07/29 - 06/30</v>
      </c>
      <c r="BP46" s="66" t="str">
        <f>[1]Tables!$AA$7</f>
        <v>07/30 - 06/31</v>
      </c>
      <c r="BQ46" s="67" t="str">
        <f>[1]Tables!$AA$8</f>
        <v>07/31 - 06/32</v>
      </c>
      <c r="BR46" s="66" t="str">
        <f>[1]Tables!$AA$4</f>
        <v>07/27 - 06/28</v>
      </c>
      <c r="BS46" s="66" t="str">
        <f>[1]Tables!$AA$5</f>
        <v>07/28 - 06/29</v>
      </c>
      <c r="BT46" s="66" t="str">
        <f>[1]Tables!$AA$6</f>
        <v>07/29 - 06/30</v>
      </c>
      <c r="BU46" s="66" t="str">
        <f>[1]Tables!$AA$7</f>
        <v>07/30 - 06/31</v>
      </c>
      <c r="BV46" s="67" t="str">
        <f>[1]Tables!$AA$8</f>
        <v>07/31 - 06/32</v>
      </c>
      <c r="BX46" s="58"/>
      <c r="BY46" s="65" t="str">
        <f>[1]Tables!$AA$4</f>
        <v>07/27 - 06/28</v>
      </c>
      <c r="BZ46" s="66" t="str">
        <f>[1]Tables!$AA$5</f>
        <v>07/28 - 06/29</v>
      </c>
      <c r="CA46" s="66" t="str">
        <f>[1]Tables!$AA$6</f>
        <v>07/29 - 06/30</v>
      </c>
      <c r="CB46" s="66" t="str">
        <f>[1]Tables!$AA$7</f>
        <v>07/30 - 06/31</v>
      </c>
      <c r="CC46" s="67" t="str">
        <f>[1]Tables!$AA$8</f>
        <v>07/31 - 06/32</v>
      </c>
      <c r="CD46" s="65" t="str">
        <f>[1]Tables!$AA$4</f>
        <v>07/27 - 06/28</v>
      </c>
      <c r="CE46" s="66" t="str">
        <f>[1]Tables!$AA$5</f>
        <v>07/28 - 06/29</v>
      </c>
      <c r="CF46" s="66" t="str">
        <f>[1]Tables!$AA$6</f>
        <v>07/29 - 06/30</v>
      </c>
      <c r="CG46" s="66" t="str">
        <f>[1]Tables!$AA$7</f>
        <v>07/30 - 06/31</v>
      </c>
      <c r="CH46" s="67" t="str">
        <f>[1]Tables!$AA$8</f>
        <v>07/31 - 06/32</v>
      </c>
      <c r="CI46" s="66" t="str">
        <f>[1]Tables!$AA$4</f>
        <v>07/27 - 06/28</v>
      </c>
      <c r="CJ46" s="66" t="str">
        <f>[1]Tables!$AA$5</f>
        <v>07/28 - 06/29</v>
      </c>
      <c r="CK46" s="66" t="str">
        <f>[1]Tables!$AA$6</f>
        <v>07/29 - 06/30</v>
      </c>
      <c r="CL46" s="66" t="str">
        <f>[1]Tables!$AA$7</f>
        <v>07/30 - 06/31</v>
      </c>
      <c r="CM46" s="67" t="str">
        <f>[1]Tables!$AA$8</f>
        <v>07/31 - 06/32</v>
      </c>
      <c r="DC46" s="4"/>
      <c r="DD46" s="113"/>
    </row>
    <row r="47" spans="2:117" x14ac:dyDescent="0.35">
      <c r="H47" s="71" t="s">
        <v>14</v>
      </c>
      <c r="I47" s="187" t="e">
        <f t="shared" ref="I47:M50" ca="1" si="13">I11+I20+I29+I38</f>
        <v>#REF!</v>
      </c>
      <c r="J47" s="79" t="e">
        <f t="shared" ca="1" si="13"/>
        <v>#REF!</v>
      </c>
      <c r="K47" s="79" t="e">
        <f t="shared" ca="1" si="13"/>
        <v>#REF!</v>
      </c>
      <c r="L47" s="79" t="e">
        <f t="shared" ca="1" si="13"/>
        <v>#REF!</v>
      </c>
      <c r="M47" s="188" t="e">
        <f t="shared" ca="1" si="13"/>
        <v>#REF!</v>
      </c>
      <c r="N47" s="74">
        <f ca="1">IFERROR(I47/N$58, 0)</f>
        <v>0</v>
      </c>
      <c r="O47" s="75">
        <f ca="1">IFERROR(J47/O$58, 0)</f>
        <v>0</v>
      </c>
      <c r="P47" s="75">
        <f ca="1">IFERROR(K47/P$58, 0)</f>
        <v>0</v>
      </c>
      <c r="Q47" s="75">
        <f ca="1">IFERROR(L47/Q$58, 0)</f>
        <v>0</v>
      </c>
      <c r="R47" s="76">
        <f ca="1">IFERROR(M47/R$58, 0)</f>
        <v>0</v>
      </c>
      <c r="S47" s="74">
        <f ca="1">IFERROR(I47/S$58, 0)</f>
        <v>0</v>
      </c>
      <c r="T47" s="75">
        <f ca="1">IFERROR(J47/T$58, 0)</f>
        <v>0</v>
      </c>
      <c r="U47" s="75">
        <f ca="1">IFERROR(K47/U$58, 0)</f>
        <v>0</v>
      </c>
      <c r="V47" s="75">
        <f ca="1">IFERROR(L47/V$58, 0)</f>
        <v>0</v>
      </c>
      <c r="W47" s="76">
        <f ca="1">IFERROR(M47/W$58, 0)</f>
        <v>0</v>
      </c>
      <c r="Y47" s="77" t="s">
        <v>14</v>
      </c>
      <c r="Z47" s="78">
        <f t="shared" ref="Z47:AN47" ca="1" si="14">Z11+Z20+Z29+Z38</f>
        <v>0</v>
      </c>
      <c r="AA47" s="79">
        <f t="shared" ca="1" si="14"/>
        <v>0</v>
      </c>
      <c r="AB47" s="79">
        <f t="shared" ca="1" si="14"/>
        <v>0</v>
      </c>
      <c r="AC47" s="79">
        <f t="shared" ca="1" si="14"/>
        <v>0</v>
      </c>
      <c r="AD47" s="80">
        <f t="shared" ca="1" si="14"/>
        <v>0</v>
      </c>
      <c r="AE47" s="81">
        <f t="shared" ca="1" si="14"/>
        <v>0</v>
      </c>
      <c r="AF47" s="75">
        <f t="shared" ca="1" si="14"/>
        <v>0</v>
      </c>
      <c r="AG47" s="75">
        <f t="shared" ca="1" si="14"/>
        <v>0</v>
      </c>
      <c r="AH47" s="75">
        <f t="shared" ca="1" si="14"/>
        <v>0</v>
      </c>
      <c r="AI47" s="82">
        <f t="shared" ca="1" si="14"/>
        <v>0</v>
      </c>
      <c r="AJ47" s="81">
        <f t="shared" ca="1" si="14"/>
        <v>0</v>
      </c>
      <c r="AK47" s="75">
        <f t="shared" ca="1" si="14"/>
        <v>0</v>
      </c>
      <c r="AL47" s="75">
        <f t="shared" ca="1" si="14"/>
        <v>0</v>
      </c>
      <c r="AM47" s="75">
        <f t="shared" ca="1" si="14"/>
        <v>0</v>
      </c>
      <c r="AN47" s="82">
        <f t="shared" ca="1" si="14"/>
        <v>0</v>
      </c>
      <c r="AP47" s="83" t="s">
        <v>14</v>
      </c>
      <c r="AQ47" s="84" t="e">
        <f t="shared" ref="AQ47:BE47" ca="1" si="15">AQ11+AQ20+AQ29+AQ38</f>
        <v>#REF!</v>
      </c>
      <c r="AR47" s="79" t="e">
        <f t="shared" ca="1" si="15"/>
        <v>#REF!</v>
      </c>
      <c r="AS47" s="79" t="e">
        <f t="shared" ca="1" si="15"/>
        <v>#REF!</v>
      </c>
      <c r="AT47" s="79" t="e">
        <f t="shared" ca="1" si="15"/>
        <v>#REF!</v>
      </c>
      <c r="AU47" s="189" t="e">
        <f t="shared" ca="1" si="15"/>
        <v>#REF!</v>
      </c>
      <c r="AV47" s="86">
        <f t="shared" ca="1" si="15"/>
        <v>0</v>
      </c>
      <c r="AW47" s="75">
        <f t="shared" ca="1" si="15"/>
        <v>0</v>
      </c>
      <c r="AX47" s="75">
        <f t="shared" ca="1" si="15"/>
        <v>0</v>
      </c>
      <c r="AY47" s="75">
        <f t="shared" ca="1" si="15"/>
        <v>0</v>
      </c>
      <c r="AZ47" s="87">
        <f t="shared" ca="1" si="15"/>
        <v>0</v>
      </c>
      <c r="BA47" s="75">
        <f t="shared" ca="1" si="15"/>
        <v>0</v>
      </c>
      <c r="BB47" s="75">
        <f t="shared" ca="1" si="15"/>
        <v>0</v>
      </c>
      <c r="BC47" s="75">
        <f t="shared" ca="1" si="15"/>
        <v>0</v>
      </c>
      <c r="BD47" s="75">
        <f t="shared" ca="1" si="15"/>
        <v>0</v>
      </c>
      <c r="BE47" s="87">
        <f t="shared" ca="1" si="15"/>
        <v>0</v>
      </c>
      <c r="BG47" s="88" t="s">
        <v>14</v>
      </c>
      <c r="BH47" s="97" t="e">
        <f t="shared" ref="BH47:BV47" ca="1" si="16">BH11+BH20+BH29+BH38</f>
        <v>#REF!</v>
      </c>
      <c r="BI47" s="79" t="e">
        <f t="shared" ca="1" si="16"/>
        <v>#REF!</v>
      </c>
      <c r="BJ47" s="79" t="e">
        <f t="shared" ca="1" si="16"/>
        <v>#REF!</v>
      </c>
      <c r="BK47" s="79" t="e">
        <f t="shared" ca="1" si="16"/>
        <v>#REF!</v>
      </c>
      <c r="BL47" s="98" t="e">
        <f t="shared" ca="1" si="16"/>
        <v>#REF!</v>
      </c>
      <c r="BM47" s="92">
        <f t="shared" ca="1" si="16"/>
        <v>0</v>
      </c>
      <c r="BN47" s="75">
        <f t="shared" ca="1" si="16"/>
        <v>0</v>
      </c>
      <c r="BO47" s="75">
        <f t="shared" ca="1" si="16"/>
        <v>0</v>
      </c>
      <c r="BP47" s="75">
        <f t="shared" ca="1" si="16"/>
        <v>0</v>
      </c>
      <c r="BQ47" s="93">
        <f t="shared" ca="1" si="16"/>
        <v>0</v>
      </c>
      <c r="BR47" s="94">
        <f t="shared" ca="1" si="16"/>
        <v>0</v>
      </c>
      <c r="BS47" s="95">
        <f t="shared" ca="1" si="16"/>
        <v>0</v>
      </c>
      <c r="BT47" s="95">
        <f t="shared" ca="1" si="16"/>
        <v>0</v>
      </c>
      <c r="BU47" s="95">
        <f t="shared" ca="1" si="16"/>
        <v>0</v>
      </c>
      <c r="BV47" s="96">
        <f t="shared" ca="1" si="16"/>
        <v>0</v>
      </c>
      <c r="BX47" s="88" t="s">
        <v>14</v>
      </c>
      <c r="BY47" s="97" t="e">
        <f t="shared" ref="BY47:CH47" ca="1" si="17">BY11+BY20+BY29+BY38</f>
        <v>#VALUE!</v>
      </c>
      <c r="BZ47" s="79" t="e">
        <f t="shared" ca="1" si="17"/>
        <v>#VALUE!</v>
      </c>
      <c r="CA47" s="79" t="e">
        <f t="shared" ca="1" si="17"/>
        <v>#VALUE!</v>
      </c>
      <c r="CB47" s="79" t="e">
        <f t="shared" ca="1" si="17"/>
        <v>#VALUE!</v>
      </c>
      <c r="CC47" s="98" t="e">
        <f t="shared" ca="1" si="17"/>
        <v>#VALUE!</v>
      </c>
      <c r="CD47" s="92">
        <f t="shared" ca="1" si="17"/>
        <v>0</v>
      </c>
      <c r="CE47" s="75">
        <f t="shared" ca="1" si="17"/>
        <v>0</v>
      </c>
      <c r="CF47" s="75">
        <f t="shared" ca="1" si="17"/>
        <v>0</v>
      </c>
      <c r="CG47" s="75">
        <f t="shared" ca="1" si="17"/>
        <v>0</v>
      </c>
      <c r="CH47" s="93">
        <f t="shared" ca="1" si="17"/>
        <v>0</v>
      </c>
      <c r="CI47" s="94">
        <f t="shared" ref="CI47:CM51" ca="1" si="18">IFERROR(BY47/CI58, 0)</f>
        <v>0</v>
      </c>
      <c r="CJ47" s="95">
        <f t="shared" ca="1" si="18"/>
        <v>0</v>
      </c>
      <c r="CK47" s="95">
        <f t="shared" ca="1" si="18"/>
        <v>0</v>
      </c>
      <c r="CL47" s="95">
        <f t="shared" ca="1" si="18"/>
        <v>0</v>
      </c>
      <c r="CM47" s="96">
        <f t="shared" ca="1" si="18"/>
        <v>0</v>
      </c>
    </row>
    <row r="48" spans="2:117" x14ac:dyDescent="0.35">
      <c r="H48" s="108" t="s">
        <v>15</v>
      </c>
      <c r="I48" s="187" t="e">
        <f t="shared" ca="1" si="13"/>
        <v>#REF!</v>
      </c>
      <c r="J48" s="79" t="e">
        <f t="shared" ca="1" si="13"/>
        <v>#REF!</v>
      </c>
      <c r="K48" s="79" t="e">
        <f t="shared" ca="1" si="13"/>
        <v>#REF!</v>
      </c>
      <c r="L48" s="79" t="e">
        <f t="shared" ca="1" si="13"/>
        <v>#REF!</v>
      </c>
      <c r="M48" s="188" t="e">
        <f t="shared" ca="1" si="13"/>
        <v>#REF!</v>
      </c>
      <c r="N48" s="74">
        <f ca="1">IFERROR(I48/N$59, 0)</f>
        <v>0</v>
      </c>
      <c r="O48" s="75">
        <f ca="1">IFERROR(J48/O$59, 0)</f>
        <v>0</v>
      </c>
      <c r="P48" s="75">
        <f ca="1">IFERROR(K48/P$59, 0)</f>
        <v>0</v>
      </c>
      <c r="Q48" s="75">
        <f ca="1">IFERROR(L48/Q$59, 0)</f>
        <v>0</v>
      </c>
      <c r="R48" s="76">
        <f ca="1">IFERROR(M48/R$59, 0)</f>
        <v>0</v>
      </c>
      <c r="S48" s="74">
        <f ca="1">IFERROR(I48/S$59, 0)</f>
        <v>0</v>
      </c>
      <c r="T48" s="75">
        <f ca="1">IFERROR(J48/T$59, 0)</f>
        <v>0</v>
      </c>
      <c r="U48" s="75">
        <f ca="1">IFERROR(K48/U$59, 0)</f>
        <v>0</v>
      </c>
      <c r="V48" s="75">
        <f ca="1">IFERROR(L48/V$59, 0)</f>
        <v>0</v>
      </c>
      <c r="W48" s="76">
        <f ca="1">IFERROR(M48/W$59, 0)</f>
        <v>0</v>
      </c>
      <c r="Y48" s="109" t="s">
        <v>15</v>
      </c>
      <c r="Z48" s="78">
        <f t="shared" ref="Z48:AN48" ca="1" si="19">Z12+Z21+Z30+Z39</f>
        <v>0</v>
      </c>
      <c r="AA48" s="79">
        <f t="shared" ca="1" si="19"/>
        <v>0</v>
      </c>
      <c r="AB48" s="79">
        <f t="shared" ca="1" si="19"/>
        <v>0</v>
      </c>
      <c r="AC48" s="79">
        <f t="shared" ca="1" si="19"/>
        <v>0</v>
      </c>
      <c r="AD48" s="80">
        <f t="shared" ca="1" si="19"/>
        <v>0</v>
      </c>
      <c r="AE48" s="81">
        <f t="shared" ca="1" si="19"/>
        <v>0</v>
      </c>
      <c r="AF48" s="75">
        <f t="shared" ca="1" si="19"/>
        <v>0</v>
      </c>
      <c r="AG48" s="75">
        <f t="shared" ca="1" si="19"/>
        <v>0</v>
      </c>
      <c r="AH48" s="75">
        <f t="shared" ca="1" si="19"/>
        <v>0</v>
      </c>
      <c r="AI48" s="82">
        <f t="shared" ca="1" si="19"/>
        <v>0</v>
      </c>
      <c r="AJ48" s="81">
        <f t="shared" ca="1" si="19"/>
        <v>0</v>
      </c>
      <c r="AK48" s="75">
        <f t="shared" ca="1" si="19"/>
        <v>0</v>
      </c>
      <c r="AL48" s="75">
        <f t="shared" ca="1" si="19"/>
        <v>0</v>
      </c>
      <c r="AM48" s="75">
        <f t="shared" ca="1" si="19"/>
        <v>0</v>
      </c>
      <c r="AN48" s="82">
        <f t="shared" ca="1" si="19"/>
        <v>0</v>
      </c>
      <c r="AP48" s="110" t="s">
        <v>15</v>
      </c>
      <c r="AQ48" s="84" t="e">
        <f t="shared" ref="AQ48:BE48" ca="1" si="20">AQ12+AQ21+AQ30+AQ39</f>
        <v>#REF!</v>
      </c>
      <c r="AR48" s="79" t="e">
        <f t="shared" ca="1" si="20"/>
        <v>#REF!</v>
      </c>
      <c r="AS48" s="79" t="e">
        <f t="shared" ca="1" si="20"/>
        <v>#REF!</v>
      </c>
      <c r="AT48" s="79" t="e">
        <f t="shared" ca="1" si="20"/>
        <v>#REF!</v>
      </c>
      <c r="AU48" s="189" t="e">
        <f t="shared" ca="1" si="20"/>
        <v>#REF!</v>
      </c>
      <c r="AV48" s="86">
        <f t="shared" ca="1" si="20"/>
        <v>0</v>
      </c>
      <c r="AW48" s="75">
        <f t="shared" ca="1" si="20"/>
        <v>0</v>
      </c>
      <c r="AX48" s="75">
        <f t="shared" ca="1" si="20"/>
        <v>0</v>
      </c>
      <c r="AY48" s="75">
        <f t="shared" ca="1" si="20"/>
        <v>0</v>
      </c>
      <c r="AZ48" s="87">
        <f t="shared" ca="1" si="20"/>
        <v>0</v>
      </c>
      <c r="BA48" s="75">
        <f t="shared" ca="1" si="20"/>
        <v>0</v>
      </c>
      <c r="BB48" s="75">
        <f t="shared" ca="1" si="20"/>
        <v>0</v>
      </c>
      <c r="BC48" s="75">
        <f t="shared" ca="1" si="20"/>
        <v>0</v>
      </c>
      <c r="BD48" s="75">
        <f t="shared" ca="1" si="20"/>
        <v>0</v>
      </c>
      <c r="BE48" s="87">
        <f t="shared" ca="1" si="20"/>
        <v>0</v>
      </c>
      <c r="BG48" s="111" t="s">
        <v>15</v>
      </c>
      <c r="BH48" s="97" t="e">
        <f t="shared" ref="BH48:BV48" ca="1" si="21">BH12+BH21+BH30+BH39</f>
        <v>#REF!</v>
      </c>
      <c r="BI48" s="79" t="e">
        <f t="shared" ca="1" si="21"/>
        <v>#REF!</v>
      </c>
      <c r="BJ48" s="79" t="e">
        <f t="shared" ca="1" si="21"/>
        <v>#REF!</v>
      </c>
      <c r="BK48" s="79" t="e">
        <f t="shared" ca="1" si="21"/>
        <v>#REF!</v>
      </c>
      <c r="BL48" s="98" t="e">
        <f t="shared" ca="1" si="21"/>
        <v>#REF!</v>
      </c>
      <c r="BM48" s="92">
        <f t="shared" ca="1" si="21"/>
        <v>0</v>
      </c>
      <c r="BN48" s="75">
        <f t="shared" ca="1" si="21"/>
        <v>0</v>
      </c>
      <c r="BO48" s="75">
        <f t="shared" ca="1" si="21"/>
        <v>0</v>
      </c>
      <c r="BP48" s="75">
        <f t="shared" ca="1" si="21"/>
        <v>0</v>
      </c>
      <c r="BQ48" s="93">
        <f t="shared" ca="1" si="21"/>
        <v>0</v>
      </c>
      <c r="BR48" s="92">
        <f t="shared" ca="1" si="21"/>
        <v>0</v>
      </c>
      <c r="BS48" s="75">
        <f t="shared" ca="1" si="21"/>
        <v>0</v>
      </c>
      <c r="BT48" s="75">
        <f t="shared" ca="1" si="21"/>
        <v>0</v>
      </c>
      <c r="BU48" s="75">
        <f t="shared" ca="1" si="21"/>
        <v>0</v>
      </c>
      <c r="BV48" s="93">
        <f t="shared" ca="1" si="21"/>
        <v>0</v>
      </c>
      <c r="BX48" s="111" t="s">
        <v>15</v>
      </c>
      <c r="BY48" s="97" t="e">
        <f t="shared" ref="BY48:CH48" ca="1" si="22">BY12+BY21+BY30+BY39</f>
        <v>#VALUE!</v>
      </c>
      <c r="BZ48" s="79" t="e">
        <f t="shared" ca="1" si="22"/>
        <v>#VALUE!</v>
      </c>
      <c r="CA48" s="79" t="e">
        <f t="shared" ca="1" si="22"/>
        <v>#VALUE!</v>
      </c>
      <c r="CB48" s="79" t="e">
        <f t="shared" ca="1" si="22"/>
        <v>#VALUE!</v>
      </c>
      <c r="CC48" s="98" t="e">
        <f t="shared" ca="1" si="22"/>
        <v>#VALUE!</v>
      </c>
      <c r="CD48" s="92">
        <f t="shared" ca="1" si="22"/>
        <v>0</v>
      </c>
      <c r="CE48" s="75">
        <f t="shared" ca="1" si="22"/>
        <v>0</v>
      </c>
      <c r="CF48" s="75">
        <f t="shared" ca="1" si="22"/>
        <v>0</v>
      </c>
      <c r="CG48" s="75">
        <f t="shared" ca="1" si="22"/>
        <v>0</v>
      </c>
      <c r="CH48" s="93">
        <f t="shared" ca="1" si="22"/>
        <v>0</v>
      </c>
      <c r="CI48" s="92">
        <f t="shared" ca="1" si="18"/>
        <v>0</v>
      </c>
      <c r="CJ48" s="75">
        <f t="shared" ca="1" si="18"/>
        <v>0</v>
      </c>
      <c r="CK48" s="75">
        <f t="shared" ca="1" si="18"/>
        <v>0</v>
      </c>
      <c r="CL48" s="75">
        <f t="shared" ca="1" si="18"/>
        <v>0</v>
      </c>
      <c r="CM48" s="93">
        <f t="shared" ca="1" si="18"/>
        <v>0</v>
      </c>
    </row>
    <row r="49" spans="1:117" x14ac:dyDescent="0.35">
      <c r="H49" s="118" t="s">
        <v>7</v>
      </c>
      <c r="I49" s="187" t="e">
        <f t="shared" ca="1" si="13"/>
        <v>#REF!</v>
      </c>
      <c r="J49" s="79" t="e">
        <f t="shared" ca="1" si="13"/>
        <v>#REF!</v>
      </c>
      <c r="K49" s="79" t="e">
        <f t="shared" ca="1" si="13"/>
        <v>#REF!</v>
      </c>
      <c r="L49" s="79" t="e">
        <f t="shared" ca="1" si="13"/>
        <v>#REF!</v>
      </c>
      <c r="M49" s="188" t="e">
        <f t="shared" ca="1" si="13"/>
        <v>#REF!</v>
      </c>
      <c r="N49" s="74">
        <f ca="1">IFERROR(I49/N$60, 0)</f>
        <v>0</v>
      </c>
      <c r="O49" s="75">
        <f ca="1">IFERROR(J49/O$60, 0)</f>
        <v>0</v>
      </c>
      <c r="P49" s="75">
        <f ca="1">IFERROR(K49/P$60, 0)</f>
        <v>0</v>
      </c>
      <c r="Q49" s="75">
        <f ca="1">IFERROR(L49/Q$60, 0)</f>
        <v>0</v>
      </c>
      <c r="R49" s="76">
        <f ca="1">IFERROR(M49/R$60, 0)</f>
        <v>0</v>
      </c>
      <c r="S49" s="74">
        <f ca="1">IFERROR(I49/S$60, 0)</f>
        <v>0</v>
      </c>
      <c r="T49" s="75">
        <f ca="1">IFERROR(J49/T$60, 0)</f>
        <v>0</v>
      </c>
      <c r="U49" s="75">
        <f ca="1">IFERROR(K49/U$60, 0)</f>
        <v>0</v>
      </c>
      <c r="V49" s="75">
        <f ca="1">IFERROR(L49/V$60, 0)</f>
        <v>0</v>
      </c>
      <c r="W49" s="76">
        <f ca="1">IFERROR(M49/W$60, 0)</f>
        <v>0</v>
      </c>
      <c r="Y49" s="119" t="s">
        <v>7</v>
      </c>
      <c r="Z49" s="78">
        <f t="shared" ref="Z49:AN49" ca="1" si="23">Z13+Z22+Z31+Z40</f>
        <v>0</v>
      </c>
      <c r="AA49" s="79">
        <f t="shared" ca="1" si="23"/>
        <v>0</v>
      </c>
      <c r="AB49" s="79">
        <f t="shared" ca="1" si="23"/>
        <v>0</v>
      </c>
      <c r="AC49" s="79">
        <f t="shared" ca="1" si="23"/>
        <v>0</v>
      </c>
      <c r="AD49" s="80">
        <f t="shared" ca="1" si="23"/>
        <v>0</v>
      </c>
      <c r="AE49" s="81">
        <f t="shared" ca="1" si="23"/>
        <v>0</v>
      </c>
      <c r="AF49" s="75">
        <f t="shared" ca="1" si="23"/>
        <v>0</v>
      </c>
      <c r="AG49" s="75">
        <f t="shared" ca="1" si="23"/>
        <v>0</v>
      </c>
      <c r="AH49" s="75">
        <f t="shared" ca="1" si="23"/>
        <v>0</v>
      </c>
      <c r="AI49" s="82">
        <f t="shared" ca="1" si="23"/>
        <v>0</v>
      </c>
      <c r="AJ49" s="81">
        <f t="shared" ca="1" si="23"/>
        <v>0</v>
      </c>
      <c r="AK49" s="75">
        <f t="shared" ca="1" si="23"/>
        <v>0</v>
      </c>
      <c r="AL49" s="75">
        <f t="shared" ca="1" si="23"/>
        <v>0</v>
      </c>
      <c r="AM49" s="75">
        <f t="shared" ca="1" si="23"/>
        <v>0</v>
      </c>
      <c r="AN49" s="82">
        <f t="shared" ca="1" si="23"/>
        <v>0</v>
      </c>
      <c r="AP49" s="120" t="s">
        <v>7</v>
      </c>
      <c r="AQ49" s="84" t="e">
        <f t="shared" ref="AQ49:BE49" ca="1" si="24">AQ13+AQ22+AQ31+AQ40</f>
        <v>#REF!</v>
      </c>
      <c r="AR49" s="79" t="e">
        <f t="shared" ca="1" si="24"/>
        <v>#REF!</v>
      </c>
      <c r="AS49" s="79" t="e">
        <f t="shared" ca="1" si="24"/>
        <v>#REF!</v>
      </c>
      <c r="AT49" s="79" t="e">
        <f t="shared" ca="1" si="24"/>
        <v>#REF!</v>
      </c>
      <c r="AU49" s="189" t="e">
        <f t="shared" ca="1" si="24"/>
        <v>#REF!</v>
      </c>
      <c r="AV49" s="86">
        <f t="shared" ca="1" si="24"/>
        <v>0</v>
      </c>
      <c r="AW49" s="75">
        <f t="shared" ca="1" si="24"/>
        <v>0</v>
      </c>
      <c r="AX49" s="75">
        <f t="shared" ca="1" si="24"/>
        <v>0</v>
      </c>
      <c r="AY49" s="75">
        <f t="shared" ca="1" si="24"/>
        <v>0</v>
      </c>
      <c r="AZ49" s="87">
        <f t="shared" ca="1" si="24"/>
        <v>0</v>
      </c>
      <c r="BA49" s="75">
        <f t="shared" ca="1" si="24"/>
        <v>0</v>
      </c>
      <c r="BB49" s="75">
        <f t="shared" ca="1" si="24"/>
        <v>0</v>
      </c>
      <c r="BC49" s="75">
        <f t="shared" ca="1" si="24"/>
        <v>0</v>
      </c>
      <c r="BD49" s="75">
        <f t="shared" ca="1" si="24"/>
        <v>0</v>
      </c>
      <c r="BE49" s="87">
        <f t="shared" ca="1" si="24"/>
        <v>0</v>
      </c>
      <c r="BG49" s="121" t="s">
        <v>7</v>
      </c>
      <c r="BH49" s="97" t="e">
        <f t="shared" ref="BH49:BV49" ca="1" si="25">BH13+BH22+BH31+BH40</f>
        <v>#REF!</v>
      </c>
      <c r="BI49" s="79" t="e">
        <f t="shared" ca="1" si="25"/>
        <v>#REF!</v>
      </c>
      <c r="BJ49" s="79" t="e">
        <f t="shared" ca="1" si="25"/>
        <v>#REF!</v>
      </c>
      <c r="BK49" s="79" t="e">
        <f t="shared" ca="1" si="25"/>
        <v>#REF!</v>
      </c>
      <c r="BL49" s="98" t="e">
        <f t="shared" ca="1" si="25"/>
        <v>#REF!</v>
      </c>
      <c r="BM49" s="92">
        <f t="shared" ca="1" si="25"/>
        <v>0</v>
      </c>
      <c r="BN49" s="75">
        <f t="shared" ca="1" si="25"/>
        <v>0</v>
      </c>
      <c r="BO49" s="75">
        <f t="shared" ca="1" si="25"/>
        <v>0</v>
      </c>
      <c r="BP49" s="75">
        <f t="shared" ca="1" si="25"/>
        <v>0</v>
      </c>
      <c r="BQ49" s="93">
        <f t="shared" ca="1" si="25"/>
        <v>0</v>
      </c>
      <c r="BR49" s="92">
        <f t="shared" ca="1" si="25"/>
        <v>0</v>
      </c>
      <c r="BS49" s="75">
        <f t="shared" ca="1" si="25"/>
        <v>0</v>
      </c>
      <c r="BT49" s="75">
        <f t="shared" ca="1" si="25"/>
        <v>0</v>
      </c>
      <c r="BU49" s="75">
        <f t="shared" ca="1" si="25"/>
        <v>0</v>
      </c>
      <c r="BV49" s="93">
        <f t="shared" ca="1" si="25"/>
        <v>0</v>
      </c>
      <c r="BX49" s="121" t="s">
        <v>7</v>
      </c>
      <c r="BY49" s="97" t="e">
        <f t="shared" ref="BY49:CH49" ca="1" si="26">BY13+BY22+BY31+BY40</f>
        <v>#VALUE!</v>
      </c>
      <c r="BZ49" s="79" t="e">
        <f t="shared" ca="1" si="26"/>
        <v>#VALUE!</v>
      </c>
      <c r="CA49" s="79" t="e">
        <f t="shared" ca="1" si="26"/>
        <v>#VALUE!</v>
      </c>
      <c r="CB49" s="79" t="e">
        <f t="shared" ca="1" si="26"/>
        <v>#VALUE!</v>
      </c>
      <c r="CC49" s="98" t="e">
        <f t="shared" ca="1" si="26"/>
        <v>#VALUE!</v>
      </c>
      <c r="CD49" s="92">
        <f t="shared" ca="1" si="26"/>
        <v>0</v>
      </c>
      <c r="CE49" s="75">
        <f t="shared" ca="1" si="26"/>
        <v>0</v>
      </c>
      <c r="CF49" s="75">
        <f t="shared" ca="1" si="26"/>
        <v>0</v>
      </c>
      <c r="CG49" s="75">
        <f t="shared" ca="1" si="26"/>
        <v>0</v>
      </c>
      <c r="CH49" s="93">
        <f t="shared" ca="1" si="26"/>
        <v>0</v>
      </c>
      <c r="CI49" s="92">
        <f t="shared" ca="1" si="18"/>
        <v>0</v>
      </c>
      <c r="CJ49" s="75">
        <f t="shared" ca="1" si="18"/>
        <v>0</v>
      </c>
      <c r="CK49" s="75">
        <f t="shared" ca="1" si="18"/>
        <v>0</v>
      </c>
      <c r="CL49" s="75">
        <f t="shared" ca="1" si="18"/>
        <v>0</v>
      </c>
      <c r="CM49" s="93">
        <f t="shared" ca="1" si="18"/>
        <v>0</v>
      </c>
    </row>
    <row r="50" spans="1:117" ht="15" thickBot="1" x14ac:dyDescent="0.4">
      <c r="H50" s="118" t="s">
        <v>17</v>
      </c>
      <c r="I50" s="187" t="e">
        <f t="shared" ca="1" si="13"/>
        <v>#REF!</v>
      </c>
      <c r="J50" s="79" t="e">
        <f t="shared" ca="1" si="13"/>
        <v>#REF!</v>
      </c>
      <c r="K50" s="79" t="e">
        <f t="shared" ca="1" si="13"/>
        <v>#REF!</v>
      </c>
      <c r="L50" s="79" t="e">
        <f t="shared" ca="1" si="13"/>
        <v>#REF!</v>
      </c>
      <c r="M50" s="190" t="e">
        <f t="shared" ca="1" si="13"/>
        <v>#REF!</v>
      </c>
      <c r="N50" s="74">
        <f ca="1">IFERROR(I50/N$61, 0)</f>
        <v>0</v>
      </c>
      <c r="O50" s="75">
        <f ca="1">IFERROR(J50/O$61, 0)</f>
        <v>0</v>
      </c>
      <c r="P50" s="75">
        <f ca="1">IFERROR(K50/P$61, 0)</f>
        <v>0</v>
      </c>
      <c r="Q50" s="75">
        <f ca="1">IFERROR(L50/Q$61, 0)</f>
        <v>0</v>
      </c>
      <c r="R50" s="126">
        <f ca="1">IFERROR(M50/R$61, 0)</f>
        <v>0</v>
      </c>
      <c r="S50" s="75">
        <f ca="1">IFERROR(I50/S$61, 0)</f>
        <v>0</v>
      </c>
      <c r="T50" s="75">
        <f ca="1">IFERROR(J50/T$61, 0)</f>
        <v>0</v>
      </c>
      <c r="U50" s="75">
        <f ca="1">IFERROR(K50/U$61, 0)</f>
        <v>0</v>
      </c>
      <c r="V50" s="75">
        <f ca="1">IFERROR(L50/V$61, 0)</f>
        <v>0</v>
      </c>
      <c r="W50" s="76">
        <f ca="1">IFERROR(M50/W$61, 0)</f>
        <v>0</v>
      </c>
      <c r="Y50" s="119" t="s">
        <v>17</v>
      </c>
      <c r="Z50" s="127">
        <f t="shared" ref="Z50:AN50" ca="1" si="27">Z14+Z23+Z32+Z41</f>
        <v>0</v>
      </c>
      <c r="AA50" s="128">
        <f t="shared" ca="1" si="27"/>
        <v>0</v>
      </c>
      <c r="AB50" s="128">
        <f t="shared" ca="1" si="27"/>
        <v>0</v>
      </c>
      <c r="AC50" s="128">
        <f t="shared" ca="1" si="27"/>
        <v>0</v>
      </c>
      <c r="AD50" s="129">
        <f t="shared" ca="1" si="27"/>
        <v>0</v>
      </c>
      <c r="AE50" s="130">
        <f t="shared" ca="1" si="27"/>
        <v>0</v>
      </c>
      <c r="AF50" s="131">
        <f t="shared" ca="1" si="27"/>
        <v>0</v>
      </c>
      <c r="AG50" s="131">
        <f t="shared" ca="1" si="27"/>
        <v>0</v>
      </c>
      <c r="AH50" s="131">
        <f t="shared" ca="1" si="27"/>
        <v>0</v>
      </c>
      <c r="AI50" s="132">
        <f t="shared" ca="1" si="27"/>
        <v>0</v>
      </c>
      <c r="AJ50" s="131">
        <f t="shared" ca="1" si="27"/>
        <v>0</v>
      </c>
      <c r="AK50" s="131">
        <f t="shared" ca="1" si="27"/>
        <v>0</v>
      </c>
      <c r="AL50" s="131">
        <f t="shared" ca="1" si="27"/>
        <v>0</v>
      </c>
      <c r="AM50" s="131">
        <f t="shared" ca="1" si="27"/>
        <v>0</v>
      </c>
      <c r="AN50" s="132">
        <f t="shared" ca="1" si="27"/>
        <v>0</v>
      </c>
      <c r="AP50" s="120" t="s">
        <v>17</v>
      </c>
      <c r="AQ50" s="133" t="e">
        <f t="shared" ref="AQ50:BE50" ca="1" si="28">AQ14+AQ23+AQ32+AQ41</f>
        <v>#REF!</v>
      </c>
      <c r="AR50" s="191" t="e">
        <f t="shared" ca="1" si="28"/>
        <v>#REF!</v>
      </c>
      <c r="AS50" s="191" t="e">
        <f t="shared" ca="1" si="28"/>
        <v>#REF!</v>
      </c>
      <c r="AT50" s="191" t="e">
        <f t="shared" ca="1" si="28"/>
        <v>#REF!</v>
      </c>
      <c r="AU50" s="192" t="e">
        <f t="shared" ca="1" si="28"/>
        <v>#REF!</v>
      </c>
      <c r="AV50" s="136">
        <f t="shared" ca="1" si="28"/>
        <v>0</v>
      </c>
      <c r="AW50" s="137">
        <f t="shared" ca="1" si="28"/>
        <v>0</v>
      </c>
      <c r="AX50" s="137">
        <f t="shared" ca="1" si="28"/>
        <v>0</v>
      </c>
      <c r="AY50" s="137">
        <f t="shared" ca="1" si="28"/>
        <v>0</v>
      </c>
      <c r="AZ50" s="138">
        <f t="shared" ca="1" si="28"/>
        <v>0</v>
      </c>
      <c r="BA50" s="137">
        <f t="shared" ca="1" si="28"/>
        <v>0</v>
      </c>
      <c r="BB50" s="137">
        <f t="shared" ca="1" si="28"/>
        <v>0</v>
      </c>
      <c r="BC50" s="137">
        <f t="shared" ca="1" si="28"/>
        <v>0</v>
      </c>
      <c r="BD50" s="137">
        <f t="shared" ca="1" si="28"/>
        <v>0</v>
      </c>
      <c r="BE50" s="138">
        <f t="shared" ca="1" si="28"/>
        <v>0</v>
      </c>
      <c r="BG50" s="121" t="s">
        <v>17</v>
      </c>
      <c r="BH50" s="145" t="e">
        <f t="shared" ref="BH50:BV50" ca="1" si="29">BH14+BH23+BH32+BH41</f>
        <v>#REF!</v>
      </c>
      <c r="BI50" s="146" t="e">
        <f t="shared" ca="1" si="29"/>
        <v>#REF!</v>
      </c>
      <c r="BJ50" s="146" t="e">
        <f t="shared" ca="1" si="29"/>
        <v>#REF!</v>
      </c>
      <c r="BK50" s="146" t="e">
        <f t="shared" ca="1" si="29"/>
        <v>#REF!</v>
      </c>
      <c r="BL50" s="147" t="e">
        <f t="shared" ca="1" si="29"/>
        <v>#REF!</v>
      </c>
      <c r="BM50" s="142">
        <f t="shared" ca="1" si="29"/>
        <v>0</v>
      </c>
      <c r="BN50" s="143">
        <f t="shared" ca="1" si="29"/>
        <v>0</v>
      </c>
      <c r="BO50" s="143">
        <f t="shared" ca="1" si="29"/>
        <v>0</v>
      </c>
      <c r="BP50" s="143">
        <f t="shared" ca="1" si="29"/>
        <v>0</v>
      </c>
      <c r="BQ50" s="144">
        <f t="shared" ca="1" si="29"/>
        <v>0</v>
      </c>
      <c r="BR50" s="143">
        <f t="shared" ca="1" si="29"/>
        <v>0</v>
      </c>
      <c r="BS50" s="143">
        <f t="shared" ca="1" si="29"/>
        <v>0</v>
      </c>
      <c r="BT50" s="143">
        <f t="shared" ca="1" si="29"/>
        <v>0</v>
      </c>
      <c r="BU50" s="143">
        <f t="shared" ca="1" si="29"/>
        <v>0</v>
      </c>
      <c r="BV50" s="144">
        <f t="shared" ca="1" si="29"/>
        <v>0</v>
      </c>
      <c r="BX50" s="121" t="s">
        <v>17</v>
      </c>
      <c r="BY50" s="145" t="e">
        <f t="shared" ref="BY50:CH50" ca="1" si="30">BY14+BY23+BY32+BY41</f>
        <v>#VALUE!</v>
      </c>
      <c r="BZ50" s="146" t="e">
        <f t="shared" ca="1" si="30"/>
        <v>#VALUE!</v>
      </c>
      <c r="CA50" s="146" t="e">
        <f t="shared" ca="1" si="30"/>
        <v>#VALUE!</v>
      </c>
      <c r="CB50" s="146" t="e">
        <f t="shared" ca="1" si="30"/>
        <v>#VALUE!</v>
      </c>
      <c r="CC50" s="147" t="e">
        <f t="shared" ca="1" si="30"/>
        <v>#VALUE!</v>
      </c>
      <c r="CD50" s="142">
        <f t="shared" ca="1" si="30"/>
        <v>0</v>
      </c>
      <c r="CE50" s="143">
        <f t="shared" ca="1" si="30"/>
        <v>0</v>
      </c>
      <c r="CF50" s="143">
        <f t="shared" ca="1" si="30"/>
        <v>0</v>
      </c>
      <c r="CG50" s="143">
        <f t="shared" ca="1" si="30"/>
        <v>0</v>
      </c>
      <c r="CH50" s="144">
        <f t="shared" ca="1" si="30"/>
        <v>0</v>
      </c>
      <c r="CI50" s="143">
        <f t="shared" ca="1" si="18"/>
        <v>0</v>
      </c>
      <c r="CJ50" s="143">
        <f t="shared" ca="1" si="18"/>
        <v>0</v>
      </c>
      <c r="CK50" s="143">
        <f t="shared" ca="1" si="18"/>
        <v>0</v>
      </c>
      <c r="CL50" s="143">
        <f t="shared" ca="1" si="18"/>
        <v>0</v>
      </c>
      <c r="CM50" s="144">
        <f t="shared" ca="1" si="18"/>
        <v>0</v>
      </c>
    </row>
    <row r="51" spans="1:117" ht="15" thickBot="1" x14ac:dyDescent="0.4">
      <c r="H51" s="154" t="s">
        <v>18</v>
      </c>
      <c r="I51" s="155" t="e">
        <f ca="1">SUM(I47:I50)</f>
        <v>#REF!</v>
      </c>
      <c r="J51" s="155" t="e">
        <f ca="1">SUM(J47:J50)</f>
        <v>#REF!</v>
      </c>
      <c r="K51" s="155" t="e">
        <f ca="1">SUM(K47:K50)</f>
        <v>#REF!</v>
      </c>
      <c r="L51" s="155" t="e">
        <f ca="1">SUM(L47:L50)</f>
        <v>#REF!</v>
      </c>
      <c r="M51" s="156" t="e">
        <f ca="1">SUM(M47:M50)</f>
        <v>#REF!</v>
      </c>
      <c r="N51" s="157">
        <f ca="1">IFERROR(I51/N$62, 0)</f>
        <v>0</v>
      </c>
      <c r="O51" s="157">
        <f ca="1">IFERROR(J51/O$62, 0)</f>
        <v>0</v>
      </c>
      <c r="P51" s="157">
        <f ca="1">IFERROR(K51/P$62, 0)</f>
        <v>0</v>
      </c>
      <c r="Q51" s="157">
        <f ca="1">IFERROR(L51/Q$62, 0)</f>
        <v>0</v>
      </c>
      <c r="R51" s="158">
        <f ca="1">IFERROR(M51/R$62, 0)</f>
        <v>0</v>
      </c>
      <c r="S51" s="157">
        <f ca="1">IFERROR(I51/S$62, 0)</f>
        <v>0</v>
      </c>
      <c r="T51" s="157">
        <f ca="1">IFERROR(J51/T$62, 0)</f>
        <v>0</v>
      </c>
      <c r="U51" s="157">
        <f ca="1">IFERROR(K51/U$62, 0)</f>
        <v>0</v>
      </c>
      <c r="V51" s="157">
        <f ca="1">IFERROR(L51/V$62, 0)</f>
        <v>0</v>
      </c>
      <c r="W51" s="158">
        <f ca="1">IFERROR(M51/W$62, 0)</f>
        <v>0</v>
      </c>
      <c r="Y51" s="159" t="s">
        <v>18</v>
      </c>
      <c r="Z51" s="160">
        <f ca="1">SUM(Z47:Z50)</f>
        <v>0</v>
      </c>
      <c r="AA51" s="161">
        <f ca="1">SUM(AA47:AA50)</f>
        <v>0</v>
      </c>
      <c r="AB51" s="161">
        <f ca="1">SUM(AB47:AB50)</f>
        <v>0</v>
      </c>
      <c r="AC51" s="161">
        <f ca="1">SUM(AC47:AC50)</f>
        <v>0</v>
      </c>
      <c r="AD51" s="162">
        <f ca="1">SUM(AD47:AD50)</f>
        <v>0</v>
      </c>
      <c r="AE51" s="163">
        <f ca="1">IFERROR(Z51/AE$62, 0)</f>
        <v>0</v>
      </c>
      <c r="AF51" s="164">
        <f ca="1">IFERROR(AA51/AF$62, 0)</f>
        <v>0</v>
      </c>
      <c r="AG51" s="164">
        <f ca="1">IFERROR(AB51/AG$62, 0)</f>
        <v>0</v>
      </c>
      <c r="AH51" s="164">
        <f ca="1">IFERROR(AC51/AH$62, 0)</f>
        <v>0</v>
      </c>
      <c r="AI51" s="165">
        <f ca="1">IFERROR(AD51/AI$62, 0)</f>
        <v>0</v>
      </c>
      <c r="AJ51" s="164">
        <f ca="1">IFERROR(Z51/AJ$62, 0)</f>
        <v>0</v>
      </c>
      <c r="AK51" s="164">
        <f ca="1">IFERROR(AA51/AK$62, 0)</f>
        <v>0</v>
      </c>
      <c r="AL51" s="164">
        <f ca="1">IFERROR(AB51/AL$62, 0)</f>
        <v>0</v>
      </c>
      <c r="AM51" s="164">
        <f ca="1">IFERROR(AC51/AM$62, 0)</f>
        <v>0</v>
      </c>
      <c r="AN51" s="165">
        <f ca="1">IFERROR(AD51/AN$62, 0)</f>
        <v>0</v>
      </c>
      <c r="AP51" s="166" t="s">
        <v>18</v>
      </c>
      <c r="AQ51" s="167" t="e">
        <f ca="1">SUM(AQ47:AQ50)</f>
        <v>#REF!</v>
      </c>
      <c r="AR51" s="134" t="e">
        <f ca="1">SUM(AR47:AR50)</f>
        <v>#REF!</v>
      </c>
      <c r="AS51" s="134" t="e">
        <f ca="1">SUM(AS47:AS50)</f>
        <v>#REF!</v>
      </c>
      <c r="AT51" s="134" t="e">
        <f ca="1">SUM(AT47:AT50)</f>
        <v>#REF!</v>
      </c>
      <c r="AU51" s="135" t="e">
        <f ca="1">SUM(AU47:AU50)</f>
        <v>#REF!</v>
      </c>
      <c r="AV51" s="168">
        <f ca="1">IFERROR(AQ51/AV$62, 0)</f>
        <v>0</v>
      </c>
      <c r="AW51" s="169">
        <f ca="1">IFERROR(AR51/AW$62, 0)</f>
        <v>0</v>
      </c>
      <c r="AX51" s="169">
        <f ca="1">IFERROR(AS51/AX$62, 0)</f>
        <v>0</v>
      </c>
      <c r="AY51" s="169">
        <f ca="1">IFERROR(AT51/AY$62, 0)</f>
        <v>0</v>
      </c>
      <c r="AZ51" s="170">
        <f ca="1">IFERROR(AU51/AZ$62, 0)</f>
        <v>0</v>
      </c>
      <c r="BA51" s="169">
        <f ca="1">IFERROR(AQ51/BA$62, 0)</f>
        <v>0</v>
      </c>
      <c r="BB51" s="169">
        <f ca="1">IFERROR(AR51/BB$62, 0)</f>
        <v>0</v>
      </c>
      <c r="BC51" s="169">
        <f ca="1">IFERROR(AS51/BC$62, 0)</f>
        <v>0</v>
      </c>
      <c r="BD51" s="169">
        <f ca="1">IFERROR(AT51/BD$62, 0)</f>
        <v>0</v>
      </c>
      <c r="BE51" s="170">
        <f ca="1">IFERROR(AU51/BE$62, 0)</f>
        <v>0</v>
      </c>
      <c r="BG51" s="171" t="s">
        <v>18</v>
      </c>
      <c r="BH51" s="172" t="e">
        <f ca="1">SUM(BH47:BH50)</f>
        <v>#REF!</v>
      </c>
      <c r="BI51" s="173" t="e">
        <f ca="1">SUM(BI47:BI50)</f>
        <v>#REF!</v>
      </c>
      <c r="BJ51" s="173" t="e">
        <f ca="1">SUM(BJ47:BJ50)</f>
        <v>#REF!</v>
      </c>
      <c r="BK51" s="173" t="e">
        <f ca="1">SUM(BK47:BK50)</f>
        <v>#REF!</v>
      </c>
      <c r="BL51" s="174" t="e">
        <f ca="1">SUM(BL47:BL50)</f>
        <v>#REF!</v>
      </c>
      <c r="BM51" s="175">
        <f ca="1">IFERROR(BH51/BM$62, 0)</f>
        <v>0</v>
      </c>
      <c r="BN51" s="176">
        <f ca="1">IFERROR(BI51/BN$62, 0)</f>
        <v>0</v>
      </c>
      <c r="BO51" s="176">
        <f ca="1">IFERROR(BJ51/BO$62, 0)</f>
        <v>0</v>
      </c>
      <c r="BP51" s="176">
        <f ca="1">IFERROR(BK51/BP$62, 0)</f>
        <v>0</v>
      </c>
      <c r="BQ51" s="177">
        <f ca="1">IFERROR(BL51/BQ$62, 0)</f>
        <v>0</v>
      </c>
      <c r="BR51" s="176">
        <f ca="1">IFERROR(BH51/BR$62, 0)</f>
        <v>0</v>
      </c>
      <c r="BS51" s="176">
        <f ca="1">IFERROR(BI51/BS$62, 0)</f>
        <v>0</v>
      </c>
      <c r="BT51" s="176">
        <f ca="1">IFERROR(BJ51/BT$62, 0)</f>
        <v>0</v>
      </c>
      <c r="BU51" s="176">
        <f ca="1">IFERROR(BK51/BU$62, 0)</f>
        <v>0</v>
      </c>
      <c r="BV51" s="177">
        <f ca="1">IFERROR(BL51/BV$62, 0)</f>
        <v>0</v>
      </c>
      <c r="BX51" s="171" t="s">
        <v>18</v>
      </c>
      <c r="BY51" s="172" t="e">
        <f ca="1">SUM(BY47:BY50)</f>
        <v>#VALUE!</v>
      </c>
      <c r="BZ51" s="173" t="e">
        <f ca="1">SUM(BZ47:BZ50)</f>
        <v>#VALUE!</v>
      </c>
      <c r="CA51" s="173" t="e">
        <f ca="1">SUM(CA47:CA50)</f>
        <v>#VALUE!</v>
      </c>
      <c r="CB51" s="173" t="e">
        <f ca="1">SUM(CB47:CB50)</f>
        <v>#VALUE!</v>
      </c>
      <c r="CC51" s="174" t="e">
        <f ca="1">SUM(CC47:CC50)</f>
        <v>#VALUE!</v>
      </c>
      <c r="CD51" s="142">
        <f ca="1">IFERROR(BY51/CD$62, 0)</f>
        <v>0</v>
      </c>
      <c r="CE51" s="143">
        <f ca="1">IFERROR(BZ51/CE$62, 0)</f>
        <v>0</v>
      </c>
      <c r="CF51" s="143">
        <f ca="1">IFERROR(CA51/CF$62, 0)</f>
        <v>0</v>
      </c>
      <c r="CG51" s="143">
        <f ca="1">IFERROR(CB51/CG$62, 0)</f>
        <v>0</v>
      </c>
      <c r="CH51" s="144">
        <f ca="1">IFERROR(CC51/CH$62, 0)</f>
        <v>0</v>
      </c>
      <c r="CI51" s="143">
        <f t="shared" ca="1" si="18"/>
        <v>0</v>
      </c>
      <c r="CJ51" s="143">
        <f t="shared" ca="1" si="18"/>
        <v>0</v>
      </c>
      <c r="CK51" s="143">
        <f t="shared" ca="1" si="18"/>
        <v>0</v>
      </c>
      <c r="CL51" s="143">
        <f t="shared" ca="1" si="18"/>
        <v>0</v>
      </c>
      <c r="CM51" s="144">
        <f t="shared" ca="1" si="18"/>
        <v>0</v>
      </c>
    </row>
    <row r="52" spans="1:117" x14ac:dyDescent="0.35">
      <c r="BH52" s="97"/>
      <c r="BM52" s="92"/>
      <c r="BR52" s="75"/>
      <c r="BY52" s="193"/>
      <c r="BZ52" s="193"/>
      <c r="CA52" s="193"/>
      <c r="CB52" s="193"/>
      <c r="CC52" s="193"/>
      <c r="CD52" s="92"/>
    </row>
    <row r="53" spans="1:117" ht="2" customHeight="1" x14ac:dyDescent="0.35">
      <c r="A53" s="194"/>
      <c r="B53" s="194"/>
      <c r="C53" s="194"/>
      <c r="D53" s="194"/>
      <c r="E53" s="194"/>
      <c r="F53" s="194"/>
      <c r="G53" s="194"/>
      <c r="H53" s="194"/>
      <c r="I53" s="194"/>
      <c r="J53" s="194"/>
      <c r="K53" s="194"/>
      <c r="L53" s="194"/>
      <c r="M53" s="194"/>
      <c r="N53" s="194"/>
      <c r="O53" s="194"/>
      <c r="P53" s="194"/>
      <c r="Q53" s="194"/>
      <c r="R53" s="194"/>
      <c r="S53" s="194"/>
      <c r="T53" s="194"/>
      <c r="U53" s="194"/>
      <c r="V53" s="194"/>
      <c r="W53" s="194"/>
      <c r="X53" s="194"/>
      <c r="Y53" s="194"/>
      <c r="Z53" s="194"/>
      <c r="AA53" s="194"/>
      <c r="AB53" s="194"/>
      <c r="AC53" s="194"/>
      <c r="AD53" s="194"/>
      <c r="AE53" s="194"/>
      <c r="AF53" s="194"/>
      <c r="AG53" s="194"/>
      <c r="AH53" s="194"/>
      <c r="AI53" s="194"/>
      <c r="AJ53" s="194"/>
      <c r="AK53" s="194"/>
      <c r="AL53" s="194"/>
      <c r="AM53" s="194"/>
      <c r="AN53" s="194"/>
      <c r="AO53" s="194"/>
      <c r="AP53" s="194"/>
      <c r="AQ53" s="194"/>
      <c r="AR53" s="194"/>
      <c r="AS53" s="194"/>
      <c r="AT53" s="194"/>
      <c r="AU53" s="194"/>
      <c r="AV53" s="194"/>
      <c r="AW53" s="194"/>
      <c r="AX53" s="194"/>
      <c r="AY53" s="194"/>
      <c r="AZ53" s="194"/>
      <c r="BA53" s="194"/>
      <c r="BB53" s="194"/>
      <c r="BC53" s="194"/>
      <c r="BD53" s="194"/>
      <c r="BE53" s="194"/>
      <c r="BF53" s="194"/>
      <c r="BG53" s="194"/>
      <c r="BH53" s="194"/>
      <c r="BI53" s="194"/>
      <c r="BJ53" s="194"/>
      <c r="BK53" s="194"/>
      <c r="BL53" s="194"/>
      <c r="BM53" s="194"/>
      <c r="BN53" s="194"/>
      <c r="BO53" s="194"/>
      <c r="BP53" s="194"/>
      <c r="BQ53" s="194"/>
      <c r="BR53" s="194"/>
      <c r="BS53" s="194"/>
      <c r="BT53" s="194"/>
      <c r="BU53" s="194"/>
      <c r="BV53" s="194"/>
      <c r="BW53" s="194"/>
      <c r="BX53" s="194"/>
      <c r="BY53" s="194"/>
      <c r="BZ53" s="194"/>
      <c r="CA53" s="194"/>
      <c r="CB53" s="194"/>
      <c r="CC53" s="194"/>
      <c r="CD53" s="194"/>
      <c r="CE53" s="194"/>
      <c r="CF53" s="194"/>
      <c r="CG53" s="194"/>
      <c r="CH53" s="194"/>
      <c r="CI53" s="194"/>
      <c r="CJ53" s="194"/>
      <c r="CK53" s="194"/>
      <c r="CL53" s="194"/>
      <c r="CM53" s="194"/>
    </row>
    <row r="54" spans="1:117" ht="15" thickBot="1" x14ac:dyDescent="0.4">
      <c r="M54" s="195"/>
      <c r="N54" s="195"/>
      <c r="O54" s="195"/>
      <c r="Q54" s="195"/>
      <c r="AR54" s="195"/>
    </row>
    <row r="55" spans="1:117" ht="15" thickBot="1" x14ac:dyDescent="0.4">
      <c r="I55" s="21" t="s">
        <v>23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3"/>
      <c r="Z55" s="24" t="s">
        <v>23</v>
      </c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6"/>
      <c r="AQ55" s="27" t="s">
        <v>23</v>
      </c>
      <c r="AR55" s="28"/>
      <c r="AS55" s="28"/>
      <c r="AT55" s="28"/>
      <c r="AU55" s="29"/>
      <c r="AV55" s="28"/>
      <c r="AW55" s="28"/>
      <c r="AX55" s="28"/>
      <c r="AY55" s="28"/>
      <c r="AZ55" s="28"/>
      <c r="BA55" s="28"/>
      <c r="BB55" s="28"/>
      <c r="BC55" s="28"/>
      <c r="BD55" s="28"/>
      <c r="BE55" s="30"/>
      <c r="BH55" s="31" t="s">
        <v>23</v>
      </c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3"/>
      <c r="BY55" s="34" t="s">
        <v>23</v>
      </c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6"/>
      <c r="CO55" s="196" t="str">
        <f>"Base Yr "&amp;IF(input_Annual="Yes", "Annualized", "")</f>
        <v>Base Yr Annualized</v>
      </c>
      <c r="CP55" s="197"/>
      <c r="CQ55" s="197"/>
      <c r="CR55" s="198"/>
      <c r="CS55" s="198"/>
      <c r="CT55" s="198"/>
      <c r="CU55" s="198"/>
      <c r="CV55" s="198"/>
      <c r="CW55" s="198"/>
      <c r="DC55" s="34" t="s">
        <v>23</v>
      </c>
      <c r="DD55" s="35"/>
      <c r="DE55" s="35"/>
      <c r="DF55" s="35"/>
      <c r="DG55" s="36"/>
      <c r="DI55" s="34" t="s">
        <v>24</v>
      </c>
      <c r="DJ55" s="35"/>
      <c r="DK55" s="35"/>
      <c r="DL55" s="35"/>
      <c r="DM55" s="36"/>
    </row>
    <row r="56" spans="1:117" ht="15" thickBot="1" x14ac:dyDescent="0.4">
      <c r="H56" s="37"/>
      <c r="I56" s="38" t="s">
        <v>25</v>
      </c>
      <c r="J56" s="39"/>
      <c r="K56" s="39"/>
      <c r="L56" s="39"/>
      <c r="M56" s="40"/>
      <c r="N56" s="38" t="s">
        <v>26</v>
      </c>
      <c r="O56" s="39"/>
      <c r="P56" s="39"/>
      <c r="Q56" s="39"/>
      <c r="R56" s="40"/>
      <c r="S56" s="38" t="s">
        <v>18</v>
      </c>
      <c r="T56" s="39"/>
      <c r="U56" s="39"/>
      <c r="V56" s="39"/>
      <c r="W56" s="40"/>
      <c r="Z56" s="41" t="s">
        <v>25</v>
      </c>
      <c r="AA56" s="42"/>
      <c r="AB56" s="42"/>
      <c r="AC56" s="42"/>
      <c r="AD56" s="43"/>
      <c r="AE56" s="41" t="s">
        <v>26</v>
      </c>
      <c r="AF56" s="42"/>
      <c r="AG56" s="42"/>
      <c r="AH56" s="42"/>
      <c r="AI56" s="43"/>
      <c r="AJ56" s="41" t="s">
        <v>18</v>
      </c>
      <c r="AK56" s="42"/>
      <c r="AL56" s="42"/>
      <c r="AM56" s="42"/>
      <c r="AN56" s="43"/>
      <c r="AQ56" s="44" t="s">
        <v>25</v>
      </c>
      <c r="AR56" s="45"/>
      <c r="AS56" s="45"/>
      <c r="AT56" s="45"/>
      <c r="AU56" s="46"/>
      <c r="AV56" s="44" t="s">
        <v>26</v>
      </c>
      <c r="AW56" s="45"/>
      <c r="AX56" s="45"/>
      <c r="AY56" s="45"/>
      <c r="AZ56" s="46"/>
      <c r="BA56" s="45" t="s">
        <v>18</v>
      </c>
      <c r="BB56" s="45"/>
      <c r="BC56" s="45"/>
      <c r="BD56" s="45"/>
      <c r="BE56" s="46"/>
      <c r="BH56" s="47" t="s">
        <v>25</v>
      </c>
      <c r="BI56" s="48"/>
      <c r="BJ56" s="48"/>
      <c r="BK56" s="48"/>
      <c r="BL56" s="49"/>
      <c r="BM56" s="47" t="s">
        <v>26</v>
      </c>
      <c r="BN56" s="48"/>
      <c r="BO56" s="48"/>
      <c r="BP56" s="48"/>
      <c r="BQ56" s="49"/>
      <c r="BR56" s="50" t="s">
        <v>18</v>
      </c>
      <c r="BS56" s="50"/>
      <c r="BT56" s="50"/>
      <c r="BU56" s="50"/>
      <c r="BV56" s="51"/>
      <c r="BY56" s="47" t="s">
        <v>25</v>
      </c>
      <c r="BZ56" s="48"/>
      <c r="CA56" s="48"/>
      <c r="CB56" s="48"/>
      <c r="CC56" s="49"/>
      <c r="CD56" s="47" t="s">
        <v>26</v>
      </c>
      <c r="CE56" s="48"/>
      <c r="CF56" s="48"/>
      <c r="CG56" s="48"/>
      <c r="CH56" s="49"/>
      <c r="CI56" s="50" t="s">
        <v>18</v>
      </c>
      <c r="CJ56" s="50"/>
      <c r="CK56" s="50"/>
      <c r="CL56" s="50"/>
      <c r="CM56" s="51"/>
      <c r="CO56" s="199" t="s">
        <v>23</v>
      </c>
      <c r="CP56" s="200"/>
      <c r="CQ56" s="201"/>
      <c r="CR56" s="199" t="s">
        <v>27</v>
      </c>
      <c r="CS56" s="200"/>
      <c r="CT56" s="201"/>
      <c r="CU56" s="200" t="s">
        <v>8</v>
      </c>
      <c r="CV56" s="200"/>
      <c r="CW56" s="201"/>
      <c r="DC56" s="52" t="s">
        <v>5</v>
      </c>
      <c r="DD56" s="50"/>
      <c r="DE56" s="50"/>
      <c r="DF56" s="50"/>
      <c r="DG56" s="51"/>
      <c r="DI56" s="52" t="s">
        <v>28</v>
      </c>
      <c r="DJ56" s="50"/>
      <c r="DK56" s="50"/>
      <c r="DL56" s="50"/>
      <c r="DM56" s="51"/>
    </row>
    <row r="57" spans="1:117" ht="15" thickBot="1" x14ac:dyDescent="0.4">
      <c r="H57" s="55"/>
      <c r="I57" s="56" t="str">
        <f>[1]Tables!$AA$4</f>
        <v>07/27 - 06/28</v>
      </c>
      <c r="J57" s="55" t="str">
        <f>[1]Tables!$AA$5</f>
        <v>07/28 - 06/29</v>
      </c>
      <c r="K57" s="55" t="str">
        <f>[1]Tables!$AA$6</f>
        <v>07/29 - 06/30</v>
      </c>
      <c r="L57" s="55" t="str">
        <f>[1]Tables!$AA$7</f>
        <v>07/30 - 06/31</v>
      </c>
      <c r="M57" s="57" t="str">
        <f>[1]Tables!$AA$8</f>
        <v>07/31 - 06/32</v>
      </c>
      <c r="N57" s="56" t="str">
        <f>[1]Tables!$AA$4</f>
        <v>07/27 - 06/28</v>
      </c>
      <c r="O57" s="55" t="str">
        <f>[1]Tables!$AA$5</f>
        <v>07/28 - 06/29</v>
      </c>
      <c r="P57" s="55" t="str">
        <f>[1]Tables!$AA$6</f>
        <v>07/29 - 06/30</v>
      </c>
      <c r="Q57" s="55" t="str">
        <f>[1]Tables!$AA$7</f>
        <v>07/30 - 06/31</v>
      </c>
      <c r="R57" s="57" t="str">
        <f>[1]Tables!$AA$8</f>
        <v>07/31 - 06/32</v>
      </c>
      <c r="S57" s="56" t="str">
        <f>[1]Tables!$AA$4</f>
        <v>07/27 - 06/28</v>
      </c>
      <c r="T57" s="55" t="str">
        <f>[1]Tables!$AA$5</f>
        <v>07/28 - 06/29</v>
      </c>
      <c r="U57" s="55" t="str">
        <f>[1]Tables!$AA$6</f>
        <v>07/29 - 06/30</v>
      </c>
      <c r="V57" s="55" t="str">
        <f>[1]Tables!$AA$7</f>
        <v>07/30 - 06/31</v>
      </c>
      <c r="W57" s="57" t="str">
        <f>[1]Tables!$AA$8</f>
        <v>07/31 - 06/32</v>
      </c>
      <c r="Y57" s="58"/>
      <c r="Z57" s="59" t="str">
        <f>[1]Tables!$AA$4</f>
        <v>07/27 - 06/28</v>
      </c>
      <c r="AA57" s="60" t="str">
        <f>[1]Tables!$AA$5</f>
        <v>07/28 - 06/29</v>
      </c>
      <c r="AB57" s="60" t="str">
        <f>[1]Tables!$AA$6</f>
        <v>07/29 - 06/30</v>
      </c>
      <c r="AC57" s="60" t="str">
        <f>[1]Tables!$AA$7</f>
        <v>07/30 - 06/31</v>
      </c>
      <c r="AD57" s="61" t="str">
        <f>[1]Tables!$AA$8</f>
        <v>07/31 - 06/32</v>
      </c>
      <c r="AE57" s="59" t="str">
        <f>[1]Tables!$AA$4</f>
        <v>07/27 - 06/28</v>
      </c>
      <c r="AF57" s="60" t="str">
        <f>[1]Tables!$AA$5</f>
        <v>07/28 - 06/29</v>
      </c>
      <c r="AG57" s="60" t="str">
        <f>[1]Tables!$AA$6</f>
        <v>07/29 - 06/30</v>
      </c>
      <c r="AH57" s="60" t="str">
        <f>[1]Tables!$AA$7</f>
        <v>07/30 - 06/31</v>
      </c>
      <c r="AI57" s="61" t="str">
        <f>[1]Tables!$AA$8</f>
        <v>07/31 - 06/32</v>
      </c>
      <c r="AJ57" s="59" t="str">
        <f>[1]Tables!$AA$4</f>
        <v>07/27 - 06/28</v>
      </c>
      <c r="AK57" s="60" t="str">
        <f>[1]Tables!$AA$5</f>
        <v>07/28 - 06/29</v>
      </c>
      <c r="AL57" s="60" t="str">
        <f>[1]Tables!$AA$6</f>
        <v>07/29 - 06/30</v>
      </c>
      <c r="AM57" s="60" t="str">
        <f>[1]Tables!$AA$7</f>
        <v>07/30 - 06/31</v>
      </c>
      <c r="AN57" s="61" t="str">
        <f>[1]Tables!$AA$8</f>
        <v>07/31 - 06/32</v>
      </c>
      <c r="AP57" s="58"/>
      <c r="AQ57" s="62" t="str">
        <f>[1]Tables!$AA$4</f>
        <v>07/27 - 06/28</v>
      </c>
      <c r="AR57" s="63" t="str">
        <f>[1]Tables!$AA$5</f>
        <v>07/28 - 06/29</v>
      </c>
      <c r="AS57" s="63" t="str">
        <f>[1]Tables!$AA$6</f>
        <v>07/29 - 06/30</v>
      </c>
      <c r="AT57" s="63" t="str">
        <f>[1]Tables!$AA$7</f>
        <v>07/30 - 06/31</v>
      </c>
      <c r="AU57" s="64" t="str">
        <f>[1]Tables!$AA$8</f>
        <v>07/31 - 06/32</v>
      </c>
      <c r="AV57" s="62" t="str">
        <f>[1]Tables!$AA$4</f>
        <v>07/27 - 06/28</v>
      </c>
      <c r="AW57" s="63" t="str">
        <f>[1]Tables!$AA$5</f>
        <v>07/28 - 06/29</v>
      </c>
      <c r="AX57" s="63" t="str">
        <f>[1]Tables!$AA$6</f>
        <v>07/29 - 06/30</v>
      </c>
      <c r="AY57" s="63" t="str">
        <f>[1]Tables!$AA$7</f>
        <v>07/30 - 06/31</v>
      </c>
      <c r="AZ57" s="64" t="str">
        <f>[1]Tables!$AA$8</f>
        <v>07/31 - 06/32</v>
      </c>
      <c r="BA57" s="63" t="str">
        <f>[1]Tables!$AA$4</f>
        <v>07/27 - 06/28</v>
      </c>
      <c r="BB57" s="63" t="str">
        <f>[1]Tables!$AA$5</f>
        <v>07/28 - 06/29</v>
      </c>
      <c r="BC57" s="63" t="str">
        <f>[1]Tables!$AA$6</f>
        <v>07/29 - 06/30</v>
      </c>
      <c r="BD57" s="63" t="str">
        <f>[1]Tables!$AA$7</f>
        <v>07/30 - 06/31</v>
      </c>
      <c r="BE57" s="64" t="str">
        <f>[1]Tables!$AA$8</f>
        <v>07/31 - 06/32</v>
      </c>
      <c r="BG57" s="58"/>
      <c r="BH57" s="65" t="str">
        <f>[1]Tables!$AA$4</f>
        <v>07/27 - 06/28</v>
      </c>
      <c r="BI57" s="66" t="str">
        <f>[1]Tables!$AA$5</f>
        <v>07/28 - 06/29</v>
      </c>
      <c r="BJ57" s="66" t="str">
        <f>[1]Tables!$AA$6</f>
        <v>07/29 - 06/30</v>
      </c>
      <c r="BK57" s="66" t="str">
        <f>[1]Tables!$AA$7</f>
        <v>07/30 - 06/31</v>
      </c>
      <c r="BL57" s="67" t="str">
        <f>[1]Tables!$AA$8</f>
        <v>07/31 - 06/32</v>
      </c>
      <c r="BM57" s="65" t="str">
        <f>[1]Tables!$AA$4</f>
        <v>07/27 - 06/28</v>
      </c>
      <c r="BN57" s="66" t="str">
        <f>[1]Tables!$AA$5</f>
        <v>07/28 - 06/29</v>
      </c>
      <c r="BO57" s="66" t="str">
        <f>[1]Tables!$AA$6</f>
        <v>07/29 - 06/30</v>
      </c>
      <c r="BP57" s="66" t="str">
        <f>[1]Tables!$AA$7</f>
        <v>07/30 - 06/31</v>
      </c>
      <c r="BQ57" s="67" t="str">
        <f>[1]Tables!$AA$8</f>
        <v>07/31 - 06/32</v>
      </c>
      <c r="BR57" s="66" t="str">
        <f>[1]Tables!$AA$4</f>
        <v>07/27 - 06/28</v>
      </c>
      <c r="BS57" s="66" t="str">
        <f>[1]Tables!$AA$5</f>
        <v>07/28 - 06/29</v>
      </c>
      <c r="BT57" s="66" t="str">
        <f>[1]Tables!$AA$6</f>
        <v>07/29 - 06/30</v>
      </c>
      <c r="BU57" s="66" t="str">
        <f>[1]Tables!$AA$7</f>
        <v>07/30 - 06/31</v>
      </c>
      <c r="BV57" s="67" t="str">
        <f>[1]Tables!$AA$8</f>
        <v>07/31 - 06/32</v>
      </c>
      <c r="BX57" s="58"/>
      <c r="BY57" s="65" t="str">
        <f>[1]Tables!$AA$4</f>
        <v>07/27 - 06/28</v>
      </c>
      <c r="BZ57" s="66" t="str">
        <f>[1]Tables!$AA$5</f>
        <v>07/28 - 06/29</v>
      </c>
      <c r="CA57" s="66" t="str">
        <f>[1]Tables!$AA$6</f>
        <v>07/29 - 06/30</v>
      </c>
      <c r="CB57" s="66" t="str">
        <f>[1]Tables!$AA$7</f>
        <v>07/30 - 06/31</v>
      </c>
      <c r="CC57" s="67" t="str">
        <f>[1]Tables!$AA$8</f>
        <v>07/31 - 06/32</v>
      </c>
      <c r="CD57" s="65" t="str">
        <f>[1]Tables!$AA$4</f>
        <v>07/27 - 06/28</v>
      </c>
      <c r="CE57" s="66" t="str">
        <f>[1]Tables!$AA$5</f>
        <v>07/28 - 06/29</v>
      </c>
      <c r="CF57" s="66" t="str">
        <f>[1]Tables!$AA$6</f>
        <v>07/29 - 06/30</v>
      </c>
      <c r="CG57" s="66" t="str">
        <f>[1]Tables!$AA$7</f>
        <v>07/30 - 06/31</v>
      </c>
      <c r="CH57" s="67" t="str">
        <f>[1]Tables!$AA$8</f>
        <v>07/31 - 06/32</v>
      </c>
      <c r="CI57" s="66" t="str">
        <f>[1]Tables!$AA$4</f>
        <v>07/27 - 06/28</v>
      </c>
      <c r="CJ57" s="66" t="str">
        <f>[1]Tables!$AA$5</f>
        <v>07/28 - 06/29</v>
      </c>
      <c r="CK57" s="66" t="str">
        <f>[1]Tables!$AA$6</f>
        <v>07/29 - 06/30</v>
      </c>
      <c r="CL57" s="66" t="str">
        <f>[1]Tables!$AA$7</f>
        <v>07/30 - 06/31</v>
      </c>
      <c r="CM57" s="67" t="str">
        <f>[1]Tables!$AA$8</f>
        <v>07/31 - 06/32</v>
      </c>
      <c r="CO57" s="65" t="s">
        <v>25</v>
      </c>
      <c r="CP57" s="66" t="s">
        <v>26</v>
      </c>
      <c r="CQ57" s="202" t="s">
        <v>18</v>
      </c>
      <c r="CR57" s="66" t="s">
        <v>25</v>
      </c>
      <c r="CS57" s="66" t="s">
        <v>26</v>
      </c>
      <c r="CT57" s="202" t="s">
        <v>18</v>
      </c>
      <c r="CU57" s="65" t="s">
        <v>25</v>
      </c>
      <c r="CV57" s="67" t="s">
        <v>26</v>
      </c>
      <c r="CW57" s="67" t="s">
        <v>18</v>
      </c>
      <c r="DC57" s="65" t="str">
        <f>[1]Tables!$AA$4</f>
        <v>07/27 - 06/28</v>
      </c>
      <c r="DD57" s="66" t="str">
        <f>[1]Tables!$AA$5</f>
        <v>07/28 - 06/29</v>
      </c>
      <c r="DE57" s="66" t="str">
        <f>[1]Tables!$AA$6</f>
        <v>07/29 - 06/30</v>
      </c>
      <c r="DF57" s="66" t="str">
        <f>[1]Tables!$AA$7</f>
        <v>07/30 - 06/31</v>
      </c>
      <c r="DG57" s="67" t="str">
        <f>[1]Tables!$AA$8</f>
        <v>07/31 - 06/32</v>
      </c>
      <c r="DI57" s="65" t="str">
        <f>[1]Tables!$AA$4</f>
        <v>07/27 - 06/28</v>
      </c>
      <c r="DJ57" s="66" t="str">
        <f>[1]Tables!$AA$5</f>
        <v>07/28 - 06/29</v>
      </c>
      <c r="DK57" s="66" t="str">
        <f>[1]Tables!$AA$6</f>
        <v>07/29 - 06/30</v>
      </c>
      <c r="DL57" s="66" t="str">
        <f>[1]Tables!$AA$7</f>
        <v>07/30 - 06/31</v>
      </c>
      <c r="DM57" s="67" t="str">
        <f>[1]Tables!$AA$8</f>
        <v>07/31 - 06/32</v>
      </c>
    </row>
    <row r="58" spans="1:117" x14ac:dyDescent="0.35">
      <c r="B58" s="68" t="s">
        <v>11</v>
      </c>
      <c r="C58" s="69">
        <v>30</v>
      </c>
      <c r="D58" s="69" t="s">
        <v>12</v>
      </c>
      <c r="E58" s="70" t="s">
        <v>12</v>
      </c>
      <c r="F58" s="106">
        <v>1</v>
      </c>
      <c r="H58" s="71" t="s">
        <v>14</v>
      </c>
      <c r="I58" s="203" t="e" cm="1">
        <f t="array" aca="1" ref="I58" ca="1">SUMIFS(rng_out_rx_pre_yr1,rng_out_sel_G_ind,"G",rng_out_mail_ind,$B58,rng_out_ds,$C58,rng_out_sel_sp_ind,$D58)-I108</f>
        <v>#VALUE!</v>
      </c>
      <c r="J58" s="195" t="e" cm="1">
        <f t="array" aca="1" ref="J58" ca="1">SUMIFS(rng_out_rx_pre_yr2,rng_out_sel_G_ind,"G",rng_out_mail_ind,$B58,rng_out_ds,$C58,rng_out_sel_sp_ind,$D58)-J108</f>
        <v>#VALUE!</v>
      </c>
      <c r="K58" s="195" t="e" cm="1">
        <f t="array" aca="1" ref="K58" ca="1">SUMIFS(rng_out_rx_pre_yr3,rng_out_sel_G_ind,"G",rng_out_mail_ind,$B58,rng_out_ds,$C58,rng_out_sel_sp_ind,$D58)-K108</f>
        <v>#VALUE!</v>
      </c>
      <c r="L58" s="195" t="e" cm="1">
        <f t="array" aca="1" ref="L58" ca="1">SUMIFS(rng_out_rx_pre_yr4,rng_out_sel_G_ind,"G",rng_out_mail_ind,$B58,rng_out_ds,$C58,rng_out_sel_sp_ind,$D58)-L108</f>
        <v>#VALUE!</v>
      </c>
      <c r="M58" s="204" t="e" cm="1">
        <f t="array" aca="1" ref="M58" ca="1">SUMIFS(rng_out_rx_pre_yr5,rng_out_sel_G_ind,"G",rng_out_mail_ind,$B58,rng_out_ds,$C58,rng_out_sel_sp_ind,$D58)-M108</f>
        <v>#VALUE!</v>
      </c>
      <c r="N58" s="203" t="e" cm="1">
        <f t="array" aca="1" ref="N58" ca="1">SUMIFS(rng_out_rx_pre_yr1,rng_out_sel_G_ind,"B",rng_out_mail_ind,$B58,rng_out_ds,$C58,rng_out_sel_sp_ind,$D58)-N108</f>
        <v>#VALUE!</v>
      </c>
      <c r="O58" s="195" t="e" cm="1">
        <f t="array" aca="1" ref="O58" ca="1">SUMIFS(rng_out_rx_pre_yr2,rng_out_sel_G_ind,"B",rng_out_mail_ind,$B58,rng_out_ds,$C58,rng_out_sel_sp_ind,$D58)-O108</f>
        <v>#VALUE!</v>
      </c>
      <c r="P58" s="195" t="e" cm="1">
        <f t="array" aca="1" ref="P58" ca="1">SUMIFS(rng_out_rx_pre_yr3,rng_out_sel_G_ind,"B",rng_out_mail_ind,$B58,rng_out_ds,$C58,rng_out_sel_sp_ind,$D58)-P108</f>
        <v>#VALUE!</v>
      </c>
      <c r="Q58" s="195" t="e" cm="1">
        <f t="array" aca="1" ref="Q58" ca="1">SUMIFS(rng_out_rx_pre_yr4,rng_out_sel_G_ind,"B",rng_out_mail_ind,$B58,rng_out_ds,$C58,rng_out_sel_sp_ind,$D58)-Q108</f>
        <v>#VALUE!</v>
      </c>
      <c r="R58" s="204" t="e" cm="1">
        <f t="array" aca="1" ref="R58" ca="1">SUMIFS(rng_out_rx_pre_yr5,rng_out_sel_G_ind,"B",rng_out_mail_ind,$B58,rng_out_ds,$C58,rng_out_sel_sp_ind,$D58)-R108</f>
        <v>#VALUE!</v>
      </c>
      <c r="S58" s="205" t="e">
        <f t="shared" ref="S58:W61" ca="1" si="31">I58+N58</f>
        <v>#VALUE!</v>
      </c>
      <c r="T58" s="206" t="e">
        <f t="shared" ca="1" si="31"/>
        <v>#VALUE!</v>
      </c>
      <c r="U58" s="206" t="e">
        <f t="shared" ca="1" si="31"/>
        <v>#VALUE!</v>
      </c>
      <c r="V58" s="206" t="e">
        <f t="shared" ca="1" si="31"/>
        <v>#VALUE!</v>
      </c>
      <c r="W58" s="207" t="e">
        <f t="shared" ca="1" si="31"/>
        <v>#VALUE!</v>
      </c>
      <c r="Y58" s="77" t="s">
        <v>14</v>
      </c>
      <c r="Z58" s="208">
        <f ca="1">IFERROR(I58/[1]Tables!$AT$4, 0)</f>
        <v>0</v>
      </c>
      <c r="AA58" s="206">
        <f ca="1">IFERROR(J58/[1]Tables!$AT$4, 0)</f>
        <v>0</v>
      </c>
      <c r="AB58" s="206">
        <f ca="1">IFERROR(K58/[1]Tables!$AT$4, 0)</f>
        <v>0</v>
      </c>
      <c r="AC58" s="206">
        <f ca="1">IFERROR(L58/[1]Tables!$AT$4, 0)</f>
        <v>0</v>
      </c>
      <c r="AD58" s="209">
        <f ca="1">IFERROR(M58/[1]Tables!$AT$4, 0)</f>
        <v>0</v>
      </c>
      <c r="AE58" s="208">
        <f ca="1">IFERROR(N58/[1]Tables!$AT$4, 0)</f>
        <v>0</v>
      </c>
      <c r="AF58" s="206">
        <f ca="1">IFERROR(O58/[1]Tables!$AT$4, 0)</f>
        <v>0</v>
      </c>
      <c r="AG58" s="206">
        <f ca="1">IFERROR(P58/[1]Tables!$AT$4, 0)</f>
        <v>0</v>
      </c>
      <c r="AH58" s="206">
        <f ca="1">IFERROR(Q58/[1]Tables!$AT$4, 0)</f>
        <v>0</v>
      </c>
      <c r="AI58" s="209">
        <f ca="1">IFERROR(R58/[1]Tables!$AT$4, 0)</f>
        <v>0</v>
      </c>
      <c r="AJ58" s="208">
        <f t="shared" ref="AJ58:AN61" ca="1" si="32">Z58+AE58</f>
        <v>0</v>
      </c>
      <c r="AK58" s="206">
        <f t="shared" ca="1" si="32"/>
        <v>0</v>
      </c>
      <c r="AL58" s="206">
        <f t="shared" ca="1" si="32"/>
        <v>0</v>
      </c>
      <c r="AM58" s="206">
        <f t="shared" ca="1" si="32"/>
        <v>0</v>
      </c>
      <c r="AN58" s="209">
        <f t="shared" ca="1" si="32"/>
        <v>0</v>
      </c>
      <c r="AP58" s="83" t="s">
        <v>14</v>
      </c>
      <c r="AQ58" s="210" t="e" cm="1">
        <f t="array" aca="1" ref="AQ58" ca="1">IFERROR(IF(OR(input_Shift="No", [1]Tables!$BN$4=1), 0, (SUMIFS(rng_out_rx_post_yr1, rng_out_mail_ind, $B58, rng_out_sel_G_ind,"B", rng_out_ds, $C58, rng_out_sel_sp_ind, $D58, rng_out_MSB_excl, $F58)/[1]Tables!$AT$4)/[1]Tables!$BN$4*(1-[1]Tables!$BN$4)), 0) + IFERROR(SUMIFS(rng_out_rx_post_yr1, rng_out_sel_G_ind, "G", rng_out_mail_ind, $B58, rng_out_ds, $C58, rng_out_sel_sp_ind, $D58)/[1]Tables!$AT$4, 0) - AQ108</f>
        <v>#VALUE!</v>
      </c>
      <c r="AR58" s="195" t="e" cm="1">
        <f t="array" aca="1" ref="AR58" ca="1">IFERROR(IF(OR(input_Shift="No", [1]Tables!$BN$4=1), 0, (SUMIFS(rng_out_rx_post_yr2, rng_out_mail_ind, $B58, rng_out_sel_G_ind,"B", rng_out_ds, $C58, rng_out_sel_sp_ind, $D58, rng_out_MSB_excl, $F58)/[1]Tables!$AT$4)/[1]Tables!$BN$4*(1-[1]Tables!$BN$4)), 0) + IFERROR(SUMIFS(rng_out_rx_post_yr2, rng_out_sel_G_ind, "G", rng_out_mail_ind, $B58, rng_out_ds, $C58, rng_out_sel_sp_ind, $D58)/[1]Tables!$AT$4, 0) - AR108</f>
        <v>#VALUE!</v>
      </c>
      <c r="AS58" s="195" t="e" cm="1">
        <f t="array" aca="1" ref="AS58" ca="1">IFERROR(IF(OR(input_Shift="No", [1]Tables!$BN$4=1), 0, (SUMIFS(rng_out_rx_post_yr3, rng_out_mail_ind, $B58, rng_out_sel_G_ind,"B", rng_out_ds, $C58, rng_out_sel_sp_ind, $D58, rng_out_MSB_excl, $F58)/[1]Tables!$AT$4)/[1]Tables!$BN$4*(1-[1]Tables!$BN$4)), 0) + IFERROR(SUMIFS(rng_out_rx_post_yr3, rng_out_sel_G_ind, "G", rng_out_mail_ind, $B58, rng_out_ds, $C58, rng_out_sel_sp_ind, $D58)/[1]Tables!$AT$4, 0) - AS108</f>
        <v>#VALUE!</v>
      </c>
      <c r="AT58" s="195" t="e" cm="1">
        <f t="array" aca="1" ref="AT58" ca="1">IFERROR(IF(OR(input_Shift="No", [1]Tables!$BN$4=1), 0, (SUMIFS(rng_out_rx_post_yr4, rng_out_mail_ind, $B58, rng_out_sel_G_ind,"B", rng_out_ds, $C58, rng_out_sel_sp_ind, $D58, rng_out_MSB_excl, $F58)/[1]Tables!$AT$4)/[1]Tables!$BN$4*(1-[1]Tables!$BN$4)), 0) + IFERROR(SUMIFS(rng_out_rx_post_yr4, rng_out_sel_G_ind, "G", rng_out_mail_ind, $B58, rng_out_ds, $C58, rng_out_sel_sp_ind, $D58)/[1]Tables!$AT$4, 0) - AT108</f>
        <v>#VALUE!</v>
      </c>
      <c r="AU58" s="211" t="e" cm="1">
        <f t="array" aca="1" ref="AU58" ca="1">IFERROR(IF(OR(input_Shift="No", [1]Tables!$BN$4=1), 0, (SUMIFS(rng_out_rx_post_yr5, rng_out_mail_ind, $B58, rng_out_sel_G_ind,"B", rng_out_ds, $C58, rng_out_sel_sp_ind, $D58, rng_out_MSB_excl, $F58)/[1]Tables!$AT$4)/[1]Tables!$BN$4*(1-[1]Tables!$BN$4)), 0) + IFERROR(SUMIFS(rng_out_rx_post_yr5, rng_out_sel_G_ind, "G", rng_out_mail_ind, $B58, rng_out_ds, $C58, rng_out_sel_sp_ind, $D58)/[1]Tables!$AT$4, 0) - AU108</f>
        <v>#VALUE!</v>
      </c>
      <c r="AV58" s="210" t="e" cm="1">
        <f t="array" aca="1" ref="AV58" ca="1">SUMIFS(rng_out_rx_post_yr1, rng_out_sel_G_ind, "B", rng_out_mail_ind, $B58, rng_out_ds, $C58, rng_out_sel_sp_ind, $D58)/[1]Tables!$AT$4 - AV108</f>
        <v>#VALUE!</v>
      </c>
      <c r="AW58" s="195" t="e" cm="1">
        <f t="array" aca="1" ref="AW58" ca="1">SUMIFS(rng_out_rx_post_yr2, rng_out_sel_G_ind, "B", rng_out_mail_ind, $B58, rng_out_ds, $C58, rng_out_sel_sp_ind, $D58)/[1]Tables!$AT$4 - AW108</f>
        <v>#VALUE!</v>
      </c>
      <c r="AX58" s="195" t="e" cm="1">
        <f t="array" aca="1" ref="AX58" ca="1">SUMIFS(rng_out_rx_post_yr3, rng_out_sel_G_ind, "B", rng_out_mail_ind, $B58, rng_out_ds, $C58, rng_out_sel_sp_ind, $D58)/[1]Tables!$AT$4 - AX108</f>
        <v>#VALUE!</v>
      </c>
      <c r="AY58" s="195" t="e" cm="1">
        <f t="array" aca="1" ref="AY58" ca="1">SUMIFS(rng_out_rx_post_yr4, rng_out_sel_G_ind, "B", rng_out_mail_ind, $B58, rng_out_ds, $C58, rng_out_sel_sp_ind, $D58)/[1]Tables!$AT$4 - AY108</f>
        <v>#VALUE!</v>
      </c>
      <c r="AZ58" s="211" t="e" cm="1">
        <f t="array" aca="1" ref="AZ58" ca="1">SUMIFS(rng_out_rx_post_yr5, rng_out_sel_G_ind, "B", rng_out_mail_ind, $B58, rng_out_ds, $C58, rng_out_sel_sp_ind, $D58)/[1]Tables!$AT$4 - AZ108</f>
        <v>#VALUE!</v>
      </c>
      <c r="BA58" s="206" t="e">
        <f t="shared" ref="BA58:BE61" ca="1" si="33">AQ58+AV58</f>
        <v>#VALUE!</v>
      </c>
      <c r="BB58" s="206" t="e">
        <f t="shared" ca="1" si="33"/>
        <v>#VALUE!</v>
      </c>
      <c r="BC58" s="206" t="e">
        <f t="shared" ca="1" si="33"/>
        <v>#VALUE!</v>
      </c>
      <c r="BD58" s="206" t="e">
        <f t="shared" ca="1" si="33"/>
        <v>#VALUE!</v>
      </c>
      <c r="BE58" s="212" t="e">
        <f t="shared" ca="1" si="33"/>
        <v>#VALUE!</v>
      </c>
      <c r="BG58" s="88" t="s">
        <v>14</v>
      </c>
      <c r="BH58" s="213" t="e">
        <f t="shared" ref="BH58:BQ61" ca="1" si="34">AQ58</f>
        <v>#VALUE!</v>
      </c>
      <c r="BI58" s="206" t="e">
        <f t="shared" ca="1" si="34"/>
        <v>#VALUE!</v>
      </c>
      <c r="BJ58" s="206" t="e">
        <f t="shared" ca="1" si="34"/>
        <v>#VALUE!</v>
      </c>
      <c r="BK58" s="206" t="e">
        <f t="shared" ca="1" si="34"/>
        <v>#VALUE!</v>
      </c>
      <c r="BL58" s="214" t="e">
        <f t="shared" ca="1" si="34"/>
        <v>#VALUE!</v>
      </c>
      <c r="BM58" s="213" t="e">
        <f t="shared" ca="1" si="34"/>
        <v>#VALUE!</v>
      </c>
      <c r="BN58" s="206" t="e">
        <f t="shared" ca="1" si="34"/>
        <v>#VALUE!</v>
      </c>
      <c r="BO58" s="206" t="e">
        <f t="shared" ca="1" si="34"/>
        <v>#VALUE!</v>
      </c>
      <c r="BP58" s="206" t="e">
        <f t="shared" ca="1" si="34"/>
        <v>#VALUE!</v>
      </c>
      <c r="BQ58" s="214" t="e">
        <f t="shared" ca="1" si="34"/>
        <v>#VALUE!</v>
      </c>
      <c r="BR58" s="215" t="e">
        <f t="shared" ref="BR58:BV61" ca="1" si="35">BH58+BM58</f>
        <v>#VALUE!</v>
      </c>
      <c r="BS58" s="216" t="e">
        <f t="shared" ca="1" si="35"/>
        <v>#VALUE!</v>
      </c>
      <c r="BT58" s="216" t="e">
        <f t="shared" ca="1" si="35"/>
        <v>#VALUE!</v>
      </c>
      <c r="BU58" s="216" t="e">
        <f t="shared" ca="1" si="35"/>
        <v>#VALUE!</v>
      </c>
      <c r="BV58" s="217" t="e">
        <f t="shared" ca="1" si="35"/>
        <v>#VALUE!</v>
      </c>
      <c r="BX58" s="88" t="s">
        <v>14</v>
      </c>
      <c r="BY58" s="213" t="e">
        <f t="shared" ref="BY58:CC61" ca="1" si="36">BH76</f>
        <v>#VALUE!</v>
      </c>
      <c r="BZ58" s="206" t="e">
        <f t="shared" ca="1" si="36"/>
        <v>#VALUE!</v>
      </c>
      <c r="CA58" s="206" t="e">
        <f t="shared" ca="1" si="36"/>
        <v>#VALUE!</v>
      </c>
      <c r="CB58" s="206" t="e">
        <f t="shared" ca="1" si="36"/>
        <v>#VALUE!</v>
      </c>
      <c r="CC58" s="214" t="e">
        <f t="shared" ca="1" si="36"/>
        <v>#VALUE!</v>
      </c>
      <c r="CD58" s="213" t="e">
        <f t="shared" ref="CD58:CH61" ca="1" si="37">BR67 - DC58</f>
        <v>#VALUE!</v>
      </c>
      <c r="CE58" s="206" t="e">
        <f t="shared" ca="1" si="37"/>
        <v>#VALUE!</v>
      </c>
      <c r="CF58" s="206" t="e">
        <f t="shared" ca="1" si="37"/>
        <v>#VALUE!</v>
      </c>
      <c r="CG58" s="206" t="e">
        <f t="shared" ca="1" si="37"/>
        <v>#VALUE!</v>
      </c>
      <c r="CH58" s="214" t="e">
        <f t="shared" ca="1" si="37"/>
        <v>#VALUE!</v>
      </c>
      <c r="CI58" s="215" t="e">
        <f t="shared" ref="CI58:CM61" ca="1" si="38">BY58+CD58</f>
        <v>#VALUE!</v>
      </c>
      <c r="CJ58" s="216" t="e">
        <f t="shared" ca="1" si="38"/>
        <v>#VALUE!</v>
      </c>
      <c r="CK58" s="216" t="e">
        <f t="shared" ca="1" si="38"/>
        <v>#VALUE!</v>
      </c>
      <c r="CL58" s="216" t="e">
        <f t="shared" ca="1" si="38"/>
        <v>#VALUE!</v>
      </c>
      <c r="CM58" s="217" t="e">
        <f t="shared" ca="1" si="38"/>
        <v>#VALUE!</v>
      </c>
      <c r="CO58" s="215" cm="1">
        <f t="array" aca="1" ref="CO58" ca="1">_xlfn.SINGLE(IFERROR(SUMIFS(rng_out_rx_base, rng_out_sel_G_ind, "G", rng_out_mail_ind, $B58, rng_out_ds, $C58, rng_out_sel_sp_ind, $D58, rng_out_sel_excl_ind,$E58)/[1]Tables!$AT$4, 0))</f>
        <v>0</v>
      </c>
      <c r="CP58" s="217" cm="1">
        <f t="array" aca="1" ref="CP58" ca="1">_xlfn.SINGLE(IFERROR(SUMIFS(rng_out_rx_base, rng_out_sel_G_ind, "B", rng_out_mail_ind, $B58, rng_out_ds, $C58, rng_out_sel_sp_ind, $D58, rng_out_sel_excl_ind,$E58)/[1]Tables!$AT$4, 0))</f>
        <v>0</v>
      </c>
      <c r="CQ58" s="218">
        <f ca="1">SUM(CO58:CP58)</f>
        <v>0</v>
      </c>
      <c r="CR58" s="215" cm="1">
        <f t="array" aca="1" ref="CR58" ca="1">_xlfn.SINGLE(IFERROR(SUMIFS(rng_out_qty_base, rng_out_sel_G_ind, "G", rng_out_mail_ind, $B58, rng_out_ds, $C58, rng_out_sel_sp_ind, $D58, rng_out_sel_excl_ind,$E58)/[1]Tables!$AT$4, 0))</f>
        <v>0</v>
      </c>
      <c r="CS58" s="216" cm="1">
        <f t="array" aca="1" ref="CS58" ca="1">_xlfn.SINGLE(IFERROR(SUMIFS(rng_out_qty_base, rng_out_sel_G_ind, "B", rng_out_mail_ind, $B58, rng_out_ds, $C58, rng_out_sel_sp_ind, $D58, rng_out_sel_excl_ind,$E58)/[1]Tables!$AT$4, 0))</f>
        <v>0</v>
      </c>
      <c r="CT58" s="219">
        <f ca="1">SUM(CR58:CS58)</f>
        <v>0</v>
      </c>
      <c r="CU58" s="215" cm="1">
        <f t="array" aca="1" ref="CU58" ca="1">_xlfn.SINGLE(IFERROR(SUMIFS(rng_out_ds_base, rng_out_sel_G_ind, "G", rng_out_mail_ind, $B58, rng_out_ds, $C58, rng_out_sel_sp_ind, $D58, rng_out_sel_excl_ind,$E58)/[1]Tables!$AT$4, 0))</f>
        <v>0</v>
      </c>
      <c r="CV58" s="217" cm="1">
        <f t="array" aca="1" ref="CV58" ca="1">_xlfn.SINGLE(IFERROR(SUMIFS(rng_out_ds_base, rng_out_sel_G_ind, "B", rng_out_mail_ind, $B58, rng_out_ds, $C58, rng_out_sel_sp_ind, $D58, rng_out_sel_excl_ind,$E58)/[1]Tables!$AT$4, 0))</f>
        <v>0</v>
      </c>
      <c r="CW58" s="218">
        <f ca="1">SUM(CU58:CV58)</f>
        <v>0</v>
      </c>
      <c r="DC58" s="99" t="e" cm="1">
        <f t="array" aca="1" ref="DC58" ca="1">INDEX([1]Tables!$EA$4:$EE$60,MATCH([1]Tables!$C$22&amp;$BX58, [1]Tables!$EA$4:$EA$60, 0), [1]Tables!$ED$1) * BR67 * IFERROR(BY67/BM58, 0) +  BR67 * DI58</f>
        <v>#VALUE!</v>
      </c>
      <c r="DD58" s="100" t="e" cm="1">
        <f t="array" aca="1" ref="DD58" ca="1">INDEX([1]Tables!$EA$4:$EE$60,MATCH([1]Tables!$C$22&amp;$BX58, [1]Tables!$EA$4:$EA$60, 0), [1]Tables!$ED$1) * BS67 * IFERROR(BZ67/BN58, 0) +  BS67 * DJ58</f>
        <v>#VALUE!</v>
      </c>
      <c r="DE58" s="100" t="e" cm="1">
        <f t="array" aca="1" ref="DE58" ca="1">INDEX([1]Tables!$EA$4:$EE$60,MATCH([1]Tables!$C$22&amp;$BX58, [1]Tables!$EA$4:$EA$60, 0), [1]Tables!$ED$1) * BT67 * IFERROR(CA67/BO58, 0) +  BT67 * DK58</f>
        <v>#VALUE!</v>
      </c>
      <c r="DF58" s="100" t="e" cm="1">
        <f t="array" aca="1" ref="DF58" ca="1">INDEX([1]Tables!$EA$4:$EE$60,MATCH([1]Tables!$C$22&amp;$BX58, [1]Tables!$EA$4:$EA$60, 0), [1]Tables!$ED$1) * BU67 * IFERROR(CB67/BP58, 0) +  BU67 * DL58</f>
        <v>#VALUE!</v>
      </c>
      <c r="DG58" s="101" t="e" cm="1">
        <f t="array" aca="1" ref="DG58" ca="1">INDEX([1]Tables!$EA$4:$EE$60,MATCH([1]Tables!$C$22&amp;$BX58, [1]Tables!$EA$4:$EA$60, 0), [1]Tables!$ED$1) * BV67 * IFERROR(CC67/BQ58, 0) +  BV67 * DM58</f>
        <v>#VALUE!</v>
      </c>
      <c r="DI58" s="102" cm="1">
        <f t="array" aca="1" ref="DI58" ca="1">IFERROR((SUMPRODUCT((rng_out_sel_G_ind = "B") * (rng_out_mail_ind = $B58) * (rng_out_ds = $C58) * (rng_out_sel_sp_ind = $D58) * (rng_out_sel_excl_ind = $E58) * (rng_out_post_reb_ind_yr1 = 1) * (rng_out_rx_post_yr1*rng_out_340B))/[1]Tables!$AT$4)/AV58, 0)</f>
        <v>0</v>
      </c>
      <c r="DJ58" s="103" cm="1">
        <f t="array" aca="1" ref="DJ58" ca="1">IFERROR((SUMPRODUCT((rng_out_sel_G_ind = "B") * (rng_out_mail_ind = $B58) * (rng_out_ds = $C58) * (rng_out_sel_sp_ind = $D58) * (rng_out_sel_excl_ind = $E58) * (rng_out_post_reb_ind_yr2 = 1) * (rng_out_rx_post_yr2*rng_out_340B))/[1]Tables!$AT$4)/AW58, 0)</f>
        <v>0</v>
      </c>
      <c r="DK58" s="103" cm="1">
        <f t="array" aca="1" ref="DK58" ca="1">IFERROR((SUMPRODUCT((rng_out_sel_G_ind = "B") * (rng_out_mail_ind = $B58) * (rng_out_ds = $C58) * (rng_out_sel_sp_ind = $D58) * (rng_out_sel_excl_ind = $E58) * (rng_out_post_reb_ind_yr3 = 1) * (rng_out_rx_post_yr3*rng_out_340B))/[1]Tables!$AT$4)/AX58, 0)</f>
        <v>0</v>
      </c>
      <c r="DL58" s="103" cm="1">
        <f t="array" aca="1" ref="DL58" ca="1">IFERROR((SUMPRODUCT((rng_out_sel_G_ind = "B") * (rng_out_mail_ind = $B58) * (rng_out_ds = $C58) * (rng_out_sel_sp_ind = $D58) * (rng_out_sel_excl_ind = $E58) * (rng_out_post_reb_ind_yr4 = 1) * (rng_out_rx_post_yr4*rng_out_340B))/[1]Tables!$AT$4)/AY58, 0)</f>
        <v>0</v>
      </c>
      <c r="DM58" s="104" cm="1">
        <f t="array" aca="1" ref="DM58" ca="1">IFERROR((SUMPRODUCT((rng_out_sel_G_ind = "B") * (rng_out_mail_ind = $B58) * (rng_out_ds = $C58) * (rng_out_sel_sp_ind = $D58) * (rng_out_sel_excl_ind = $E58) * (rng_out_post_reb_ind_yr5 = 1) * (rng_out_rx_post_yr5*rng_out_340B))/[1]Tables!$AT$4)/AZ58, 0)</f>
        <v>0</v>
      </c>
    </row>
    <row r="59" spans="1:117" x14ac:dyDescent="0.35">
      <c r="B59" s="105" t="s">
        <v>11</v>
      </c>
      <c r="C59" s="106">
        <v>90</v>
      </c>
      <c r="D59" s="106" t="s">
        <v>12</v>
      </c>
      <c r="E59" s="107" t="s">
        <v>12</v>
      </c>
      <c r="F59" s="106">
        <v>1</v>
      </c>
      <c r="H59" s="108" t="s">
        <v>15</v>
      </c>
      <c r="I59" s="203" t="e" cm="1">
        <f t="array" aca="1" ref="I59" ca="1">SUMIFS(rng_out_rx_pre_yr1,rng_out_sel_G_ind,"G",rng_out_mail_ind,$B59,rng_out_ds,$C59,rng_out_sel_sp_ind,$D59)-I109</f>
        <v>#VALUE!</v>
      </c>
      <c r="J59" s="195" t="e" cm="1">
        <f t="array" aca="1" ref="J59" ca="1">SUMIFS(rng_out_rx_pre_yr2,rng_out_sel_G_ind,"G",rng_out_mail_ind,$B59,rng_out_ds,$C59,rng_out_sel_sp_ind,$D59)-J109</f>
        <v>#VALUE!</v>
      </c>
      <c r="K59" s="195" t="e" cm="1">
        <f t="array" aca="1" ref="K59" ca="1">SUMIFS(rng_out_rx_pre_yr3,rng_out_sel_G_ind,"G",rng_out_mail_ind,$B59,rng_out_ds,$C59,rng_out_sel_sp_ind,$D59)-K109</f>
        <v>#VALUE!</v>
      </c>
      <c r="L59" s="195" t="e" cm="1">
        <f t="array" aca="1" ref="L59" ca="1">SUMIFS(rng_out_rx_pre_yr4,rng_out_sel_G_ind,"G",rng_out_mail_ind,$B59,rng_out_ds,$C59,rng_out_sel_sp_ind,$D59)-L109</f>
        <v>#VALUE!</v>
      </c>
      <c r="M59" s="204" t="e" cm="1">
        <f t="array" aca="1" ref="M59" ca="1">SUMIFS(rng_out_rx_pre_yr5,rng_out_sel_G_ind,"G",rng_out_mail_ind,$B59,rng_out_ds,$C59,rng_out_sel_sp_ind,$D59)-M109</f>
        <v>#VALUE!</v>
      </c>
      <c r="N59" s="203" t="e" cm="1">
        <f t="array" aca="1" ref="N59" ca="1">SUMIFS(rng_out_rx_pre_yr1,rng_out_sel_G_ind,"B",rng_out_mail_ind,$B59,rng_out_ds,$C59,rng_out_sel_sp_ind,$D59)-N109</f>
        <v>#VALUE!</v>
      </c>
      <c r="O59" s="195" t="e" cm="1">
        <f t="array" aca="1" ref="O59" ca="1">SUMIFS(rng_out_rx_pre_yr2,rng_out_sel_G_ind,"B",rng_out_mail_ind,$B59,rng_out_ds,$C59,rng_out_sel_sp_ind,$D59)-O109</f>
        <v>#VALUE!</v>
      </c>
      <c r="P59" s="195" t="e" cm="1">
        <f t="array" aca="1" ref="P59" ca="1">SUMIFS(rng_out_rx_pre_yr3,rng_out_sel_G_ind,"B",rng_out_mail_ind,$B59,rng_out_ds,$C59,rng_out_sel_sp_ind,$D59)-P109</f>
        <v>#VALUE!</v>
      </c>
      <c r="Q59" s="195" t="e" cm="1">
        <f t="array" aca="1" ref="Q59" ca="1">SUMIFS(rng_out_rx_pre_yr4,rng_out_sel_G_ind,"B",rng_out_mail_ind,$B59,rng_out_ds,$C59,rng_out_sel_sp_ind,$D59)-Q109</f>
        <v>#VALUE!</v>
      </c>
      <c r="R59" s="204" t="e" cm="1">
        <f t="array" aca="1" ref="R59" ca="1">SUMIFS(rng_out_rx_pre_yr5,rng_out_sel_G_ind,"B",rng_out_mail_ind,$B59,rng_out_ds,$C59,rng_out_sel_sp_ind,$D59)-R109</f>
        <v>#VALUE!</v>
      </c>
      <c r="S59" s="205" t="e">
        <f t="shared" ca="1" si="31"/>
        <v>#VALUE!</v>
      </c>
      <c r="T59" s="206" t="e">
        <f t="shared" ca="1" si="31"/>
        <v>#VALUE!</v>
      </c>
      <c r="U59" s="206" t="e">
        <f t="shared" ca="1" si="31"/>
        <v>#VALUE!</v>
      </c>
      <c r="V59" s="206" t="e">
        <f t="shared" ca="1" si="31"/>
        <v>#VALUE!</v>
      </c>
      <c r="W59" s="207" t="e">
        <f t="shared" ca="1" si="31"/>
        <v>#VALUE!</v>
      </c>
      <c r="Y59" s="109" t="s">
        <v>15</v>
      </c>
      <c r="Z59" s="208">
        <f ca="1">IFERROR(I59/[1]Tables!$AT$4, 0)</f>
        <v>0</v>
      </c>
      <c r="AA59" s="206">
        <f ca="1">IFERROR(J59/[1]Tables!$AT$4, 0)</f>
        <v>0</v>
      </c>
      <c r="AB59" s="206">
        <f ca="1">IFERROR(K59/[1]Tables!$AT$4, 0)</f>
        <v>0</v>
      </c>
      <c r="AC59" s="206">
        <f ca="1">IFERROR(L59/[1]Tables!$AT$4, 0)</f>
        <v>0</v>
      </c>
      <c r="AD59" s="209">
        <f ca="1">IFERROR(M59/[1]Tables!$AT$4, 0)</f>
        <v>0</v>
      </c>
      <c r="AE59" s="208">
        <f ca="1">IFERROR(N59/[1]Tables!$AT$4, 0)</f>
        <v>0</v>
      </c>
      <c r="AF59" s="206">
        <f ca="1">IFERROR(O59/[1]Tables!$AT$4, 0)</f>
        <v>0</v>
      </c>
      <c r="AG59" s="206">
        <f ca="1">IFERROR(P59/[1]Tables!$AT$4, 0)</f>
        <v>0</v>
      </c>
      <c r="AH59" s="206">
        <f ca="1">IFERROR(Q59/[1]Tables!$AT$4, 0)</f>
        <v>0</v>
      </c>
      <c r="AI59" s="209">
        <f ca="1">IFERROR(R59/[1]Tables!$AT$4, 0)</f>
        <v>0</v>
      </c>
      <c r="AJ59" s="208">
        <f t="shared" ca="1" si="32"/>
        <v>0</v>
      </c>
      <c r="AK59" s="206">
        <f t="shared" ca="1" si="32"/>
        <v>0</v>
      </c>
      <c r="AL59" s="206">
        <f t="shared" ca="1" si="32"/>
        <v>0</v>
      </c>
      <c r="AM59" s="206">
        <f t="shared" ca="1" si="32"/>
        <v>0</v>
      </c>
      <c r="AN59" s="209">
        <f t="shared" ca="1" si="32"/>
        <v>0</v>
      </c>
      <c r="AP59" s="110" t="s">
        <v>15</v>
      </c>
      <c r="AQ59" s="210" t="e" cm="1">
        <f t="array" aca="1" ref="AQ59" ca="1">IFERROR(IF(OR(input_Shift="No", [1]Tables!$BN$4=1), 0, (SUMIFS(rng_out_rx_post_yr1, rng_out_mail_ind, $B59, rng_out_sel_G_ind,"B", rng_out_ds, $C59, rng_out_sel_sp_ind, $D59, rng_out_MSB_excl, $F59)/[1]Tables!$AT$4)/[1]Tables!$BN$4*(1-[1]Tables!$BN$4)), 0) + IFERROR(SUMIFS(rng_out_rx_post_yr1, rng_out_sel_G_ind, "G", rng_out_mail_ind, $B59, rng_out_ds, $C59, rng_out_sel_sp_ind, $D59)/[1]Tables!$AT$4, 0) - AQ109</f>
        <v>#VALUE!</v>
      </c>
      <c r="AR59" s="195" t="e" cm="1">
        <f t="array" aca="1" ref="AR59" ca="1">IFERROR(IF(OR(input_Shift="No", [1]Tables!$BN$4=1), 0, (SUMIFS(rng_out_rx_post_yr2, rng_out_mail_ind, $B59, rng_out_sel_G_ind,"B", rng_out_ds, $C59, rng_out_sel_sp_ind, $D59, rng_out_MSB_excl, $F59)/[1]Tables!$AT$4)/[1]Tables!$BN$4*(1-[1]Tables!$BN$4)), 0) + IFERROR(SUMIFS(rng_out_rx_post_yr2, rng_out_sel_G_ind, "G", rng_out_mail_ind, $B59, rng_out_ds, $C59, rng_out_sel_sp_ind, $D59)/[1]Tables!$AT$4, 0) - AR109</f>
        <v>#VALUE!</v>
      </c>
      <c r="AS59" s="195" t="e" cm="1">
        <f t="array" aca="1" ref="AS59" ca="1">IFERROR(IF(OR(input_Shift="No", [1]Tables!$BN$4=1), 0, (SUMIFS(rng_out_rx_post_yr3, rng_out_mail_ind, $B59, rng_out_sel_G_ind,"B", rng_out_ds, $C59, rng_out_sel_sp_ind, $D59, rng_out_MSB_excl, $F59)/[1]Tables!$AT$4)/[1]Tables!$BN$4*(1-[1]Tables!$BN$4)), 0) + IFERROR(SUMIFS(rng_out_rx_post_yr3, rng_out_sel_G_ind, "G", rng_out_mail_ind, $B59, rng_out_ds, $C59, rng_out_sel_sp_ind, $D59)/[1]Tables!$AT$4, 0) - AS109</f>
        <v>#VALUE!</v>
      </c>
      <c r="AT59" s="195" t="e" cm="1">
        <f t="array" aca="1" ref="AT59" ca="1">IFERROR(IF(OR(input_Shift="No", [1]Tables!$BN$4=1), 0, (SUMIFS(rng_out_rx_post_yr4, rng_out_mail_ind, $B59, rng_out_sel_G_ind,"B", rng_out_ds, $C59, rng_out_sel_sp_ind, $D59, rng_out_MSB_excl, $F59)/[1]Tables!$AT$4)/[1]Tables!$BN$4*(1-[1]Tables!$BN$4)), 0) + IFERROR(SUMIFS(rng_out_rx_post_yr4, rng_out_sel_G_ind, "G", rng_out_mail_ind, $B59, rng_out_ds, $C59, rng_out_sel_sp_ind, $D59)/[1]Tables!$AT$4, 0) - AT109</f>
        <v>#VALUE!</v>
      </c>
      <c r="AU59" s="211" t="e" cm="1">
        <f t="array" aca="1" ref="AU59" ca="1">IFERROR(IF(OR(input_Shift="No", [1]Tables!$BN$4=1), 0, (SUMIFS(rng_out_rx_post_yr5, rng_out_mail_ind, $B59, rng_out_sel_G_ind,"B", rng_out_ds, $C59, rng_out_sel_sp_ind, $D59, rng_out_MSB_excl, $F59)/[1]Tables!$AT$4)/[1]Tables!$BN$4*(1-[1]Tables!$BN$4)), 0) + IFERROR(SUMIFS(rng_out_rx_post_yr5, rng_out_sel_G_ind, "G", rng_out_mail_ind, $B59, rng_out_ds, $C59, rng_out_sel_sp_ind, $D59)/[1]Tables!$AT$4, 0) - AU109</f>
        <v>#VALUE!</v>
      </c>
      <c r="AV59" s="210" t="e" cm="1">
        <f t="array" aca="1" ref="AV59" ca="1">SUMIFS(rng_out_rx_post_yr1, rng_out_sel_G_ind, "B", rng_out_mail_ind, $B59, rng_out_ds, $C59, rng_out_sel_sp_ind, $D59)/[1]Tables!$AT$4 - AV109</f>
        <v>#VALUE!</v>
      </c>
      <c r="AW59" s="195" t="e" cm="1">
        <f t="array" aca="1" ref="AW59" ca="1">SUMIFS(rng_out_rx_post_yr2, rng_out_sel_G_ind, "B", rng_out_mail_ind, $B59, rng_out_ds, $C59, rng_out_sel_sp_ind, $D59)/[1]Tables!$AT$4 - AW109</f>
        <v>#VALUE!</v>
      </c>
      <c r="AX59" s="195" t="e" cm="1">
        <f t="array" aca="1" ref="AX59" ca="1">SUMIFS(rng_out_rx_post_yr3, rng_out_sel_G_ind, "B", rng_out_mail_ind, $B59, rng_out_ds, $C59, rng_out_sel_sp_ind, $D59)/[1]Tables!$AT$4 - AX109</f>
        <v>#VALUE!</v>
      </c>
      <c r="AY59" s="195" t="e" cm="1">
        <f t="array" aca="1" ref="AY59" ca="1">SUMIFS(rng_out_rx_post_yr4, rng_out_sel_G_ind, "B", rng_out_mail_ind, $B59, rng_out_ds, $C59, rng_out_sel_sp_ind, $D59)/[1]Tables!$AT$4 - AY109</f>
        <v>#VALUE!</v>
      </c>
      <c r="AZ59" s="211" t="e" cm="1">
        <f t="array" aca="1" ref="AZ59" ca="1">SUMIFS(rng_out_rx_post_yr5, rng_out_sel_G_ind, "B", rng_out_mail_ind, $B59, rng_out_ds, $C59, rng_out_sel_sp_ind, $D59)/[1]Tables!$AT$4 - AZ109</f>
        <v>#VALUE!</v>
      </c>
      <c r="BA59" s="206" t="e">
        <f t="shared" ca="1" si="33"/>
        <v>#VALUE!</v>
      </c>
      <c r="BB59" s="206" t="e">
        <f t="shared" ca="1" si="33"/>
        <v>#VALUE!</v>
      </c>
      <c r="BC59" s="206" t="e">
        <f t="shared" ca="1" si="33"/>
        <v>#VALUE!</v>
      </c>
      <c r="BD59" s="206" t="e">
        <f t="shared" ca="1" si="33"/>
        <v>#VALUE!</v>
      </c>
      <c r="BE59" s="212" t="e">
        <f t="shared" ca="1" si="33"/>
        <v>#VALUE!</v>
      </c>
      <c r="BG59" s="111" t="s">
        <v>15</v>
      </c>
      <c r="BH59" s="213" t="e">
        <f t="shared" ca="1" si="34"/>
        <v>#VALUE!</v>
      </c>
      <c r="BI59" s="206" t="e">
        <f t="shared" ca="1" si="34"/>
        <v>#VALUE!</v>
      </c>
      <c r="BJ59" s="206" t="e">
        <f t="shared" ca="1" si="34"/>
        <v>#VALUE!</v>
      </c>
      <c r="BK59" s="206" t="e">
        <f t="shared" ca="1" si="34"/>
        <v>#VALUE!</v>
      </c>
      <c r="BL59" s="214" t="e">
        <f t="shared" ca="1" si="34"/>
        <v>#VALUE!</v>
      </c>
      <c r="BM59" s="213" t="e">
        <f t="shared" ca="1" si="34"/>
        <v>#VALUE!</v>
      </c>
      <c r="BN59" s="206" t="e">
        <f t="shared" ca="1" si="34"/>
        <v>#VALUE!</v>
      </c>
      <c r="BO59" s="206" t="e">
        <f t="shared" ca="1" si="34"/>
        <v>#VALUE!</v>
      </c>
      <c r="BP59" s="206" t="e">
        <f t="shared" ca="1" si="34"/>
        <v>#VALUE!</v>
      </c>
      <c r="BQ59" s="214" t="e">
        <f t="shared" ca="1" si="34"/>
        <v>#VALUE!</v>
      </c>
      <c r="BR59" s="213" t="e">
        <f t="shared" ca="1" si="35"/>
        <v>#VALUE!</v>
      </c>
      <c r="BS59" s="206" t="e">
        <f t="shared" ca="1" si="35"/>
        <v>#VALUE!</v>
      </c>
      <c r="BT59" s="206" t="e">
        <f t="shared" ca="1" si="35"/>
        <v>#VALUE!</v>
      </c>
      <c r="BU59" s="206" t="e">
        <f t="shared" ca="1" si="35"/>
        <v>#VALUE!</v>
      </c>
      <c r="BV59" s="214" t="e">
        <f t="shared" ca="1" si="35"/>
        <v>#VALUE!</v>
      </c>
      <c r="BX59" s="111" t="s">
        <v>15</v>
      </c>
      <c r="BY59" s="213" t="e">
        <f t="shared" ca="1" si="36"/>
        <v>#VALUE!</v>
      </c>
      <c r="BZ59" s="206" t="e">
        <f t="shared" ca="1" si="36"/>
        <v>#VALUE!</v>
      </c>
      <c r="CA59" s="206" t="e">
        <f t="shared" ca="1" si="36"/>
        <v>#VALUE!</v>
      </c>
      <c r="CB59" s="206" t="e">
        <f t="shared" ca="1" si="36"/>
        <v>#VALUE!</v>
      </c>
      <c r="CC59" s="214" t="e">
        <f t="shared" ca="1" si="36"/>
        <v>#VALUE!</v>
      </c>
      <c r="CD59" s="213" t="e">
        <f t="shared" ca="1" si="37"/>
        <v>#VALUE!</v>
      </c>
      <c r="CE59" s="206" t="e">
        <f t="shared" ca="1" si="37"/>
        <v>#VALUE!</v>
      </c>
      <c r="CF59" s="206" t="e">
        <f t="shared" ca="1" si="37"/>
        <v>#VALUE!</v>
      </c>
      <c r="CG59" s="206" t="e">
        <f t="shared" ca="1" si="37"/>
        <v>#VALUE!</v>
      </c>
      <c r="CH59" s="214" t="e">
        <f t="shared" ca="1" si="37"/>
        <v>#VALUE!</v>
      </c>
      <c r="CI59" s="213" t="e">
        <f t="shared" ca="1" si="38"/>
        <v>#VALUE!</v>
      </c>
      <c r="CJ59" s="206" t="e">
        <f t="shared" ca="1" si="38"/>
        <v>#VALUE!</v>
      </c>
      <c r="CK59" s="206" t="e">
        <f t="shared" ca="1" si="38"/>
        <v>#VALUE!</v>
      </c>
      <c r="CL59" s="206" t="e">
        <f t="shared" ca="1" si="38"/>
        <v>#VALUE!</v>
      </c>
      <c r="CM59" s="214" t="e">
        <f t="shared" ca="1" si="38"/>
        <v>#VALUE!</v>
      </c>
      <c r="CO59" s="213" cm="1">
        <f t="array" aca="1" ref="CO59" ca="1">_xlfn.SINGLE(IFERROR(SUMIFS(rng_out_rx_base, rng_out_sel_G_ind, "G", rng_out_mail_ind, $B59, rng_out_ds, $C59, rng_out_sel_sp_ind, $D59, rng_out_sel_excl_ind,$E59)/[1]Tables!$AT$4, 0))</f>
        <v>0</v>
      </c>
      <c r="CP59" s="214" cm="1">
        <f t="array" aca="1" ref="CP59" ca="1">_xlfn.SINGLE(IFERROR(SUMIFS(rng_out_rx_base, rng_out_sel_G_ind, "B", rng_out_mail_ind, $B59, rng_out_ds, $C59, rng_out_sel_sp_ind, $D59, rng_out_sel_excl_ind,$E59)/[1]Tables!$AT$4, 0))</f>
        <v>0</v>
      </c>
      <c r="CQ59" s="220">
        <f ca="1">SUM(CO59:CP59)</f>
        <v>0</v>
      </c>
      <c r="CR59" s="213" cm="1">
        <f t="array" aca="1" ref="CR59" ca="1">_xlfn.SINGLE(IFERROR(SUMIFS(rng_out_qty_base, rng_out_sel_G_ind, "G", rng_out_mail_ind, $B59, rng_out_ds, $C59, rng_out_sel_sp_ind, $D59, rng_out_sel_excl_ind,$E59)/[1]Tables!$AT$4, 0))</f>
        <v>0</v>
      </c>
      <c r="CS59" s="206" cm="1">
        <f t="array" aca="1" ref="CS59" ca="1">_xlfn.SINGLE(IFERROR(SUMIFS(rng_out_qty_base, rng_out_sel_G_ind, "B", rng_out_mail_ind, $B59, rng_out_ds, $C59, rng_out_sel_sp_ind, $D59, rng_out_sel_excl_ind,$E59)/[1]Tables!$AT$4, 0))</f>
        <v>0</v>
      </c>
      <c r="CT59" s="221">
        <f ca="1">SUM(CR59:CS59)</f>
        <v>0</v>
      </c>
      <c r="CU59" s="213" cm="1">
        <f t="array" aca="1" ref="CU59" ca="1">_xlfn.SINGLE(IFERROR(SUMIFS(rng_out_ds_base, rng_out_sel_G_ind, "G", rng_out_mail_ind, $B59, rng_out_ds, $C59, rng_out_sel_sp_ind, $D59, rng_out_sel_excl_ind,$E59)/[1]Tables!$AT$4, 0))</f>
        <v>0</v>
      </c>
      <c r="CV59" s="214" cm="1">
        <f t="array" aca="1" ref="CV59" ca="1">_xlfn.SINGLE(IFERROR(SUMIFS(rng_out_ds_base, rng_out_sel_G_ind, "B", rng_out_mail_ind, $B59, rng_out_ds, $C59, rng_out_sel_sp_ind, $D59, rng_out_sel_excl_ind,$E59)/[1]Tables!$AT$4, 0))</f>
        <v>0</v>
      </c>
      <c r="CW59" s="220">
        <f ca="1">SUM(CU59:CV59)</f>
        <v>0</v>
      </c>
      <c r="DC59" s="112" t="e" cm="1">
        <f t="array" aca="1" ref="DC59" ca="1">INDEX([1]Tables!$EA$4:$EE$60,MATCH([1]Tables!$C$22&amp;$BX59, [1]Tables!$EA$4:$EA$60, 0), [1]Tables!$ED$1) * BR68 * IFERROR(BY68/BM59, 0) +  BR68 * DI59</f>
        <v>#VALUE!</v>
      </c>
      <c r="DD59" s="113" t="e" cm="1">
        <f t="array" aca="1" ref="DD59" ca="1">INDEX([1]Tables!$EA$4:$EE$60,MATCH([1]Tables!$C$22&amp;$BX59, [1]Tables!$EA$4:$EA$60, 0), [1]Tables!$ED$1) * BS68 * IFERROR(BZ68/BN59, 0) +  BS68 * DJ59</f>
        <v>#VALUE!</v>
      </c>
      <c r="DE59" s="113" t="e" cm="1">
        <f t="array" aca="1" ref="DE59" ca="1">INDEX([1]Tables!$EA$4:$EE$60,MATCH([1]Tables!$C$22&amp;$BX59, [1]Tables!$EA$4:$EA$60, 0), [1]Tables!$ED$1) * BT68 * IFERROR(CA68/BO59, 0) +  BT68 * DK59</f>
        <v>#VALUE!</v>
      </c>
      <c r="DF59" s="113" t="e" cm="1">
        <f t="array" aca="1" ref="DF59" ca="1">INDEX([1]Tables!$EA$4:$EE$60,MATCH([1]Tables!$C$22&amp;$BX59, [1]Tables!$EA$4:$EA$60, 0), [1]Tables!$ED$1) * BU68 * IFERROR(CB68/BP59, 0) +  BU68 * DL59</f>
        <v>#VALUE!</v>
      </c>
      <c r="DG59" s="114" t="e" cm="1">
        <f t="array" aca="1" ref="DG59" ca="1">INDEX([1]Tables!$EA$4:$EE$60,MATCH([1]Tables!$C$22&amp;$BX59, [1]Tables!$EA$4:$EA$60, 0), [1]Tables!$ED$1) * BV68 * IFERROR(CC68/BQ59, 0) +  BV68 * DM59</f>
        <v>#VALUE!</v>
      </c>
      <c r="DI59" s="115" cm="1">
        <f t="array" aca="1" ref="DI59" ca="1">IFERROR((SUMPRODUCT((rng_out_sel_G_ind = "B") * (rng_out_mail_ind = $B59) * (rng_out_ds = $C59) * (rng_out_sel_sp_ind = $D59) * (rng_out_sel_excl_ind = $E59) * (rng_out_post_reb_ind_yr1 = 1) * (rng_out_rx_post_yr1*rng_out_340B))/[1]Tables!$AT$4)/AV59, 0)</f>
        <v>0</v>
      </c>
      <c r="DJ59" s="116" cm="1">
        <f t="array" aca="1" ref="DJ59" ca="1">IFERROR((SUMPRODUCT((rng_out_sel_G_ind = "B") * (rng_out_mail_ind = $B59) * (rng_out_ds = $C59) * (rng_out_sel_sp_ind = $D59) * (rng_out_sel_excl_ind = $E59) * (rng_out_post_reb_ind_yr2 = 1) * (rng_out_rx_post_yr2*rng_out_340B))/[1]Tables!$AT$4)/AW59, 0)</f>
        <v>0</v>
      </c>
      <c r="DK59" s="116" cm="1">
        <f t="array" aca="1" ref="DK59" ca="1">IFERROR((SUMPRODUCT((rng_out_sel_G_ind = "B") * (rng_out_mail_ind = $B59) * (rng_out_ds = $C59) * (rng_out_sel_sp_ind = $D59) * (rng_out_sel_excl_ind = $E59) * (rng_out_post_reb_ind_yr3 = 1) * (rng_out_rx_post_yr3*rng_out_340B))/[1]Tables!$AT$4)/AX59, 0)</f>
        <v>0</v>
      </c>
      <c r="DL59" s="116" cm="1">
        <f t="array" aca="1" ref="DL59" ca="1">IFERROR((SUMPRODUCT((rng_out_sel_G_ind = "B") * (rng_out_mail_ind = $B59) * (rng_out_ds = $C59) * (rng_out_sel_sp_ind = $D59) * (rng_out_sel_excl_ind = $E59) * (rng_out_post_reb_ind_yr4 = 1) * (rng_out_rx_post_yr4*rng_out_340B))/[1]Tables!$AT$4)/AY59, 0)</f>
        <v>0</v>
      </c>
      <c r="DM59" s="117" cm="1">
        <f t="array" aca="1" ref="DM59" ca="1">IFERROR((SUMPRODUCT((rng_out_sel_G_ind = "B") * (rng_out_mail_ind = $B59) * (rng_out_ds = $C59) * (rng_out_sel_sp_ind = $D59) * (rng_out_sel_excl_ind = $E59) * (rng_out_post_reb_ind_yr5 = 1) * (rng_out_rx_post_yr5*rng_out_340B))/[1]Tables!$AT$4)/AZ59, 0)</f>
        <v>0</v>
      </c>
    </row>
    <row r="60" spans="1:117" x14ac:dyDescent="0.35">
      <c r="B60" s="105" t="s">
        <v>16</v>
      </c>
      <c r="C60" s="106"/>
      <c r="D60" s="106" t="s">
        <v>12</v>
      </c>
      <c r="E60" s="107" t="s">
        <v>12</v>
      </c>
      <c r="F60" s="106">
        <v>1</v>
      </c>
      <c r="H60" s="118" t="s">
        <v>7</v>
      </c>
      <c r="I60" s="203" t="e" cm="1">
        <f t="array" aca="1" ref="I60" ca="1">SUMIFS(rng_out_rx_pre_yr1,rng_out_sel_G_ind,"G",rng_out_mail_ind,$B60,rng_out_sel_sp_ind,$D60)-I110</f>
        <v>#VALUE!</v>
      </c>
      <c r="J60" s="195" t="e" cm="1">
        <f t="array" aca="1" ref="J60" ca="1">SUMIFS(rng_out_rx_pre_yr2,rng_out_sel_G_ind,"G",rng_out_mail_ind,$B60,rng_out_sel_sp_ind,$D60)-J110</f>
        <v>#VALUE!</v>
      </c>
      <c r="K60" s="195" t="e" cm="1">
        <f t="array" aca="1" ref="K60" ca="1">SUMIFS(rng_out_rx_pre_yr3,rng_out_sel_G_ind,"G",rng_out_mail_ind,$B60,rng_out_sel_sp_ind,$D60)-K110</f>
        <v>#VALUE!</v>
      </c>
      <c r="L60" s="195" t="e" cm="1">
        <f t="array" aca="1" ref="L60" ca="1">SUMIFS(rng_out_rx_pre_yr4,rng_out_sel_G_ind,"G",rng_out_mail_ind,$B60,rng_out_sel_sp_ind,$D60)-L110</f>
        <v>#VALUE!</v>
      </c>
      <c r="M60" s="204" t="e" cm="1">
        <f t="array" aca="1" ref="M60" ca="1">SUMIFS(rng_out_rx_pre_yr5,rng_out_sel_G_ind,"G",rng_out_mail_ind,$B60,rng_out_sel_sp_ind,$D60)-M110</f>
        <v>#VALUE!</v>
      </c>
      <c r="N60" s="203" t="e" cm="1">
        <f t="array" aca="1" ref="N60" ca="1">SUMIFS(rng_out_rx_pre_yr1,rng_out_sel_G_ind,"B",rng_out_mail_ind,$B60,rng_out_sel_sp_ind,$D60)-N110</f>
        <v>#VALUE!</v>
      </c>
      <c r="O60" s="195" t="e" cm="1">
        <f t="array" aca="1" ref="O60" ca="1">SUMIFS(rng_out_rx_pre_yr2,rng_out_sel_G_ind,"B",rng_out_mail_ind,$B60,rng_out_sel_sp_ind,$D60)-O110</f>
        <v>#VALUE!</v>
      </c>
      <c r="P60" s="195" t="e" cm="1">
        <f t="array" aca="1" ref="P60" ca="1">SUMIFS(rng_out_rx_pre_yr3,rng_out_sel_G_ind,"B",rng_out_mail_ind,$B60,rng_out_sel_sp_ind,$D60)-P110</f>
        <v>#VALUE!</v>
      </c>
      <c r="Q60" s="195" t="e" cm="1">
        <f t="array" aca="1" ref="Q60" ca="1">SUMIFS(rng_out_rx_pre_yr4,rng_out_sel_G_ind,"B",rng_out_mail_ind,$B60,rng_out_sel_sp_ind,$D60)-Q110</f>
        <v>#VALUE!</v>
      </c>
      <c r="R60" s="204" t="e" cm="1">
        <f t="array" aca="1" ref="R60" ca="1">SUMIFS(rng_out_rx_pre_yr5,rng_out_sel_G_ind,"B",rng_out_mail_ind,$B60,rng_out_sel_sp_ind,$D60)-R110</f>
        <v>#VALUE!</v>
      </c>
      <c r="S60" s="205" t="e">
        <f t="shared" ca="1" si="31"/>
        <v>#VALUE!</v>
      </c>
      <c r="T60" s="206" t="e">
        <f t="shared" ca="1" si="31"/>
        <v>#VALUE!</v>
      </c>
      <c r="U60" s="206" t="e">
        <f t="shared" ca="1" si="31"/>
        <v>#VALUE!</v>
      </c>
      <c r="V60" s="206" t="e">
        <f t="shared" ca="1" si="31"/>
        <v>#VALUE!</v>
      </c>
      <c r="W60" s="207" t="e">
        <f t="shared" ca="1" si="31"/>
        <v>#VALUE!</v>
      </c>
      <c r="Y60" s="119" t="s">
        <v>7</v>
      </c>
      <c r="Z60" s="208">
        <f ca="1">IFERROR(I60/[1]Tables!$AT$4, 0)</f>
        <v>0</v>
      </c>
      <c r="AA60" s="206">
        <f ca="1">IFERROR(J60/[1]Tables!$AT$4, 0)</f>
        <v>0</v>
      </c>
      <c r="AB60" s="206">
        <f ca="1">IFERROR(K60/[1]Tables!$AT$4, 0)</f>
        <v>0</v>
      </c>
      <c r="AC60" s="206">
        <f ca="1">IFERROR(L60/[1]Tables!$AT$4, 0)</f>
        <v>0</v>
      </c>
      <c r="AD60" s="209">
        <f ca="1">IFERROR(M60/[1]Tables!$AT$4, 0)</f>
        <v>0</v>
      </c>
      <c r="AE60" s="208">
        <f ca="1">IFERROR(N60/[1]Tables!$AT$4, 0)</f>
        <v>0</v>
      </c>
      <c r="AF60" s="206">
        <f ca="1">IFERROR(O60/[1]Tables!$AT$4, 0)</f>
        <v>0</v>
      </c>
      <c r="AG60" s="206">
        <f ca="1">IFERROR(P60/[1]Tables!$AT$4, 0)</f>
        <v>0</v>
      </c>
      <c r="AH60" s="206">
        <f ca="1">IFERROR(Q60/[1]Tables!$AT$4, 0)</f>
        <v>0</v>
      </c>
      <c r="AI60" s="209">
        <f ca="1">IFERROR(R60/[1]Tables!$AT$4, 0)</f>
        <v>0</v>
      </c>
      <c r="AJ60" s="208">
        <f t="shared" ca="1" si="32"/>
        <v>0</v>
      </c>
      <c r="AK60" s="206">
        <f t="shared" ca="1" si="32"/>
        <v>0</v>
      </c>
      <c r="AL60" s="206">
        <f t="shared" ca="1" si="32"/>
        <v>0</v>
      </c>
      <c r="AM60" s="206">
        <f t="shared" ca="1" si="32"/>
        <v>0</v>
      </c>
      <c r="AN60" s="209">
        <f t="shared" ca="1" si="32"/>
        <v>0</v>
      </c>
      <c r="AP60" s="120" t="s">
        <v>7</v>
      </c>
      <c r="AQ60" s="210" t="e" cm="1">
        <f t="array" aca="1" ref="AQ60" ca="1">IFERROR(IF(OR(input_Shift="No", [1]Tables!$BN$4=1), 0, (SUMIFS(rng_out_rx_post_yr1, rng_out_mail_ind, $B60, rng_out_sel_G_ind,"B", rng_out_sel_sp_ind, $D60, rng_out_MSB_excl, $F60)/[1]Tables!$AT$4)/[1]Tables!$BN$4*(1-[1]Tables!$BN$4)), 0) + IFERROR(SUMIFS(rng_out_rx_post_yr1, rng_out_sel_G_ind, "G", rng_out_mail_ind, $B60, rng_out_sel_sp_ind, $D60)/[1]Tables!$AT$4, 0) - AQ110</f>
        <v>#VALUE!</v>
      </c>
      <c r="AR60" s="195" t="e" cm="1">
        <f t="array" aca="1" ref="AR60" ca="1">IFERROR(IF(OR(input_Shift="No", [1]Tables!$BN$4=1), 0, (SUMIFS(rng_out_rx_post_yr2, rng_out_mail_ind, $B60, rng_out_sel_G_ind,"B", rng_out_sel_sp_ind, $D60, rng_out_MSB_excl, $F60)/[1]Tables!$AT$4)/[1]Tables!$BN$4*(1-[1]Tables!$BN$4)), 0) + IFERROR(SUMIFS(rng_out_rx_post_yr2, rng_out_sel_G_ind, "G", rng_out_mail_ind, $B60, rng_out_sel_sp_ind, $D60)/[1]Tables!$AT$4, 0) - AR110</f>
        <v>#VALUE!</v>
      </c>
      <c r="AS60" s="195" t="e" cm="1">
        <f t="array" aca="1" ref="AS60" ca="1">IFERROR(IF(OR(input_Shift="No", [1]Tables!$BN$4=1), 0, (SUMIFS(rng_out_rx_post_yr3, rng_out_mail_ind, $B60, rng_out_sel_G_ind,"B", rng_out_sel_sp_ind, $D60, rng_out_MSB_excl, $F60)/[1]Tables!$AT$4)/[1]Tables!$BN$4*(1-[1]Tables!$BN$4)), 0) + IFERROR(SUMIFS(rng_out_rx_post_yr3, rng_out_sel_G_ind, "G", rng_out_mail_ind, $B60, rng_out_sel_sp_ind, $D60)/[1]Tables!$AT$4, 0) - AS110</f>
        <v>#VALUE!</v>
      </c>
      <c r="AT60" s="195" t="e" cm="1">
        <f t="array" aca="1" ref="AT60" ca="1">IFERROR(IF(OR(input_Shift="No", [1]Tables!$BN$4=1), 0, (SUMIFS(rng_out_rx_post_yr4, rng_out_mail_ind, $B60, rng_out_sel_G_ind,"B", rng_out_sel_sp_ind, $D60, rng_out_MSB_excl, $F60)/[1]Tables!$AT$4)/[1]Tables!$BN$4*(1-[1]Tables!$BN$4)), 0) + IFERROR(SUMIFS(rng_out_rx_post_yr4, rng_out_sel_G_ind, "G", rng_out_mail_ind, $B60, rng_out_sel_sp_ind, $D60)/[1]Tables!$AT$4, 0) - AT110</f>
        <v>#VALUE!</v>
      </c>
      <c r="AU60" s="211" t="e" cm="1">
        <f t="array" aca="1" ref="AU60" ca="1">IFERROR(IF(OR(input_Shift="No", [1]Tables!$BN$4=1), 0, (SUMIFS(rng_out_rx_post_yr5, rng_out_mail_ind, $B60, rng_out_sel_G_ind,"B", rng_out_sel_sp_ind, $D60, rng_out_MSB_excl, $F60)/[1]Tables!$AT$4)/[1]Tables!$BN$4*(1-[1]Tables!$BN$4)), 0) + IFERROR(SUMIFS(rng_out_rx_post_yr5, rng_out_sel_G_ind, "G", rng_out_mail_ind, $B60, rng_out_sel_sp_ind, $D60)/[1]Tables!$AT$4, 0) - AU110</f>
        <v>#VALUE!</v>
      </c>
      <c r="AV60" s="210" t="e" cm="1">
        <f t="array" aca="1" ref="AV60" ca="1">SUMIFS(rng_out_rx_post_yr1, rng_out_sel_G_ind, "B", rng_out_mail_ind, $B60, rng_out_sel_sp_ind, $D60)/[1]Tables!$AT$4 - AV110</f>
        <v>#VALUE!</v>
      </c>
      <c r="AW60" s="195" t="e" cm="1">
        <f t="array" aca="1" ref="AW60" ca="1">SUMIFS(rng_out_rx_post_yr2, rng_out_sel_G_ind, "B", rng_out_mail_ind, $B60, rng_out_sel_sp_ind, $D60)/[1]Tables!$AT$4 - AW110</f>
        <v>#VALUE!</v>
      </c>
      <c r="AX60" s="195" t="e" cm="1">
        <f t="array" aca="1" ref="AX60" ca="1">SUMIFS(rng_out_rx_post_yr3, rng_out_sel_G_ind, "B", rng_out_mail_ind, $B60, rng_out_sel_sp_ind, $D60)/[1]Tables!$AT$4 - AX110</f>
        <v>#VALUE!</v>
      </c>
      <c r="AY60" s="195" t="e" cm="1">
        <f t="array" aca="1" ref="AY60" ca="1">SUMIFS(rng_out_rx_post_yr4, rng_out_sel_G_ind, "B", rng_out_mail_ind, $B60, rng_out_sel_sp_ind, $D60)/[1]Tables!$AT$4 - AY110</f>
        <v>#VALUE!</v>
      </c>
      <c r="AZ60" s="211" t="e" cm="1">
        <f t="array" aca="1" ref="AZ60" ca="1">SUMIFS(rng_out_rx_post_yr5, rng_out_sel_G_ind, "B", rng_out_mail_ind, $B60, rng_out_sel_sp_ind, $D60)/[1]Tables!$AT$4 - AZ110</f>
        <v>#VALUE!</v>
      </c>
      <c r="BA60" s="206" t="e">
        <f t="shared" ca="1" si="33"/>
        <v>#VALUE!</v>
      </c>
      <c r="BB60" s="206" t="e">
        <f t="shared" ca="1" si="33"/>
        <v>#VALUE!</v>
      </c>
      <c r="BC60" s="206" t="e">
        <f t="shared" ca="1" si="33"/>
        <v>#VALUE!</v>
      </c>
      <c r="BD60" s="206" t="e">
        <f t="shared" ca="1" si="33"/>
        <v>#VALUE!</v>
      </c>
      <c r="BE60" s="212" t="e">
        <f t="shared" ca="1" si="33"/>
        <v>#VALUE!</v>
      </c>
      <c r="BG60" s="121" t="s">
        <v>7</v>
      </c>
      <c r="BH60" s="213" t="e">
        <f t="shared" ca="1" si="34"/>
        <v>#VALUE!</v>
      </c>
      <c r="BI60" s="206" t="e">
        <f t="shared" ca="1" si="34"/>
        <v>#VALUE!</v>
      </c>
      <c r="BJ60" s="206" t="e">
        <f t="shared" ca="1" si="34"/>
        <v>#VALUE!</v>
      </c>
      <c r="BK60" s="206" t="e">
        <f t="shared" ca="1" si="34"/>
        <v>#VALUE!</v>
      </c>
      <c r="BL60" s="214" t="e">
        <f t="shared" ca="1" si="34"/>
        <v>#VALUE!</v>
      </c>
      <c r="BM60" s="213" t="e">
        <f t="shared" ca="1" si="34"/>
        <v>#VALUE!</v>
      </c>
      <c r="BN60" s="206" t="e">
        <f t="shared" ca="1" si="34"/>
        <v>#VALUE!</v>
      </c>
      <c r="BO60" s="206" t="e">
        <f t="shared" ca="1" si="34"/>
        <v>#VALUE!</v>
      </c>
      <c r="BP60" s="206" t="e">
        <f t="shared" ca="1" si="34"/>
        <v>#VALUE!</v>
      </c>
      <c r="BQ60" s="214" t="e">
        <f t="shared" ca="1" si="34"/>
        <v>#VALUE!</v>
      </c>
      <c r="BR60" s="213" t="e">
        <f t="shared" ca="1" si="35"/>
        <v>#VALUE!</v>
      </c>
      <c r="BS60" s="206" t="e">
        <f t="shared" ca="1" si="35"/>
        <v>#VALUE!</v>
      </c>
      <c r="BT60" s="206" t="e">
        <f t="shared" ca="1" si="35"/>
        <v>#VALUE!</v>
      </c>
      <c r="BU60" s="206" t="e">
        <f t="shared" ca="1" si="35"/>
        <v>#VALUE!</v>
      </c>
      <c r="BV60" s="214" t="e">
        <f t="shared" ca="1" si="35"/>
        <v>#VALUE!</v>
      </c>
      <c r="BX60" s="121" t="s">
        <v>7</v>
      </c>
      <c r="BY60" s="213" t="e">
        <f t="shared" ca="1" si="36"/>
        <v>#VALUE!</v>
      </c>
      <c r="BZ60" s="206" t="e">
        <f t="shared" ca="1" si="36"/>
        <v>#VALUE!</v>
      </c>
      <c r="CA60" s="206" t="e">
        <f t="shared" ca="1" si="36"/>
        <v>#VALUE!</v>
      </c>
      <c r="CB60" s="206" t="e">
        <f t="shared" ca="1" si="36"/>
        <v>#VALUE!</v>
      </c>
      <c r="CC60" s="214" t="e">
        <f t="shared" ca="1" si="36"/>
        <v>#VALUE!</v>
      </c>
      <c r="CD60" s="213" t="e">
        <f t="shared" ca="1" si="37"/>
        <v>#VALUE!</v>
      </c>
      <c r="CE60" s="206" t="e">
        <f t="shared" ca="1" si="37"/>
        <v>#VALUE!</v>
      </c>
      <c r="CF60" s="206" t="e">
        <f t="shared" ca="1" si="37"/>
        <v>#VALUE!</v>
      </c>
      <c r="CG60" s="206" t="e">
        <f t="shared" ca="1" si="37"/>
        <v>#VALUE!</v>
      </c>
      <c r="CH60" s="214" t="e">
        <f t="shared" ca="1" si="37"/>
        <v>#VALUE!</v>
      </c>
      <c r="CI60" s="213" t="e">
        <f t="shared" ca="1" si="38"/>
        <v>#VALUE!</v>
      </c>
      <c r="CJ60" s="206" t="e">
        <f t="shared" ca="1" si="38"/>
        <v>#VALUE!</v>
      </c>
      <c r="CK60" s="206" t="e">
        <f t="shared" ca="1" si="38"/>
        <v>#VALUE!</v>
      </c>
      <c r="CL60" s="206" t="e">
        <f t="shared" ca="1" si="38"/>
        <v>#VALUE!</v>
      </c>
      <c r="CM60" s="214" t="e">
        <f t="shared" ca="1" si="38"/>
        <v>#VALUE!</v>
      </c>
      <c r="CO60" s="213" cm="1">
        <f t="array" aca="1" ref="CO60" ca="1">_xlfn.SINGLE(IFERROR(SUMIFS(rng_out_rx_base, rng_out_sel_G_ind, "G", rng_out_mail_ind, $B60, rng_out_sel_sp_ind, $D60, rng_out_sel_excl_ind,$E60)/[1]Tables!$AT$4, 0))</f>
        <v>0</v>
      </c>
      <c r="CP60" s="214" cm="1">
        <f t="array" aca="1" ref="CP60" ca="1">_xlfn.SINGLE(IFERROR(SUMIFS(rng_out_rx_base, rng_out_sel_G_ind, "B", rng_out_mail_ind, $B60, rng_out_sel_sp_ind, $D60, rng_out_sel_excl_ind,$E60)/[1]Tables!$AT$4, 0))</f>
        <v>0</v>
      </c>
      <c r="CQ60" s="220">
        <f ca="1">SUM(CO60:CP60)</f>
        <v>0</v>
      </c>
      <c r="CR60" s="213" cm="1">
        <f t="array" aca="1" ref="CR60" ca="1">_xlfn.SINGLE(IFERROR(SUMIFS(rng_out_qty_base, rng_out_sel_G_ind, "G", rng_out_mail_ind, $B60, rng_out_sel_sp_ind, $D60, rng_out_sel_excl_ind,$E60)/[1]Tables!$AT$4, 0))</f>
        <v>0</v>
      </c>
      <c r="CS60" s="206" cm="1">
        <f t="array" aca="1" ref="CS60" ca="1">_xlfn.SINGLE(IFERROR(SUMIFS(rng_out_qty_base, rng_out_sel_G_ind, "B", rng_out_mail_ind, $B60, rng_out_sel_sp_ind, $D60, rng_out_sel_excl_ind,$E60)/[1]Tables!$AT$4, 0))</f>
        <v>0</v>
      </c>
      <c r="CT60" s="221">
        <f ca="1">SUM(CR60:CS60)</f>
        <v>0</v>
      </c>
      <c r="CU60" s="213" cm="1">
        <f t="array" aca="1" ref="CU60" ca="1">_xlfn.SINGLE(IFERROR(SUMIFS(rng_out_ds_base, rng_out_sel_G_ind, "G", rng_out_mail_ind, $B60, rng_out_sel_sp_ind, $D60, rng_out_sel_excl_ind,$E60)/[1]Tables!$AT$4, 0))</f>
        <v>0</v>
      </c>
      <c r="CV60" s="214" cm="1">
        <f t="array" aca="1" ref="CV60" ca="1">_xlfn.SINGLE(IFERROR(SUMIFS(rng_out_ds_base, rng_out_sel_G_ind, "B", rng_out_mail_ind, $B60, rng_out_sel_sp_ind, $D60, rng_out_sel_excl_ind,$E60)/[1]Tables!$AT$4, 0))</f>
        <v>0</v>
      </c>
      <c r="CW60" s="220">
        <f ca="1">SUM(CU60:CV60)</f>
        <v>0</v>
      </c>
      <c r="DC60" s="112" t="e" cm="1">
        <f t="array" aca="1" ref="DC60" ca="1">INDEX([1]Tables!$EA$4:$EE$60,MATCH([1]Tables!$C$22&amp;$BX60, [1]Tables!$EA$4:$EA$60, 0), [1]Tables!$ED$1) * BR69 * IFERROR(BY69/BM60, 0) +  BR69 * DI60</f>
        <v>#VALUE!</v>
      </c>
      <c r="DD60" s="113" t="e" cm="1">
        <f t="array" aca="1" ref="DD60" ca="1">INDEX([1]Tables!$EA$4:$EE$60,MATCH([1]Tables!$C$22&amp;$BX60, [1]Tables!$EA$4:$EA$60, 0), [1]Tables!$ED$1) * BS69 * IFERROR(BZ69/BN60, 0) +  BS69 * DJ60</f>
        <v>#VALUE!</v>
      </c>
      <c r="DE60" s="113" t="e" cm="1">
        <f t="array" aca="1" ref="DE60" ca="1">INDEX([1]Tables!$EA$4:$EE$60,MATCH([1]Tables!$C$22&amp;$BX60, [1]Tables!$EA$4:$EA$60, 0), [1]Tables!$ED$1) * BT69 * IFERROR(CA69/BO60, 0) +  BT69 * DK60</f>
        <v>#VALUE!</v>
      </c>
      <c r="DF60" s="113" t="e" cm="1">
        <f t="array" aca="1" ref="DF60" ca="1">INDEX([1]Tables!$EA$4:$EE$60,MATCH([1]Tables!$C$22&amp;$BX60, [1]Tables!$EA$4:$EA$60, 0), [1]Tables!$ED$1) * BU69 * IFERROR(CB69/BP60, 0) +  BU69 * DL60</f>
        <v>#VALUE!</v>
      </c>
      <c r="DG60" s="114" t="e" cm="1">
        <f t="array" aca="1" ref="DG60" ca="1">INDEX([1]Tables!$EA$4:$EE$60,MATCH([1]Tables!$C$22&amp;$BX60, [1]Tables!$EA$4:$EA$60, 0), [1]Tables!$ED$1) * BV69 * IFERROR(CC69/BQ60, 0) +  BV69 * DM60</f>
        <v>#VALUE!</v>
      </c>
      <c r="DI60" s="115" cm="1">
        <f t="array" aca="1" ref="DI60" ca="1">IFERROR((SUMPRODUCT((rng_out_sel_G_ind = "B") * (rng_out_mail_ind = $B60) * (rng_out_sel_sp_ind = $D60) * (rng_out_sel_excl_ind = $E60) * (rng_out_post_reb_ind_yr1 = 1) * (rng_out_rx_post_yr1*rng_out_340B))/[1]Tables!$AT$4)/AV60, 0)</f>
        <v>0</v>
      </c>
      <c r="DJ60" s="116" cm="1">
        <f t="array" aca="1" ref="DJ60" ca="1">IFERROR((SUMPRODUCT((rng_out_sel_G_ind = "B") * (rng_out_mail_ind = $B60) * (rng_out_sel_sp_ind = $D60) * (rng_out_sel_excl_ind = $E60) * (rng_out_post_reb_ind_yr2 = 1) * (rng_out_rx_post_yr2*rng_out_340B))/[1]Tables!$AT$4)/AW60, 0)</f>
        <v>0</v>
      </c>
      <c r="DK60" s="116" cm="1">
        <f t="array" aca="1" ref="DK60" ca="1">IFERROR((SUMPRODUCT((rng_out_sel_G_ind = "B") * (rng_out_mail_ind = $B60) * (rng_out_sel_sp_ind = $D60) * (rng_out_sel_excl_ind = $E60) * (rng_out_post_reb_ind_yr3 = 1) * (rng_out_rx_post_yr3*rng_out_340B))/[1]Tables!$AT$4)/AX60, 0)</f>
        <v>0</v>
      </c>
      <c r="DL60" s="116" cm="1">
        <f t="array" aca="1" ref="DL60" ca="1">IFERROR((SUMPRODUCT((rng_out_sel_G_ind = "B") * (rng_out_mail_ind = $B60) * (rng_out_sel_sp_ind = $D60) * (rng_out_sel_excl_ind = $E60) * (rng_out_post_reb_ind_yr4 = 1) * (rng_out_rx_post_yr4*rng_out_340B))/[1]Tables!$AT$4)/AY60, 0)</f>
        <v>0</v>
      </c>
      <c r="DM60" s="117" cm="1">
        <f t="array" aca="1" ref="DM60" ca="1">IFERROR((SUMPRODUCT((rng_out_sel_G_ind = "B") * (rng_out_mail_ind = $B60) * (rng_out_sel_sp_ind = $D60) * (rng_out_sel_excl_ind = $E60) * (rng_out_post_reb_ind_yr5 = 1) * (rng_out_rx_post_yr5*rng_out_340B))/[1]Tables!$AT$4)/AZ60, 0)</f>
        <v>0</v>
      </c>
    </row>
    <row r="61" spans="1:117" ht="15" thickBot="1" x14ac:dyDescent="0.4">
      <c r="B61" s="122"/>
      <c r="C61" s="123"/>
      <c r="D61" s="123" t="s">
        <v>13</v>
      </c>
      <c r="E61" s="124" t="s">
        <v>12</v>
      </c>
      <c r="F61" s="106">
        <v>1</v>
      </c>
      <c r="H61" s="118" t="s">
        <v>17</v>
      </c>
      <c r="I61" s="203" t="e" cm="1">
        <f t="array" aca="1" ref="I61" ca="1">SUMIFS(rng_out_rx_pre_yr1,rng_out_sel_G_ind,"G",rng_out_sel_sp_ind,$D61)-I111</f>
        <v>#VALUE!</v>
      </c>
      <c r="J61" s="195" t="e" cm="1">
        <f t="array" aca="1" ref="J61" ca="1">SUMIFS(rng_out_rx_pre_yr2,rng_out_sel_G_ind,"G",rng_out_sel_sp_ind,$D61)-J111</f>
        <v>#VALUE!</v>
      </c>
      <c r="K61" s="195" t="e" cm="1">
        <f t="array" aca="1" ref="K61" ca="1">SUMIFS(rng_out_rx_pre_yr3,rng_out_sel_G_ind,"G",rng_out_sel_sp_ind,$D61)-K111</f>
        <v>#VALUE!</v>
      </c>
      <c r="L61" s="195" t="e" cm="1">
        <f t="array" aca="1" ref="L61" ca="1">SUMIFS(rng_out_rx_pre_yr4,rng_out_sel_G_ind,"G",rng_out_sel_sp_ind,$D61)-L111</f>
        <v>#VALUE!</v>
      </c>
      <c r="M61" s="222" t="e" cm="1">
        <f t="array" aca="1" ref="M61" ca="1">SUMIFS(rng_out_rx_pre_yr5,rng_out_sel_G_ind,"G",rng_out_sel_sp_ind,$D61)-M111</f>
        <v>#VALUE!</v>
      </c>
      <c r="N61" s="203" t="e" cm="1">
        <f t="array" aca="1" ref="N61" ca="1">SUMIFS(rng_out_rx_pre_yr1,rng_out_sel_G_ind,"B",rng_out_sel_sp_ind,$D61)-N111</f>
        <v>#VALUE!</v>
      </c>
      <c r="O61" s="195" t="e" cm="1">
        <f t="array" aca="1" ref="O61" ca="1">SUMIFS(rng_out_rx_pre_yr2,rng_out_sel_G_ind,"B",rng_out_sel_sp_ind,$D61)-O111</f>
        <v>#VALUE!</v>
      </c>
      <c r="P61" s="195" t="e" cm="1">
        <f t="array" aca="1" ref="P61" ca="1">SUMIFS(rng_out_rx_pre_yr3,rng_out_sel_G_ind,"B",rng_out_sel_sp_ind,$D61)-P111</f>
        <v>#VALUE!</v>
      </c>
      <c r="Q61" s="195" t="e" cm="1">
        <f t="array" aca="1" ref="Q61" ca="1">SUMIFS(rng_out_rx_pre_yr4,rng_out_sel_G_ind,"B",rng_out_sel_sp_ind,$D61)-Q111</f>
        <v>#VALUE!</v>
      </c>
      <c r="R61" s="222" t="e" cm="1">
        <f t="array" aca="1" ref="R61" ca="1">SUMIFS(rng_out_rx_pre_yr5,rng_out_sel_G_ind,"B",rng_out_sel_sp_ind,$D61)-R111</f>
        <v>#VALUE!</v>
      </c>
      <c r="S61" s="206" t="e">
        <f t="shared" ca="1" si="31"/>
        <v>#VALUE!</v>
      </c>
      <c r="T61" s="206" t="e">
        <f t="shared" ca="1" si="31"/>
        <v>#VALUE!</v>
      </c>
      <c r="U61" s="206" t="e">
        <f t="shared" ca="1" si="31"/>
        <v>#VALUE!</v>
      </c>
      <c r="V61" s="206" t="e">
        <f t="shared" ca="1" si="31"/>
        <v>#VALUE!</v>
      </c>
      <c r="W61" s="207" t="e">
        <f t="shared" ca="1" si="31"/>
        <v>#VALUE!</v>
      </c>
      <c r="Y61" s="119" t="s">
        <v>17</v>
      </c>
      <c r="Z61" s="223">
        <f ca="1">IFERROR(I61/[1]Tables!$AT$4, 0)</f>
        <v>0</v>
      </c>
      <c r="AA61" s="224">
        <f ca="1">IFERROR(J61/[1]Tables!$AT$4, 0)</f>
        <v>0</v>
      </c>
      <c r="AB61" s="224">
        <f ca="1">IFERROR(K61/[1]Tables!$AT$4, 0)</f>
        <v>0</v>
      </c>
      <c r="AC61" s="224">
        <f ca="1">IFERROR(L61/[1]Tables!$AT$4, 0)</f>
        <v>0</v>
      </c>
      <c r="AD61" s="225">
        <f ca="1">IFERROR(M61/[1]Tables!$AT$4, 0)</f>
        <v>0</v>
      </c>
      <c r="AE61" s="223">
        <f ca="1">IFERROR(N61/[1]Tables!$AT$4, 0)</f>
        <v>0</v>
      </c>
      <c r="AF61" s="224">
        <f ca="1">IFERROR(O61/[1]Tables!$AT$4, 0)</f>
        <v>0</v>
      </c>
      <c r="AG61" s="224">
        <f ca="1">IFERROR(P61/[1]Tables!$AT$4, 0)</f>
        <v>0</v>
      </c>
      <c r="AH61" s="224">
        <f ca="1">IFERROR(Q61/[1]Tables!$AT$4, 0)</f>
        <v>0</v>
      </c>
      <c r="AI61" s="225">
        <f ca="1">IFERROR(R61/[1]Tables!$AT$4, 0)</f>
        <v>0</v>
      </c>
      <c r="AJ61" s="224">
        <f t="shared" ca="1" si="32"/>
        <v>0</v>
      </c>
      <c r="AK61" s="224">
        <f t="shared" ca="1" si="32"/>
        <v>0</v>
      </c>
      <c r="AL61" s="224">
        <f t="shared" ca="1" si="32"/>
        <v>0</v>
      </c>
      <c r="AM61" s="224">
        <f t="shared" ca="1" si="32"/>
        <v>0</v>
      </c>
      <c r="AN61" s="225">
        <f t="shared" ca="1" si="32"/>
        <v>0</v>
      </c>
      <c r="AP61" s="120" t="s">
        <v>17</v>
      </c>
      <c r="AQ61" s="226" t="e" cm="1">
        <f t="array" aca="1" ref="AQ61" ca="1">IFERROR(IF(OR(input_Shift="No", [1]Tables!$BN$4=1), 0, (SUMIFS(rng_out_rx_post_yr1, rng_out_sel_G_ind,"B", rng_out_sel_sp_ind, $D61, rng_out_MSB_excl, $F61)/[1]Tables!$AT$4)/[1]Tables!$BN$4*(1-[1]Tables!$BN$4)), 0) + IFERROR(SUMIFS(rng_out_rx_post_yr1, rng_out_sel_G_ind, "G", rng_out_sel_sp_ind, $D61)/[1]Tables!$AT$4, 0) - AQ111</f>
        <v>#VALUE!</v>
      </c>
      <c r="AR61" s="227" t="e" cm="1">
        <f t="array" aca="1" ref="AR61" ca="1">IFERROR(IF(OR(input_Shift="No", [1]Tables!$BN$4=1), 0, (SUMIFS(rng_out_rx_post_yr2, rng_out_sel_G_ind,"B", rng_out_sel_sp_ind, $D61, rng_out_MSB_excl, $F61)/[1]Tables!$AT$4)/[1]Tables!$BN$4*(1-[1]Tables!$BN$4)), 0) + IFERROR(SUMIFS(rng_out_rx_post_yr2, rng_out_sel_G_ind, "G", rng_out_sel_sp_ind, $D61)/[1]Tables!$AT$4, 0) - AR111</f>
        <v>#VALUE!</v>
      </c>
      <c r="AS61" s="227" t="e" cm="1">
        <f t="array" aca="1" ref="AS61" ca="1">IFERROR(IF(OR(input_Shift="No", [1]Tables!$BN$4=1), 0, (SUMIFS(rng_out_rx_post_yr3, rng_out_sel_G_ind,"B", rng_out_sel_sp_ind, $D61, rng_out_MSB_excl, $F61)/[1]Tables!$AT$4)/[1]Tables!$BN$4*(1-[1]Tables!$BN$4)), 0) + IFERROR(SUMIFS(rng_out_rx_post_yr3, rng_out_sel_G_ind, "G", rng_out_sel_sp_ind, $D61)/[1]Tables!$AT$4, 0) - AS111</f>
        <v>#VALUE!</v>
      </c>
      <c r="AT61" s="227" t="e" cm="1">
        <f t="array" aca="1" ref="AT61" ca="1">IFERROR(IF(OR(input_Shift="No", [1]Tables!$BN$4=1), 0, (SUMIFS(rng_out_rx_post_yr4, rng_out_sel_G_ind,"B", rng_out_sel_sp_ind, $D61, rng_out_MSB_excl, $F61)/[1]Tables!$AT$4)/[1]Tables!$BN$4*(1-[1]Tables!$BN$4)), 0) + IFERROR(SUMIFS(rng_out_rx_post_yr4, rng_out_sel_G_ind, "G", rng_out_sel_sp_ind, $D61)/[1]Tables!$AT$4, 0) - AT111</f>
        <v>#VALUE!</v>
      </c>
      <c r="AU61" s="228" t="e" cm="1">
        <f t="array" aca="1" ref="AU61" ca="1">IFERROR(IF(OR(input_Shift="No", [1]Tables!$BN$4=1), 0, (SUMIFS(rng_out_rx_post_yr5, rng_out_sel_G_ind,"B", rng_out_sel_sp_ind, $D61, rng_out_MSB_excl, $F61)/[1]Tables!$AT$4)/[1]Tables!$BN$4*(1-[1]Tables!$BN$4)), 0) + IFERROR(SUMIFS(rng_out_rx_post_yr5, rng_out_sel_G_ind, "G", rng_out_sel_sp_ind, $D61)/[1]Tables!$AT$4, 0) - AU111</f>
        <v>#VALUE!</v>
      </c>
      <c r="AV61" s="226" t="e" cm="1">
        <f t="array" aca="1" ref="AV61" ca="1">SUMIFS(rng_out_rx_post_yr1, rng_out_sel_G_ind, "B", rng_out_sel_sp_ind, $D61)/[1]Tables!$AT$4 - AV111</f>
        <v>#VALUE!</v>
      </c>
      <c r="AW61" s="227" t="e" cm="1">
        <f t="array" aca="1" ref="AW61" ca="1">SUMIFS(rng_out_rx_post_yr2, rng_out_sel_G_ind, "B", rng_out_sel_sp_ind, $D61)/[1]Tables!$AT$4 - AW111</f>
        <v>#VALUE!</v>
      </c>
      <c r="AX61" s="227" t="e" cm="1">
        <f t="array" aca="1" ref="AX61" ca="1">SUMIFS(rng_out_rx_post_yr3, rng_out_sel_G_ind, "B", rng_out_sel_sp_ind, $D61)/[1]Tables!$AT$4 - AX111</f>
        <v>#VALUE!</v>
      </c>
      <c r="AY61" s="227" t="e" cm="1">
        <f t="array" aca="1" ref="AY61" ca="1">SUMIFS(rng_out_rx_post_yr4, rng_out_sel_G_ind, "B", rng_out_sel_sp_ind, $D61)/[1]Tables!$AT$4 - AY111</f>
        <v>#VALUE!</v>
      </c>
      <c r="AZ61" s="228" t="e" cm="1">
        <f t="array" aca="1" ref="AZ61" ca="1">SUMIFS(rng_out_rx_post_yr5, rng_out_sel_G_ind, "B", rng_out_sel_sp_ind, $D61)/[1]Tables!$AT$4 - AZ111</f>
        <v>#VALUE!</v>
      </c>
      <c r="BA61" s="229" t="e">
        <f t="shared" ca="1" si="33"/>
        <v>#VALUE!</v>
      </c>
      <c r="BB61" s="229" t="e">
        <f t="shared" ca="1" si="33"/>
        <v>#VALUE!</v>
      </c>
      <c r="BC61" s="229" t="e">
        <f t="shared" ca="1" si="33"/>
        <v>#VALUE!</v>
      </c>
      <c r="BD61" s="229" t="e">
        <f t="shared" ca="1" si="33"/>
        <v>#VALUE!</v>
      </c>
      <c r="BE61" s="230" t="e">
        <f t="shared" ca="1" si="33"/>
        <v>#VALUE!</v>
      </c>
      <c r="BG61" s="121" t="s">
        <v>17</v>
      </c>
      <c r="BH61" s="231" t="e">
        <f t="shared" ca="1" si="34"/>
        <v>#VALUE!</v>
      </c>
      <c r="BI61" s="232" t="e">
        <f t="shared" ca="1" si="34"/>
        <v>#VALUE!</v>
      </c>
      <c r="BJ61" s="232" t="e">
        <f t="shared" ca="1" si="34"/>
        <v>#VALUE!</v>
      </c>
      <c r="BK61" s="232" t="e">
        <f t="shared" ca="1" si="34"/>
        <v>#VALUE!</v>
      </c>
      <c r="BL61" s="233" t="e">
        <f t="shared" ca="1" si="34"/>
        <v>#VALUE!</v>
      </c>
      <c r="BM61" s="231" t="e">
        <f t="shared" ca="1" si="34"/>
        <v>#VALUE!</v>
      </c>
      <c r="BN61" s="232" t="e">
        <f t="shared" ca="1" si="34"/>
        <v>#VALUE!</v>
      </c>
      <c r="BO61" s="232" t="e">
        <f t="shared" ca="1" si="34"/>
        <v>#VALUE!</v>
      </c>
      <c r="BP61" s="232" t="e">
        <f t="shared" ca="1" si="34"/>
        <v>#VALUE!</v>
      </c>
      <c r="BQ61" s="233" t="e">
        <f t="shared" ca="1" si="34"/>
        <v>#VALUE!</v>
      </c>
      <c r="BR61" s="232" t="e">
        <f t="shared" ca="1" si="35"/>
        <v>#VALUE!</v>
      </c>
      <c r="BS61" s="232" t="e">
        <f t="shared" ca="1" si="35"/>
        <v>#VALUE!</v>
      </c>
      <c r="BT61" s="232" t="e">
        <f t="shared" ca="1" si="35"/>
        <v>#VALUE!</v>
      </c>
      <c r="BU61" s="232" t="e">
        <f t="shared" ca="1" si="35"/>
        <v>#VALUE!</v>
      </c>
      <c r="BV61" s="233" t="e">
        <f t="shared" ca="1" si="35"/>
        <v>#VALUE!</v>
      </c>
      <c r="BX61" s="121" t="s">
        <v>17</v>
      </c>
      <c r="BY61" s="231" t="e">
        <f t="shared" ca="1" si="36"/>
        <v>#VALUE!</v>
      </c>
      <c r="BZ61" s="232" t="e">
        <f t="shared" ca="1" si="36"/>
        <v>#VALUE!</v>
      </c>
      <c r="CA61" s="232" t="e">
        <f t="shared" ca="1" si="36"/>
        <v>#VALUE!</v>
      </c>
      <c r="CB61" s="232" t="e">
        <f t="shared" ca="1" si="36"/>
        <v>#VALUE!</v>
      </c>
      <c r="CC61" s="233" t="e">
        <f t="shared" ca="1" si="36"/>
        <v>#VALUE!</v>
      </c>
      <c r="CD61" s="231" t="e">
        <f t="shared" ca="1" si="37"/>
        <v>#VALUE!</v>
      </c>
      <c r="CE61" s="232" t="e">
        <f t="shared" ca="1" si="37"/>
        <v>#VALUE!</v>
      </c>
      <c r="CF61" s="232" t="e">
        <f t="shared" ca="1" si="37"/>
        <v>#VALUE!</v>
      </c>
      <c r="CG61" s="232" t="e">
        <f t="shared" ca="1" si="37"/>
        <v>#VALUE!</v>
      </c>
      <c r="CH61" s="233" t="e">
        <f t="shared" ca="1" si="37"/>
        <v>#VALUE!</v>
      </c>
      <c r="CI61" s="232" t="e">
        <f t="shared" ca="1" si="38"/>
        <v>#VALUE!</v>
      </c>
      <c r="CJ61" s="232" t="e">
        <f t="shared" ca="1" si="38"/>
        <v>#VALUE!</v>
      </c>
      <c r="CK61" s="232" t="e">
        <f t="shared" ca="1" si="38"/>
        <v>#VALUE!</v>
      </c>
      <c r="CL61" s="232" t="e">
        <f t="shared" ca="1" si="38"/>
        <v>#VALUE!</v>
      </c>
      <c r="CM61" s="233" t="e">
        <f t="shared" ca="1" si="38"/>
        <v>#VALUE!</v>
      </c>
      <c r="CO61" s="231" cm="1">
        <f t="array" aca="1" ref="CO61" ca="1">_xlfn.SINGLE(IFERROR(SUMIFS(rng_out_rx_base, rng_out_sel_G_ind, "G",rng_out_sel_sp_ind, $D61, rng_out_sel_excl_ind,$E61)/[1]Tables!$AT$4, 0))</f>
        <v>0</v>
      </c>
      <c r="CP61" s="233" cm="1">
        <f t="array" aca="1" ref="CP61" ca="1">_xlfn.SINGLE(IFERROR(SUMIFS(rng_out_rx_base, rng_out_sel_G_ind, "B",rng_out_sel_sp_ind, $D61, rng_out_sel_excl_ind,$E61)/[1]Tables!$AT$4, 0))</f>
        <v>0</v>
      </c>
      <c r="CQ61" s="234">
        <f ca="1">SUM(CO61:CP61)</f>
        <v>0</v>
      </c>
      <c r="CR61" s="231" cm="1">
        <f t="array" aca="1" ref="CR61" ca="1">_xlfn.SINGLE(IFERROR(SUMIFS(rng_out_qty_base, rng_out_sel_G_ind, "G", rng_out_sel_sp_ind, $D61, rng_out_sel_excl_ind,$E61)/[1]Tables!$AT$4, 0))</f>
        <v>0</v>
      </c>
      <c r="CS61" s="232" cm="1">
        <f t="array" aca="1" ref="CS61" ca="1">_xlfn.SINGLE(IFERROR(SUMIFS(rng_out_qty_base, rng_out_sel_G_ind, "B", rng_out_sel_sp_ind, $D61, rng_out_sel_excl_ind,$E61)/[1]Tables!$AT$4, 0))</f>
        <v>0</v>
      </c>
      <c r="CT61" s="235">
        <f ca="1">SUM(CR61:CS61)</f>
        <v>0</v>
      </c>
      <c r="CU61" s="231" cm="1">
        <f t="array" aca="1" ref="CU61" ca="1">_xlfn.SINGLE(IFERROR(SUMIFS(rng_out_ds_base, rng_out_sel_G_ind, "G", rng_out_sel_sp_ind, $D61, rng_out_sel_excl_ind,$E61)/[1]Tables!$AT$4, 0))</f>
        <v>0</v>
      </c>
      <c r="CV61" s="233" cm="1">
        <f t="array" aca="1" ref="CV61" ca="1">_xlfn.SINGLE(IFERROR(SUMIFS(rng_out_ds_base, rng_out_sel_G_ind, "B", rng_out_sel_sp_ind, $D61, rng_out_sel_excl_ind,$E61)/[1]Tables!$AT$4, 0))</f>
        <v>0</v>
      </c>
      <c r="CW61" s="234">
        <f ca="1">SUM(CU61:CV61)</f>
        <v>0</v>
      </c>
      <c r="DC61" s="148" t="e" cm="1">
        <f t="array" aca="1" ref="DC61" ca="1">INDEX([1]Tables!$EA$4:$EE$60,MATCH([1]Tables!$C$22&amp;$BX61, [1]Tables!$EA$4:$EA$60, 0), [1]Tables!$ED$1) * BR70 * IFERROR(BY70/BM61, 0) +  BR70 * DI61</f>
        <v>#VALUE!</v>
      </c>
      <c r="DD61" s="149" t="e" cm="1">
        <f t="array" aca="1" ref="DD61" ca="1">INDEX([1]Tables!$EA$4:$EE$60,MATCH([1]Tables!$C$22&amp;$BX61, [1]Tables!$EA$4:$EA$60, 0), [1]Tables!$ED$1) * BS70 * IFERROR(BZ70/BN61, 0) +  BS70 * DJ61</f>
        <v>#VALUE!</v>
      </c>
      <c r="DE61" s="149" t="e" cm="1">
        <f t="array" aca="1" ref="DE61" ca="1">INDEX([1]Tables!$EA$4:$EE$60,MATCH([1]Tables!$C$22&amp;$BX61, [1]Tables!$EA$4:$EA$60, 0), [1]Tables!$ED$1) * BT70 * IFERROR(CA70/BO61, 0) +  BT70 * DK61</f>
        <v>#VALUE!</v>
      </c>
      <c r="DF61" s="149" t="e" cm="1">
        <f t="array" aca="1" ref="DF61" ca="1">INDEX([1]Tables!$EA$4:$EE$60,MATCH([1]Tables!$C$22&amp;$BX61, [1]Tables!$EA$4:$EA$60, 0), [1]Tables!$ED$1) * BU70 * IFERROR(CB70/BP61, 0) +  BU70 * DL61</f>
        <v>#VALUE!</v>
      </c>
      <c r="DG61" s="150" t="e" cm="1">
        <f t="array" aca="1" ref="DG61" ca="1">INDEX([1]Tables!$EA$4:$EE$60,MATCH([1]Tables!$C$22&amp;$BX61, [1]Tables!$EA$4:$EA$60, 0), [1]Tables!$ED$1) * BV70 * IFERROR(CC70/BQ61, 0) +  BV70 * DM61</f>
        <v>#VALUE!</v>
      </c>
      <c r="DI61" s="151" cm="1">
        <f t="array" aca="1" ref="DI61" ca="1">IFERROR((SUMPRODUCT((rng_out_sel_G_ind = "B") * (rng_out_sel_sp_ind = $D61) * (rng_out_sel_excl_ind = $E61) * (rng_out_post_reb_ind_yr1 = 1) * (rng_out_rx_post_yr1*rng_out_340B))/[1]Tables!$AT$4)/AV61, 0)</f>
        <v>0</v>
      </c>
      <c r="DJ61" s="152" cm="1">
        <f t="array" aca="1" ref="DJ61" ca="1">IFERROR((SUMPRODUCT((rng_out_sel_G_ind = "B") * (rng_out_sel_sp_ind = $D61) * (rng_out_sel_excl_ind = $E61) * (rng_out_post_reb_ind_yr2 = 1) * (rng_out_rx_post_yr2*rng_out_340B))/[1]Tables!$AT$4)/AW61, 0)</f>
        <v>0</v>
      </c>
      <c r="DK61" s="152" cm="1">
        <f t="array" aca="1" ref="DK61" ca="1">IFERROR((SUMPRODUCT((rng_out_sel_G_ind = "B") * (rng_out_sel_sp_ind = $D61) * (rng_out_sel_excl_ind = $E61) * (rng_out_post_reb_ind_yr3 = 1) * (rng_out_rx_post_yr3*rng_out_340B))/[1]Tables!$AT$4)/AX61, 0)</f>
        <v>0</v>
      </c>
      <c r="DL61" s="152" cm="1">
        <f t="array" aca="1" ref="DL61" ca="1">IFERROR((SUMPRODUCT((rng_out_sel_G_ind = "B") * (rng_out_sel_sp_ind = $D61) * (rng_out_sel_excl_ind = $E61) * (rng_out_post_reb_ind_yr4 = 1) * (rng_out_rx_post_yr4*rng_out_340B))/[1]Tables!$AT$4)/AY61, 0)</f>
        <v>0</v>
      </c>
      <c r="DM61" s="153" cm="1">
        <f t="array" aca="1" ref="DM61" ca="1">IFERROR((SUMPRODUCT((rng_out_sel_G_ind = "B") * (rng_out_sel_sp_ind = $D61) * (rng_out_sel_excl_ind = $E61) * (rng_out_post_reb_ind_yr5 = 1) * (rng_out_rx_post_yr5*rng_out_340B))/[1]Tables!$AT$4)/AZ61, 0)</f>
        <v>0</v>
      </c>
    </row>
    <row r="62" spans="1:117" ht="15" thickBot="1" x14ac:dyDescent="0.4">
      <c r="B62" s="106"/>
      <c r="C62" s="236"/>
      <c r="D62" s="236" t="s">
        <v>29</v>
      </c>
      <c r="E62" s="237" t="str">
        <f>IF(sel_excl_nonRebatable=1, "Y", "N")</f>
        <v>N</v>
      </c>
      <c r="H62" s="154" t="s">
        <v>18</v>
      </c>
      <c r="I62" s="238" t="e">
        <f t="shared" ref="I62:N62" ca="1" si="39">SUM(I58:I61)</f>
        <v>#VALUE!</v>
      </c>
      <c r="J62" s="238" t="e">
        <f t="shared" ca="1" si="39"/>
        <v>#VALUE!</v>
      </c>
      <c r="K62" s="238" t="e">
        <f t="shared" ca="1" si="39"/>
        <v>#VALUE!</v>
      </c>
      <c r="L62" s="238" t="e">
        <f t="shared" ca="1" si="39"/>
        <v>#VALUE!</v>
      </c>
      <c r="M62" s="239" t="e">
        <f t="shared" ca="1" si="39"/>
        <v>#VALUE!</v>
      </c>
      <c r="N62" s="238" t="e">
        <f t="shared" ca="1" si="39"/>
        <v>#VALUE!</v>
      </c>
      <c r="O62" s="238" t="e">
        <f t="shared" ref="O62:W62" ca="1" si="40">SUM(O58:O61)</f>
        <v>#VALUE!</v>
      </c>
      <c r="P62" s="238" t="e">
        <f t="shared" ca="1" si="40"/>
        <v>#VALUE!</v>
      </c>
      <c r="Q62" s="238" t="e">
        <f t="shared" ca="1" si="40"/>
        <v>#VALUE!</v>
      </c>
      <c r="R62" s="239" t="e">
        <f t="shared" ca="1" si="40"/>
        <v>#VALUE!</v>
      </c>
      <c r="S62" s="238" t="e">
        <f t="shared" ca="1" si="40"/>
        <v>#VALUE!</v>
      </c>
      <c r="T62" s="238" t="e">
        <f t="shared" ca="1" si="40"/>
        <v>#VALUE!</v>
      </c>
      <c r="U62" s="238" t="e">
        <f t="shared" ca="1" si="40"/>
        <v>#VALUE!</v>
      </c>
      <c r="V62" s="238" t="e">
        <f t="shared" ca="1" si="40"/>
        <v>#VALUE!</v>
      </c>
      <c r="W62" s="239" t="e">
        <f t="shared" ca="1" si="40"/>
        <v>#VALUE!</v>
      </c>
      <c r="Y62" s="159" t="s">
        <v>18</v>
      </c>
      <c r="Z62" s="240">
        <f ca="1">SUM(Z58:Z61)</f>
        <v>0</v>
      </c>
      <c r="AA62" s="241">
        <f t="shared" ref="AA62:AN62" ca="1" si="41">SUM(AA58:AA61)</f>
        <v>0</v>
      </c>
      <c r="AB62" s="241">
        <f t="shared" ca="1" si="41"/>
        <v>0</v>
      </c>
      <c r="AC62" s="241">
        <f t="shared" ca="1" si="41"/>
        <v>0</v>
      </c>
      <c r="AD62" s="242">
        <f t="shared" ca="1" si="41"/>
        <v>0</v>
      </c>
      <c r="AE62" s="240">
        <f t="shared" ca="1" si="41"/>
        <v>0</v>
      </c>
      <c r="AF62" s="241">
        <f t="shared" ca="1" si="41"/>
        <v>0</v>
      </c>
      <c r="AG62" s="241">
        <f t="shared" ca="1" si="41"/>
        <v>0</v>
      </c>
      <c r="AH62" s="241">
        <f t="shared" ca="1" si="41"/>
        <v>0</v>
      </c>
      <c r="AI62" s="242">
        <f t="shared" ca="1" si="41"/>
        <v>0</v>
      </c>
      <c r="AJ62" s="241">
        <f t="shared" ca="1" si="41"/>
        <v>0</v>
      </c>
      <c r="AK62" s="241">
        <f t="shared" ca="1" si="41"/>
        <v>0</v>
      </c>
      <c r="AL62" s="241">
        <f t="shared" ca="1" si="41"/>
        <v>0</v>
      </c>
      <c r="AM62" s="241">
        <f t="shared" ca="1" si="41"/>
        <v>0</v>
      </c>
      <c r="AN62" s="242">
        <f t="shared" ca="1" si="41"/>
        <v>0</v>
      </c>
      <c r="AP62" s="166" t="s">
        <v>18</v>
      </c>
      <c r="AQ62" s="243" t="e">
        <f t="shared" ref="AQ62:BE62" ca="1" si="42">SUM(AQ58:AQ61)</f>
        <v>#VALUE!</v>
      </c>
      <c r="AR62" s="229" t="e">
        <f t="shared" ca="1" si="42"/>
        <v>#VALUE!</v>
      </c>
      <c r="AS62" s="229" t="e">
        <f t="shared" ca="1" si="42"/>
        <v>#VALUE!</v>
      </c>
      <c r="AT62" s="229" t="e">
        <f t="shared" ca="1" si="42"/>
        <v>#VALUE!</v>
      </c>
      <c r="AU62" s="230" t="e">
        <f t="shared" ca="1" si="42"/>
        <v>#VALUE!</v>
      </c>
      <c r="AV62" s="226" t="e">
        <f t="shared" ca="1" si="42"/>
        <v>#VALUE!</v>
      </c>
      <c r="AW62" s="227" t="e">
        <f t="shared" ca="1" si="42"/>
        <v>#VALUE!</v>
      </c>
      <c r="AX62" s="227" t="e">
        <f t="shared" ca="1" si="42"/>
        <v>#VALUE!</v>
      </c>
      <c r="AY62" s="227" t="e">
        <f t="shared" ca="1" si="42"/>
        <v>#VALUE!</v>
      </c>
      <c r="AZ62" s="228" t="e">
        <f t="shared" ca="1" si="42"/>
        <v>#VALUE!</v>
      </c>
      <c r="BA62" s="227" t="e">
        <f t="shared" ca="1" si="42"/>
        <v>#VALUE!</v>
      </c>
      <c r="BB62" s="227" t="e">
        <f t="shared" ca="1" si="42"/>
        <v>#VALUE!</v>
      </c>
      <c r="BC62" s="227" t="e">
        <f t="shared" ca="1" si="42"/>
        <v>#VALUE!</v>
      </c>
      <c r="BD62" s="227" t="e">
        <f t="shared" ca="1" si="42"/>
        <v>#VALUE!</v>
      </c>
      <c r="BE62" s="228" t="e">
        <f t="shared" ca="1" si="42"/>
        <v>#VALUE!</v>
      </c>
      <c r="BG62" s="171" t="s">
        <v>18</v>
      </c>
      <c r="BH62" s="244" t="e">
        <f ca="1">SUM(BH58:BH61)</f>
        <v>#VALUE!</v>
      </c>
      <c r="BI62" s="245" t="e">
        <f t="shared" ref="BI62:BV62" ca="1" si="43">SUM(BI58:BI61)</f>
        <v>#VALUE!</v>
      </c>
      <c r="BJ62" s="245" t="e">
        <f t="shared" ca="1" si="43"/>
        <v>#VALUE!</v>
      </c>
      <c r="BK62" s="245" t="e">
        <f t="shared" ca="1" si="43"/>
        <v>#VALUE!</v>
      </c>
      <c r="BL62" s="234" t="e">
        <f t="shared" ca="1" si="43"/>
        <v>#VALUE!</v>
      </c>
      <c r="BM62" s="244" t="e">
        <f t="shared" ca="1" si="43"/>
        <v>#VALUE!</v>
      </c>
      <c r="BN62" s="245" t="e">
        <f t="shared" ca="1" si="43"/>
        <v>#VALUE!</v>
      </c>
      <c r="BO62" s="245" t="e">
        <f t="shared" ca="1" si="43"/>
        <v>#VALUE!</v>
      </c>
      <c r="BP62" s="245" t="e">
        <f t="shared" ca="1" si="43"/>
        <v>#VALUE!</v>
      </c>
      <c r="BQ62" s="234" t="e">
        <f t="shared" ca="1" si="43"/>
        <v>#VALUE!</v>
      </c>
      <c r="BR62" s="245" t="e">
        <f t="shared" ca="1" si="43"/>
        <v>#VALUE!</v>
      </c>
      <c r="BS62" s="245" t="e">
        <f t="shared" ca="1" si="43"/>
        <v>#VALUE!</v>
      </c>
      <c r="BT62" s="245" t="e">
        <f t="shared" ca="1" si="43"/>
        <v>#VALUE!</v>
      </c>
      <c r="BU62" s="245" t="e">
        <f t="shared" ca="1" si="43"/>
        <v>#VALUE!</v>
      </c>
      <c r="BV62" s="234" t="e">
        <f t="shared" ca="1" si="43"/>
        <v>#VALUE!</v>
      </c>
      <c r="BX62" s="171" t="s">
        <v>18</v>
      </c>
      <c r="BY62" s="244" t="e">
        <f ca="1">SUM(BY58:BY61)</f>
        <v>#VALUE!</v>
      </c>
      <c r="BZ62" s="245" t="e">
        <f t="shared" ref="BZ62:CM62" ca="1" si="44">SUM(BZ58:BZ61)</f>
        <v>#VALUE!</v>
      </c>
      <c r="CA62" s="245" t="e">
        <f t="shared" ca="1" si="44"/>
        <v>#VALUE!</v>
      </c>
      <c r="CB62" s="245" t="e">
        <f t="shared" ca="1" si="44"/>
        <v>#VALUE!</v>
      </c>
      <c r="CC62" s="234" t="e">
        <f t="shared" ca="1" si="44"/>
        <v>#VALUE!</v>
      </c>
      <c r="CD62" s="244" t="e">
        <f t="shared" ca="1" si="44"/>
        <v>#VALUE!</v>
      </c>
      <c r="CE62" s="245" t="e">
        <f t="shared" ca="1" si="44"/>
        <v>#VALUE!</v>
      </c>
      <c r="CF62" s="245" t="e">
        <f t="shared" ca="1" si="44"/>
        <v>#VALUE!</v>
      </c>
      <c r="CG62" s="245" t="e">
        <f t="shared" ca="1" si="44"/>
        <v>#VALUE!</v>
      </c>
      <c r="CH62" s="234" t="e">
        <f t="shared" ca="1" si="44"/>
        <v>#VALUE!</v>
      </c>
      <c r="CI62" s="245" t="e">
        <f t="shared" ca="1" si="44"/>
        <v>#VALUE!</v>
      </c>
      <c r="CJ62" s="245" t="e">
        <f t="shared" ca="1" si="44"/>
        <v>#VALUE!</v>
      </c>
      <c r="CK62" s="245" t="e">
        <f t="shared" ca="1" si="44"/>
        <v>#VALUE!</v>
      </c>
      <c r="CL62" s="245" t="e">
        <f t="shared" ca="1" si="44"/>
        <v>#VALUE!</v>
      </c>
      <c r="CM62" s="234" t="e">
        <f t="shared" ca="1" si="44"/>
        <v>#VALUE!</v>
      </c>
      <c r="CO62" s="246">
        <f ca="1">SUM(CO58:CO61)</f>
        <v>0</v>
      </c>
      <c r="CP62" s="247">
        <f ca="1">SUM(CP58:CP61)</f>
        <v>0</v>
      </c>
      <c r="CQ62" s="247">
        <f ca="1">SUM(CQ58:CQ61)</f>
        <v>0</v>
      </c>
      <c r="CR62" s="246">
        <f ca="1">SUM(CR58:CR61)</f>
        <v>0</v>
      </c>
      <c r="CS62" s="248">
        <f ca="1">SUM(CS58:CS61)</f>
        <v>0</v>
      </c>
      <c r="CT62" s="249">
        <f ca="1">SUM(CR62:CS62)</f>
        <v>0</v>
      </c>
      <c r="CU62" s="246">
        <f ca="1">SUM(CU58:CU61)</f>
        <v>0</v>
      </c>
      <c r="CV62" s="247">
        <f ca="1">SUM(CV58:CV61)</f>
        <v>0</v>
      </c>
      <c r="CW62" s="247">
        <f ca="1">SUM(CW58:CW61)</f>
        <v>0</v>
      </c>
      <c r="DC62" s="148" t="e">
        <f ca="1">SUM(DC58:DC61)</f>
        <v>#VALUE!</v>
      </c>
      <c r="DD62" s="149" t="e">
        <f ca="1">SUM(DD58:DD61)</f>
        <v>#VALUE!</v>
      </c>
      <c r="DE62" s="149" t="e">
        <f ca="1">SUM(DE58:DE61)</f>
        <v>#VALUE!</v>
      </c>
      <c r="DF62" s="149" t="e">
        <f ca="1">SUM(DF58:DF61)</f>
        <v>#VALUE!</v>
      </c>
      <c r="DG62" s="150" t="e">
        <f ca="1">SUM(DG58:DG61)</f>
        <v>#VALUE!</v>
      </c>
    </row>
    <row r="63" spans="1:117" ht="15" thickBot="1" x14ac:dyDescent="0.4"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1"/>
      <c r="U63" s="251"/>
      <c r="V63" s="251"/>
      <c r="W63" s="251"/>
      <c r="CO63" s="252"/>
      <c r="CP63" s="252"/>
      <c r="CQ63" s="252"/>
      <c r="CR63" s="252"/>
      <c r="CS63" s="252"/>
      <c r="CT63" s="252"/>
      <c r="CU63" s="252"/>
      <c r="CV63" s="252"/>
      <c r="CW63" s="252"/>
    </row>
    <row r="64" spans="1:117" ht="15" thickBot="1" x14ac:dyDescent="0.4">
      <c r="I64" s="21" t="s">
        <v>23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3"/>
      <c r="Z64" s="24" t="s">
        <v>23</v>
      </c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6"/>
      <c r="AQ64" s="27" t="s">
        <v>23</v>
      </c>
      <c r="AR64" s="28"/>
      <c r="AS64" s="28"/>
      <c r="AT64" s="28"/>
      <c r="AU64" s="29"/>
      <c r="AV64" s="28"/>
      <c r="AW64" s="28"/>
      <c r="AX64" s="28"/>
      <c r="AY64" s="28"/>
      <c r="AZ64" s="28"/>
      <c r="BA64" s="28"/>
      <c r="BB64" s="28"/>
      <c r="BC64" s="28"/>
      <c r="BD64" s="28"/>
      <c r="BE64" s="30"/>
      <c r="BH64" s="31" t="s">
        <v>23</v>
      </c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3"/>
      <c r="BY64" s="34" t="s">
        <v>23</v>
      </c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6"/>
      <c r="DC64" s="4"/>
    </row>
    <row r="65" spans="2:118" ht="15" thickBot="1" x14ac:dyDescent="0.4">
      <c r="H65" s="37"/>
      <c r="I65" s="38" t="s">
        <v>30</v>
      </c>
      <c r="J65" s="39"/>
      <c r="K65" s="39"/>
      <c r="L65" s="39"/>
      <c r="M65" s="40"/>
      <c r="N65" s="38" t="s">
        <v>31</v>
      </c>
      <c r="O65" s="39"/>
      <c r="P65" s="39"/>
      <c r="Q65" s="39"/>
      <c r="R65" s="40"/>
      <c r="S65" s="38" t="s">
        <v>32</v>
      </c>
      <c r="T65" s="39"/>
      <c r="U65" s="39"/>
      <c r="V65" s="39"/>
      <c r="W65" s="40"/>
      <c r="Z65" s="41" t="s">
        <v>30</v>
      </c>
      <c r="AA65" s="42"/>
      <c r="AB65" s="42"/>
      <c r="AC65" s="42"/>
      <c r="AD65" s="43"/>
      <c r="AE65" s="41" t="s">
        <v>31</v>
      </c>
      <c r="AF65" s="42"/>
      <c r="AG65" s="42"/>
      <c r="AH65" s="42"/>
      <c r="AI65" s="43"/>
      <c r="AJ65" s="41" t="s">
        <v>32</v>
      </c>
      <c r="AK65" s="42"/>
      <c r="AL65" s="42"/>
      <c r="AM65" s="42"/>
      <c r="AN65" s="43"/>
      <c r="AQ65" s="44" t="s">
        <v>30</v>
      </c>
      <c r="AR65" s="45"/>
      <c r="AS65" s="45"/>
      <c r="AT65" s="45"/>
      <c r="AU65" s="46"/>
      <c r="AV65" s="44" t="s">
        <v>31</v>
      </c>
      <c r="AW65" s="45"/>
      <c r="AX65" s="45"/>
      <c r="AY65" s="45"/>
      <c r="AZ65" s="46"/>
      <c r="BA65" s="45" t="s">
        <v>32</v>
      </c>
      <c r="BB65" s="45"/>
      <c r="BC65" s="45"/>
      <c r="BD65" s="45"/>
      <c r="BE65" s="46"/>
      <c r="BH65" s="47" t="s">
        <v>30</v>
      </c>
      <c r="BI65" s="48"/>
      <c r="BJ65" s="48"/>
      <c r="BK65" s="48"/>
      <c r="BL65" s="49"/>
      <c r="BM65" s="47" t="s">
        <v>31</v>
      </c>
      <c r="BN65" s="48"/>
      <c r="BO65" s="48"/>
      <c r="BP65" s="48"/>
      <c r="BQ65" s="49"/>
      <c r="BR65" s="50" t="s">
        <v>32</v>
      </c>
      <c r="BS65" s="50"/>
      <c r="BT65" s="50"/>
      <c r="BU65" s="50"/>
      <c r="BV65" s="51"/>
      <c r="BY65" s="47" t="s">
        <v>30</v>
      </c>
      <c r="BZ65" s="48"/>
      <c r="CA65" s="48"/>
      <c r="CB65" s="48"/>
      <c r="CC65" s="49"/>
      <c r="CD65" s="47" t="s">
        <v>33</v>
      </c>
      <c r="CE65" s="48"/>
      <c r="CF65" s="48"/>
      <c r="CG65" s="48"/>
      <c r="CH65" s="49"/>
      <c r="CI65" s="50" t="s">
        <v>34</v>
      </c>
      <c r="CJ65" s="50"/>
      <c r="CK65" s="50"/>
      <c r="CL65" s="50"/>
      <c r="CM65" s="51"/>
    </row>
    <row r="66" spans="2:118" ht="15" thickBot="1" x14ac:dyDescent="0.4">
      <c r="H66" s="55"/>
      <c r="I66" s="56" t="str">
        <f>[1]Tables!$AA$4</f>
        <v>07/27 - 06/28</v>
      </c>
      <c r="J66" s="55" t="str">
        <f>[1]Tables!$AA$5</f>
        <v>07/28 - 06/29</v>
      </c>
      <c r="K66" s="55" t="str">
        <f>[1]Tables!$AA$6</f>
        <v>07/29 - 06/30</v>
      </c>
      <c r="L66" s="55" t="str">
        <f>[1]Tables!$AA$7</f>
        <v>07/30 - 06/31</v>
      </c>
      <c r="M66" s="57" t="str">
        <f>[1]Tables!$AA$8</f>
        <v>07/31 - 06/32</v>
      </c>
      <c r="N66" s="56" t="str">
        <f>[1]Tables!$AA$4</f>
        <v>07/27 - 06/28</v>
      </c>
      <c r="O66" s="55" t="str">
        <f>[1]Tables!$AA$5</f>
        <v>07/28 - 06/29</v>
      </c>
      <c r="P66" s="55" t="str">
        <f>[1]Tables!$AA$6</f>
        <v>07/29 - 06/30</v>
      </c>
      <c r="Q66" s="55" t="str">
        <f>[1]Tables!$AA$7</f>
        <v>07/30 - 06/31</v>
      </c>
      <c r="R66" s="57" t="str">
        <f>[1]Tables!$AA$8</f>
        <v>07/31 - 06/32</v>
      </c>
      <c r="S66" s="56" t="str">
        <f>[1]Tables!$AA$4</f>
        <v>07/27 - 06/28</v>
      </c>
      <c r="T66" s="55" t="str">
        <f>[1]Tables!$AA$5</f>
        <v>07/28 - 06/29</v>
      </c>
      <c r="U66" s="55" t="str">
        <f>[1]Tables!$AA$6</f>
        <v>07/29 - 06/30</v>
      </c>
      <c r="V66" s="55" t="str">
        <f>[1]Tables!$AA$7</f>
        <v>07/30 - 06/31</v>
      </c>
      <c r="W66" s="57" t="str">
        <f>[1]Tables!$AA$8</f>
        <v>07/31 - 06/32</v>
      </c>
      <c r="Y66" s="58"/>
      <c r="Z66" s="59" t="str">
        <f>[1]Tables!$AA$4</f>
        <v>07/27 - 06/28</v>
      </c>
      <c r="AA66" s="60" t="str">
        <f>[1]Tables!$AA$5</f>
        <v>07/28 - 06/29</v>
      </c>
      <c r="AB66" s="60" t="str">
        <f>[1]Tables!$AA$6</f>
        <v>07/29 - 06/30</v>
      </c>
      <c r="AC66" s="60" t="str">
        <f>[1]Tables!$AA$7</f>
        <v>07/30 - 06/31</v>
      </c>
      <c r="AD66" s="61" t="str">
        <f>[1]Tables!$AA$8</f>
        <v>07/31 - 06/32</v>
      </c>
      <c r="AE66" s="59" t="str">
        <f>[1]Tables!$AA$4</f>
        <v>07/27 - 06/28</v>
      </c>
      <c r="AF66" s="60" t="str">
        <f>[1]Tables!$AA$5</f>
        <v>07/28 - 06/29</v>
      </c>
      <c r="AG66" s="60" t="str">
        <f>[1]Tables!$AA$6</f>
        <v>07/29 - 06/30</v>
      </c>
      <c r="AH66" s="60" t="str">
        <f>[1]Tables!$AA$7</f>
        <v>07/30 - 06/31</v>
      </c>
      <c r="AI66" s="61" t="str">
        <f>[1]Tables!$AA$8</f>
        <v>07/31 - 06/32</v>
      </c>
      <c r="AJ66" s="59" t="str">
        <f>[1]Tables!$AA$4</f>
        <v>07/27 - 06/28</v>
      </c>
      <c r="AK66" s="60" t="str">
        <f>[1]Tables!$AA$5</f>
        <v>07/28 - 06/29</v>
      </c>
      <c r="AL66" s="60" t="str">
        <f>[1]Tables!$AA$6</f>
        <v>07/29 - 06/30</v>
      </c>
      <c r="AM66" s="60" t="str">
        <f>[1]Tables!$AA$7</f>
        <v>07/30 - 06/31</v>
      </c>
      <c r="AN66" s="61" t="str">
        <f>[1]Tables!$AA$8</f>
        <v>07/31 - 06/32</v>
      </c>
      <c r="AP66" s="58"/>
      <c r="AQ66" s="62" t="str">
        <f>[1]Tables!$AA$4</f>
        <v>07/27 - 06/28</v>
      </c>
      <c r="AR66" s="63" t="str">
        <f>[1]Tables!$AA$5</f>
        <v>07/28 - 06/29</v>
      </c>
      <c r="AS66" s="63" t="str">
        <f>[1]Tables!$AA$6</f>
        <v>07/29 - 06/30</v>
      </c>
      <c r="AT66" s="63" t="str">
        <f>[1]Tables!$AA$7</f>
        <v>07/30 - 06/31</v>
      </c>
      <c r="AU66" s="64" t="str">
        <f>[1]Tables!$AA$8</f>
        <v>07/31 - 06/32</v>
      </c>
      <c r="AV66" s="62" t="str">
        <f>[1]Tables!$AA$4</f>
        <v>07/27 - 06/28</v>
      </c>
      <c r="AW66" s="63" t="str">
        <f>[1]Tables!$AA$5</f>
        <v>07/28 - 06/29</v>
      </c>
      <c r="AX66" s="63" t="str">
        <f>[1]Tables!$AA$6</f>
        <v>07/29 - 06/30</v>
      </c>
      <c r="AY66" s="63" t="str">
        <f>[1]Tables!$AA$7</f>
        <v>07/30 - 06/31</v>
      </c>
      <c r="AZ66" s="64" t="str">
        <f>[1]Tables!$AA$8</f>
        <v>07/31 - 06/32</v>
      </c>
      <c r="BA66" s="63" t="str">
        <f>[1]Tables!$AA$4</f>
        <v>07/27 - 06/28</v>
      </c>
      <c r="BB66" s="63" t="str">
        <f>[1]Tables!$AA$5</f>
        <v>07/28 - 06/29</v>
      </c>
      <c r="BC66" s="63" t="str">
        <f>[1]Tables!$AA$6</f>
        <v>07/29 - 06/30</v>
      </c>
      <c r="BD66" s="63" t="str">
        <f>[1]Tables!$AA$7</f>
        <v>07/30 - 06/31</v>
      </c>
      <c r="BE66" s="64" t="str">
        <f>[1]Tables!$AA$8</f>
        <v>07/31 - 06/32</v>
      </c>
      <c r="BG66" s="58"/>
      <c r="BH66" s="65" t="str">
        <f>[1]Tables!$AA$4</f>
        <v>07/27 - 06/28</v>
      </c>
      <c r="BI66" s="66" t="str">
        <f>[1]Tables!$AA$5</f>
        <v>07/28 - 06/29</v>
      </c>
      <c r="BJ66" s="66" t="str">
        <f>[1]Tables!$AA$6</f>
        <v>07/29 - 06/30</v>
      </c>
      <c r="BK66" s="66" t="str">
        <f>[1]Tables!$AA$7</f>
        <v>07/30 - 06/31</v>
      </c>
      <c r="BL66" s="67" t="str">
        <f>[1]Tables!$AA$8</f>
        <v>07/31 - 06/32</v>
      </c>
      <c r="BM66" s="65" t="str">
        <f>[1]Tables!$AA$4</f>
        <v>07/27 - 06/28</v>
      </c>
      <c r="BN66" s="66" t="str">
        <f>[1]Tables!$AA$5</f>
        <v>07/28 - 06/29</v>
      </c>
      <c r="BO66" s="66" t="str">
        <f>[1]Tables!$AA$6</f>
        <v>07/29 - 06/30</v>
      </c>
      <c r="BP66" s="66" t="str">
        <f>[1]Tables!$AA$7</f>
        <v>07/30 - 06/31</v>
      </c>
      <c r="BQ66" s="67" t="str">
        <f>[1]Tables!$AA$8</f>
        <v>07/31 - 06/32</v>
      </c>
      <c r="BR66" s="66" t="str">
        <f>[1]Tables!$AA$4</f>
        <v>07/27 - 06/28</v>
      </c>
      <c r="BS66" s="66" t="str">
        <f>[1]Tables!$AA$5</f>
        <v>07/28 - 06/29</v>
      </c>
      <c r="BT66" s="66" t="str">
        <f>[1]Tables!$AA$6</f>
        <v>07/29 - 06/30</v>
      </c>
      <c r="BU66" s="66" t="str">
        <f>[1]Tables!$AA$7</f>
        <v>07/30 - 06/31</v>
      </c>
      <c r="BV66" s="67" t="str">
        <f>[1]Tables!$AA$8</f>
        <v>07/31 - 06/32</v>
      </c>
      <c r="BX66" s="58"/>
      <c r="BY66" s="65" t="str">
        <f>[1]Tables!$AA$4</f>
        <v>07/27 - 06/28</v>
      </c>
      <c r="BZ66" s="66" t="str">
        <f>[1]Tables!$AA$5</f>
        <v>07/28 - 06/29</v>
      </c>
      <c r="CA66" s="66" t="str">
        <f>[1]Tables!$AA$6</f>
        <v>07/29 - 06/30</v>
      </c>
      <c r="CB66" s="66" t="str">
        <f>[1]Tables!$AA$7</f>
        <v>07/30 - 06/31</v>
      </c>
      <c r="CC66" s="67" t="str">
        <f>[1]Tables!$AA$8</f>
        <v>07/31 - 06/32</v>
      </c>
      <c r="CD66" s="65" t="str">
        <f>[1]Tables!$AA$4</f>
        <v>07/27 - 06/28</v>
      </c>
      <c r="CE66" s="66" t="str">
        <f>[1]Tables!$AA$5</f>
        <v>07/28 - 06/29</v>
      </c>
      <c r="CF66" s="66" t="str">
        <f>[1]Tables!$AA$6</f>
        <v>07/29 - 06/30</v>
      </c>
      <c r="CG66" s="66" t="str">
        <f>[1]Tables!$AA$7</f>
        <v>07/30 - 06/31</v>
      </c>
      <c r="CH66" s="67" t="str">
        <f>[1]Tables!$AA$8</f>
        <v>07/31 - 06/32</v>
      </c>
      <c r="CI66" s="66" t="str">
        <f>[1]Tables!$AA$4</f>
        <v>07/27 - 06/28</v>
      </c>
      <c r="CJ66" s="66" t="str">
        <f>[1]Tables!$AA$5</f>
        <v>07/28 - 06/29</v>
      </c>
      <c r="CK66" s="66" t="str">
        <f>[1]Tables!$AA$6</f>
        <v>07/29 - 06/30</v>
      </c>
      <c r="CL66" s="66" t="str">
        <f>[1]Tables!$AA$7</f>
        <v>07/30 - 06/31</v>
      </c>
      <c r="CM66" s="67" t="str">
        <f>[1]Tables!$AA$8</f>
        <v>07/31 - 06/32</v>
      </c>
    </row>
    <row r="67" spans="2:118" x14ac:dyDescent="0.35">
      <c r="B67" s="68" t="s">
        <v>11</v>
      </c>
      <c r="C67" s="69">
        <v>30</v>
      </c>
      <c r="D67" s="69" t="s">
        <v>12</v>
      </c>
      <c r="E67" s="70" t="s">
        <v>12</v>
      </c>
      <c r="F67" s="106">
        <v>1</v>
      </c>
      <c r="H67" s="71" t="s">
        <v>14</v>
      </c>
      <c r="I67" s="253">
        <f ca="1">MIN([1]Tables!$AV$4*[1]Tables!$AX$4, N76)</f>
        <v>0</v>
      </c>
      <c r="J67" s="254">
        <f ca="1">MIN([1]Tables!$AV$4+I67, O76)</f>
        <v>0</v>
      </c>
      <c r="K67" s="254">
        <f ca="1">MIN([1]Tables!$AV$4+J67, P76)</f>
        <v>0</v>
      </c>
      <c r="L67" s="254">
        <f ca="1">MIN([1]Tables!$AV$4+K67, Q76)</f>
        <v>0</v>
      </c>
      <c r="M67" s="255">
        <f ca="1">MIN([1]Tables!$AV$4+L67, R76)</f>
        <v>0</v>
      </c>
      <c r="N67" s="205" t="e">
        <f t="shared" ref="N67:R70" ca="1" si="45">I67*S58</f>
        <v>#VALUE!</v>
      </c>
      <c r="O67" s="206" t="e">
        <f t="shared" ca="1" si="45"/>
        <v>#VALUE!</v>
      </c>
      <c r="P67" s="206" t="e">
        <f t="shared" ca="1" si="45"/>
        <v>#VALUE!</v>
      </c>
      <c r="Q67" s="206" t="e">
        <f t="shared" ca="1" si="45"/>
        <v>#VALUE!</v>
      </c>
      <c r="R67" s="207" t="e">
        <f t="shared" ca="1" si="45"/>
        <v>#VALUE!</v>
      </c>
      <c r="S67" s="205" t="e">
        <f t="shared" ref="S67:W70" ca="1" si="46">N67+N58</f>
        <v>#VALUE!</v>
      </c>
      <c r="T67" s="206" t="e">
        <f t="shared" ca="1" si="46"/>
        <v>#VALUE!</v>
      </c>
      <c r="U67" s="206" t="e">
        <f t="shared" ca="1" si="46"/>
        <v>#VALUE!</v>
      </c>
      <c r="V67" s="206" t="e">
        <f t="shared" ca="1" si="46"/>
        <v>#VALUE!</v>
      </c>
      <c r="W67" s="207" t="e">
        <f t="shared" ca="1" si="46"/>
        <v>#VALUE!</v>
      </c>
      <c r="Y67" s="77" t="s">
        <v>14</v>
      </c>
      <c r="Z67" s="256">
        <f t="shared" ref="Z67:AD70" ca="1" si="47">I67</f>
        <v>0</v>
      </c>
      <c r="AA67" s="254">
        <f t="shared" ca="1" si="47"/>
        <v>0</v>
      </c>
      <c r="AB67" s="254">
        <f t="shared" ca="1" si="47"/>
        <v>0</v>
      </c>
      <c r="AC67" s="254">
        <f t="shared" ca="1" si="47"/>
        <v>0</v>
      </c>
      <c r="AD67" s="257">
        <f t="shared" ca="1" si="47"/>
        <v>0</v>
      </c>
      <c r="AE67" s="208">
        <f t="shared" ref="AE67:AI70" ca="1" si="48">Z67*AJ58</f>
        <v>0</v>
      </c>
      <c r="AF67" s="206">
        <f t="shared" ca="1" si="48"/>
        <v>0</v>
      </c>
      <c r="AG67" s="206">
        <f t="shared" ca="1" si="48"/>
        <v>0</v>
      </c>
      <c r="AH67" s="206">
        <f t="shared" ca="1" si="48"/>
        <v>0</v>
      </c>
      <c r="AI67" s="209">
        <f t="shared" ca="1" si="48"/>
        <v>0</v>
      </c>
      <c r="AJ67" s="208">
        <f t="shared" ref="AJ67:AN70" ca="1" si="49">AE67+AE58</f>
        <v>0</v>
      </c>
      <c r="AK67" s="206">
        <f t="shared" ca="1" si="49"/>
        <v>0</v>
      </c>
      <c r="AL67" s="206">
        <f t="shared" ca="1" si="49"/>
        <v>0</v>
      </c>
      <c r="AM67" s="206">
        <f t="shared" ca="1" si="49"/>
        <v>0</v>
      </c>
      <c r="AN67" s="209">
        <f t="shared" ca="1" si="49"/>
        <v>0</v>
      </c>
      <c r="AP67" s="83" t="s">
        <v>14</v>
      </c>
      <c r="AQ67" s="258">
        <f t="shared" ref="AQ67:AU70" ca="1" si="50">MIN(I67, AV76)</f>
        <v>0</v>
      </c>
      <c r="AR67" s="254">
        <f t="shared" ca="1" si="50"/>
        <v>0</v>
      </c>
      <c r="AS67" s="254">
        <f t="shared" ca="1" si="50"/>
        <v>0</v>
      </c>
      <c r="AT67" s="254">
        <f t="shared" ca="1" si="50"/>
        <v>0</v>
      </c>
      <c r="AU67" s="259">
        <f t="shared" ca="1" si="50"/>
        <v>0</v>
      </c>
      <c r="AV67" s="260" t="e">
        <f t="shared" ref="AV67:AZ70" ca="1" si="51">AQ67*BA58</f>
        <v>#VALUE!</v>
      </c>
      <c r="AW67" s="206" t="e">
        <f t="shared" ca="1" si="51"/>
        <v>#VALUE!</v>
      </c>
      <c r="AX67" s="206" t="e">
        <f t="shared" ca="1" si="51"/>
        <v>#VALUE!</v>
      </c>
      <c r="AY67" s="206" t="e">
        <f t="shared" ca="1" si="51"/>
        <v>#VALUE!</v>
      </c>
      <c r="AZ67" s="212" t="e">
        <f t="shared" ca="1" si="51"/>
        <v>#VALUE!</v>
      </c>
      <c r="BA67" s="206" t="e">
        <f t="shared" ref="BA67:BE70" ca="1" si="52">AV67+AV58</f>
        <v>#VALUE!</v>
      </c>
      <c r="BB67" s="206" t="e">
        <f t="shared" ca="1" si="52"/>
        <v>#VALUE!</v>
      </c>
      <c r="BC67" s="206" t="e">
        <f t="shared" ca="1" si="52"/>
        <v>#VALUE!</v>
      </c>
      <c r="BD67" s="206" t="e">
        <f t="shared" ca="1" si="52"/>
        <v>#VALUE!</v>
      </c>
      <c r="BE67" s="212" t="e">
        <f t="shared" ca="1" si="52"/>
        <v>#VALUE!</v>
      </c>
      <c r="BG67" s="88" t="s">
        <v>14</v>
      </c>
      <c r="BH67" s="261">
        <f t="shared" ref="BH67:BL70" ca="1" si="53">AQ67</f>
        <v>0</v>
      </c>
      <c r="BI67" s="254">
        <f t="shared" ca="1" si="53"/>
        <v>0</v>
      </c>
      <c r="BJ67" s="254">
        <f t="shared" ca="1" si="53"/>
        <v>0</v>
      </c>
      <c r="BK67" s="254">
        <f t="shared" ca="1" si="53"/>
        <v>0</v>
      </c>
      <c r="BL67" s="262">
        <f t="shared" ca="1" si="53"/>
        <v>0</v>
      </c>
      <c r="BM67" s="213" t="e">
        <f t="shared" ref="BM67:BQ70" ca="1" si="54">BH67*BR58</f>
        <v>#VALUE!</v>
      </c>
      <c r="BN67" s="206" t="e">
        <f t="shared" ca="1" si="54"/>
        <v>#VALUE!</v>
      </c>
      <c r="BO67" s="206" t="e">
        <f t="shared" ca="1" si="54"/>
        <v>#VALUE!</v>
      </c>
      <c r="BP67" s="206" t="e">
        <f t="shared" ca="1" si="54"/>
        <v>#VALUE!</v>
      </c>
      <c r="BQ67" s="214" t="e">
        <f t="shared" ca="1" si="54"/>
        <v>#VALUE!</v>
      </c>
      <c r="BR67" s="215" t="e">
        <f t="shared" ref="BR67:BV70" ca="1" si="55">BM67+BM58</f>
        <v>#VALUE!</v>
      </c>
      <c r="BS67" s="216" t="e">
        <f t="shared" ca="1" si="55"/>
        <v>#VALUE!</v>
      </c>
      <c r="BT67" s="216" t="e">
        <f t="shared" ca="1" si="55"/>
        <v>#VALUE!</v>
      </c>
      <c r="BU67" s="216" t="e">
        <f t="shared" ca="1" si="55"/>
        <v>#VALUE!</v>
      </c>
      <c r="BV67" s="217" t="e">
        <f t="shared" ca="1" si="55"/>
        <v>#VALUE!</v>
      </c>
      <c r="BX67" s="88" t="s">
        <v>14</v>
      </c>
      <c r="BY67" s="263" cm="1">
        <f t="array" aca="1" ref="BY67" ca="1">_xlfn.SINGLE(IFERROR(SUMIFS(rng_out_rx_post_yr1, rng_out_sel_G_ind, "B", rng_out_mail_ind, $B67, rng_out_ds, $C67, rng_out_sel_sp_ind, $D67, rng_out_post_reb_ind_yr1, 1)/[1]Tables!$AT$4 - BY117, 0))</f>
        <v>0</v>
      </c>
      <c r="BZ67" s="264" cm="1">
        <f t="array" aca="1" ref="BZ67" ca="1">_xlfn.SINGLE(IFERROR(SUMIFS(rng_out_rx_post_yr2, rng_out_sel_G_ind, "B", rng_out_mail_ind, $B67, rng_out_ds, $C67, rng_out_sel_sp_ind, $D67, rng_out_post_reb_ind_yr2, 1)/[1]Tables!$AT$4 - BZ117, 0))</f>
        <v>0</v>
      </c>
      <c r="CA67" s="264" cm="1">
        <f t="array" aca="1" ref="CA67" ca="1">_xlfn.SINGLE(IFERROR(SUMIFS(rng_out_rx_post_yr3, rng_out_sel_G_ind, "B", rng_out_mail_ind, $B67, rng_out_ds, $C67, rng_out_sel_sp_ind, $D67, rng_out_post_reb_ind_yr3, 1)/[1]Tables!$AT$4 - CA117, 0))</f>
        <v>0</v>
      </c>
      <c r="CB67" s="264" cm="1">
        <f t="array" aca="1" ref="CB67" ca="1">_xlfn.SINGLE(IFERROR(SUMIFS(rng_out_rx_post_yr4, rng_out_sel_G_ind, "B", rng_out_mail_ind, $B67, rng_out_ds, $C67, rng_out_sel_sp_ind, $D67, rng_out_post_reb_ind_yr4, 1)/[1]Tables!$AT$4 - CB117, 0))</f>
        <v>0</v>
      </c>
      <c r="CC67" s="265" cm="1">
        <f t="array" aca="1" ref="CC67" ca="1">_xlfn.SINGLE(IFERROR(SUMIFS(rng_out_rx_post_yr5, rng_out_sel_G_ind, "B", rng_out_mail_ind, $B67, rng_out_ds, $C67, rng_out_sel_sp_ind, $D67, rng_out_post_reb_ind_yr5, 1)/[1]Tables!$AT$4 - CC117, 0))</f>
        <v>0</v>
      </c>
      <c r="CD67" s="266">
        <f t="shared" ref="CD67:CH70" ca="1" si="56">IFERROR((BR67 * (BY67/BM58) - DC58) / (BR67 - DC58), 0)</f>
        <v>0</v>
      </c>
      <c r="CE67" s="267">
        <f t="shared" ca="1" si="56"/>
        <v>0</v>
      </c>
      <c r="CF67" s="267">
        <f t="shared" ca="1" si="56"/>
        <v>0</v>
      </c>
      <c r="CG67" s="267">
        <f t="shared" ca="1" si="56"/>
        <v>0</v>
      </c>
      <c r="CH67" s="268">
        <f t="shared" ca="1" si="56"/>
        <v>0</v>
      </c>
      <c r="CI67" s="215" t="e">
        <f t="shared" ref="CI67:CM70" ca="1" si="57">CD58*CD67</f>
        <v>#VALUE!</v>
      </c>
      <c r="CJ67" s="216" t="e">
        <f t="shared" ca="1" si="57"/>
        <v>#VALUE!</v>
      </c>
      <c r="CK67" s="216" t="e">
        <f t="shared" ca="1" si="57"/>
        <v>#VALUE!</v>
      </c>
      <c r="CL67" s="216" t="e">
        <f t="shared" ca="1" si="57"/>
        <v>#VALUE!</v>
      </c>
      <c r="CM67" s="217" t="e">
        <f t="shared" ca="1" si="57"/>
        <v>#VALUE!</v>
      </c>
      <c r="DC67" s="269"/>
      <c r="DD67" s="269"/>
      <c r="DE67" s="269"/>
      <c r="DF67" s="269"/>
      <c r="DG67" s="269"/>
      <c r="DI67" s="269"/>
      <c r="DJ67" s="269"/>
      <c r="DK67" s="269"/>
      <c r="DL67" s="269"/>
      <c r="DM67" s="269"/>
      <c r="DN67" s="269"/>
    </row>
    <row r="68" spans="2:118" x14ac:dyDescent="0.35">
      <c r="B68" s="105" t="s">
        <v>11</v>
      </c>
      <c r="C68" s="106">
        <v>90</v>
      </c>
      <c r="D68" s="106" t="s">
        <v>12</v>
      </c>
      <c r="E68" s="107" t="s">
        <v>12</v>
      </c>
      <c r="F68" s="106">
        <v>1</v>
      </c>
      <c r="H68" s="108" t="s">
        <v>15</v>
      </c>
      <c r="I68" s="253">
        <f ca="1">MIN([1]Tables!$AV$4*[1]Tables!$AX$4, N77)</f>
        <v>0</v>
      </c>
      <c r="J68" s="254">
        <f ca="1">MIN([1]Tables!$AV$4+I68,O77)</f>
        <v>0</v>
      </c>
      <c r="K68" s="254">
        <f ca="1">MIN([1]Tables!$AV$4+J68,P77)</f>
        <v>0</v>
      </c>
      <c r="L68" s="254">
        <f ca="1">MIN([1]Tables!$AV$4+K68,Q77)</f>
        <v>0</v>
      </c>
      <c r="M68" s="255">
        <f ca="1">MIN([1]Tables!$AV$4+L68,R77)</f>
        <v>0</v>
      </c>
      <c r="N68" s="205" t="e">
        <f t="shared" ca="1" si="45"/>
        <v>#VALUE!</v>
      </c>
      <c r="O68" s="206" t="e">
        <f t="shared" ca="1" si="45"/>
        <v>#VALUE!</v>
      </c>
      <c r="P68" s="206" t="e">
        <f t="shared" ca="1" si="45"/>
        <v>#VALUE!</v>
      </c>
      <c r="Q68" s="206" t="e">
        <f t="shared" ca="1" si="45"/>
        <v>#VALUE!</v>
      </c>
      <c r="R68" s="207" t="e">
        <f t="shared" ca="1" si="45"/>
        <v>#VALUE!</v>
      </c>
      <c r="S68" s="205" t="e">
        <f t="shared" ca="1" si="46"/>
        <v>#VALUE!</v>
      </c>
      <c r="T68" s="206" t="e">
        <f t="shared" ca="1" si="46"/>
        <v>#VALUE!</v>
      </c>
      <c r="U68" s="206" t="e">
        <f t="shared" ca="1" si="46"/>
        <v>#VALUE!</v>
      </c>
      <c r="V68" s="206" t="e">
        <f t="shared" ca="1" si="46"/>
        <v>#VALUE!</v>
      </c>
      <c r="W68" s="207" t="e">
        <f t="shared" ca="1" si="46"/>
        <v>#VALUE!</v>
      </c>
      <c r="Y68" s="109" t="s">
        <v>15</v>
      </c>
      <c r="Z68" s="256">
        <f t="shared" ca="1" si="47"/>
        <v>0</v>
      </c>
      <c r="AA68" s="254">
        <f t="shared" ca="1" si="47"/>
        <v>0</v>
      </c>
      <c r="AB68" s="254">
        <f t="shared" ca="1" si="47"/>
        <v>0</v>
      </c>
      <c r="AC68" s="254">
        <f t="shared" ca="1" si="47"/>
        <v>0</v>
      </c>
      <c r="AD68" s="257">
        <f t="shared" ca="1" si="47"/>
        <v>0</v>
      </c>
      <c r="AE68" s="208">
        <f t="shared" ca="1" si="48"/>
        <v>0</v>
      </c>
      <c r="AF68" s="206">
        <f t="shared" ca="1" si="48"/>
        <v>0</v>
      </c>
      <c r="AG68" s="206">
        <f t="shared" ca="1" si="48"/>
        <v>0</v>
      </c>
      <c r="AH68" s="206">
        <f t="shared" ca="1" si="48"/>
        <v>0</v>
      </c>
      <c r="AI68" s="209">
        <f t="shared" ca="1" si="48"/>
        <v>0</v>
      </c>
      <c r="AJ68" s="208">
        <f t="shared" ca="1" si="49"/>
        <v>0</v>
      </c>
      <c r="AK68" s="206">
        <f t="shared" ca="1" si="49"/>
        <v>0</v>
      </c>
      <c r="AL68" s="206">
        <f t="shared" ca="1" si="49"/>
        <v>0</v>
      </c>
      <c r="AM68" s="206">
        <f t="shared" ca="1" si="49"/>
        <v>0</v>
      </c>
      <c r="AN68" s="209">
        <f t="shared" ca="1" si="49"/>
        <v>0</v>
      </c>
      <c r="AP68" s="110" t="s">
        <v>15</v>
      </c>
      <c r="AQ68" s="258">
        <f t="shared" ca="1" si="50"/>
        <v>0</v>
      </c>
      <c r="AR68" s="254">
        <f t="shared" ca="1" si="50"/>
        <v>0</v>
      </c>
      <c r="AS68" s="254">
        <f t="shared" ca="1" si="50"/>
        <v>0</v>
      </c>
      <c r="AT68" s="254">
        <f t="shared" ca="1" si="50"/>
        <v>0</v>
      </c>
      <c r="AU68" s="259">
        <f t="shared" ca="1" si="50"/>
        <v>0</v>
      </c>
      <c r="AV68" s="260" t="e">
        <f t="shared" ca="1" si="51"/>
        <v>#VALUE!</v>
      </c>
      <c r="AW68" s="206" t="e">
        <f t="shared" ca="1" si="51"/>
        <v>#VALUE!</v>
      </c>
      <c r="AX68" s="206" t="e">
        <f t="shared" ca="1" si="51"/>
        <v>#VALUE!</v>
      </c>
      <c r="AY68" s="206" t="e">
        <f t="shared" ca="1" si="51"/>
        <v>#VALUE!</v>
      </c>
      <c r="AZ68" s="212" t="e">
        <f t="shared" ca="1" si="51"/>
        <v>#VALUE!</v>
      </c>
      <c r="BA68" s="206" t="e">
        <f t="shared" ca="1" si="52"/>
        <v>#VALUE!</v>
      </c>
      <c r="BB68" s="206" t="e">
        <f t="shared" ca="1" si="52"/>
        <v>#VALUE!</v>
      </c>
      <c r="BC68" s="206" t="e">
        <f t="shared" ca="1" si="52"/>
        <v>#VALUE!</v>
      </c>
      <c r="BD68" s="206" t="e">
        <f t="shared" ca="1" si="52"/>
        <v>#VALUE!</v>
      </c>
      <c r="BE68" s="212" t="e">
        <f t="shared" ca="1" si="52"/>
        <v>#VALUE!</v>
      </c>
      <c r="BG68" s="111" t="s">
        <v>15</v>
      </c>
      <c r="BH68" s="261">
        <f t="shared" ca="1" si="53"/>
        <v>0</v>
      </c>
      <c r="BI68" s="254">
        <f t="shared" ca="1" si="53"/>
        <v>0</v>
      </c>
      <c r="BJ68" s="254">
        <f t="shared" ca="1" si="53"/>
        <v>0</v>
      </c>
      <c r="BK68" s="254">
        <f t="shared" ca="1" si="53"/>
        <v>0</v>
      </c>
      <c r="BL68" s="262">
        <f t="shared" ca="1" si="53"/>
        <v>0</v>
      </c>
      <c r="BM68" s="213" t="e">
        <f t="shared" ca="1" si="54"/>
        <v>#VALUE!</v>
      </c>
      <c r="BN68" s="206" t="e">
        <f t="shared" ca="1" si="54"/>
        <v>#VALUE!</v>
      </c>
      <c r="BO68" s="206" t="e">
        <f t="shared" ca="1" si="54"/>
        <v>#VALUE!</v>
      </c>
      <c r="BP68" s="206" t="e">
        <f t="shared" ca="1" si="54"/>
        <v>#VALUE!</v>
      </c>
      <c r="BQ68" s="214" t="e">
        <f t="shared" ca="1" si="54"/>
        <v>#VALUE!</v>
      </c>
      <c r="BR68" s="213" t="e">
        <f t="shared" ca="1" si="55"/>
        <v>#VALUE!</v>
      </c>
      <c r="BS68" s="206" t="e">
        <f t="shared" ca="1" si="55"/>
        <v>#VALUE!</v>
      </c>
      <c r="BT68" s="206" t="e">
        <f t="shared" ca="1" si="55"/>
        <v>#VALUE!</v>
      </c>
      <c r="BU68" s="206" t="e">
        <f t="shared" ca="1" si="55"/>
        <v>#VALUE!</v>
      </c>
      <c r="BV68" s="214" t="e">
        <f t="shared" ca="1" si="55"/>
        <v>#VALUE!</v>
      </c>
      <c r="BX68" s="111" t="s">
        <v>15</v>
      </c>
      <c r="BY68" s="263" cm="1">
        <f t="array" aca="1" ref="BY68" ca="1">_xlfn.SINGLE(IFERROR(SUMIFS(rng_out_rx_post_yr1, rng_out_sel_G_ind, "B", rng_out_mail_ind, $B68, rng_out_ds, $C68, rng_out_sel_sp_ind, $D68, rng_out_post_reb_ind_yr1, 1)/[1]Tables!$AT$4 - BY118, 0))</f>
        <v>0</v>
      </c>
      <c r="BZ68" s="264" cm="1">
        <f t="array" aca="1" ref="BZ68" ca="1">_xlfn.SINGLE(IFERROR(SUMIFS(rng_out_rx_post_yr2, rng_out_sel_G_ind, "B", rng_out_mail_ind, $B68, rng_out_ds, $C68, rng_out_sel_sp_ind, $D68, rng_out_post_reb_ind_yr2, 1)/[1]Tables!$AT$4 - BZ118, 0))</f>
        <v>0</v>
      </c>
      <c r="CA68" s="264" cm="1">
        <f t="array" aca="1" ref="CA68" ca="1">_xlfn.SINGLE(IFERROR(SUMIFS(rng_out_rx_post_yr3, rng_out_sel_G_ind, "B", rng_out_mail_ind, $B68, rng_out_ds, $C68, rng_out_sel_sp_ind, $D68, rng_out_post_reb_ind_yr3, 1)/[1]Tables!$AT$4 - CA118, 0))</f>
        <v>0</v>
      </c>
      <c r="CB68" s="264" cm="1">
        <f t="array" aca="1" ref="CB68" ca="1">_xlfn.SINGLE(IFERROR(SUMIFS(rng_out_rx_post_yr4, rng_out_sel_G_ind, "B", rng_out_mail_ind, $B68, rng_out_ds, $C68, rng_out_sel_sp_ind, $D68, rng_out_post_reb_ind_yr4, 1)/[1]Tables!$AT$4 - CB118, 0))</f>
        <v>0</v>
      </c>
      <c r="CC68" s="265" cm="1">
        <f t="array" aca="1" ref="CC68" ca="1">_xlfn.SINGLE(IFERROR(SUMIFS(rng_out_rx_post_yr5, rng_out_sel_G_ind, "B", rng_out_mail_ind, $B68, rng_out_ds, $C68, rng_out_sel_sp_ind, $D68, rng_out_post_reb_ind_yr5, 1)/[1]Tables!$AT$4 - CC118, 0))</f>
        <v>0</v>
      </c>
      <c r="CD68" s="266">
        <f t="shared" ca="1" si="56"/>
        <v>0</v>
      </c>
      <c r="CE68" s="267">
        <f t="shared" ca="1" si="56"/>
        <v>0</v>
      </c>
      <c r="CF68" s="267">
        <f t="shared" ca="1" si="56"/>
        <v>0</v>
      </c>
      <c r="CG68" s="267">
        <f t="shared" ca="1" si="56"/>
        <v>0</v>
      </c>
      <c r="CH68" s="268">
        <f t="shared" ca="1" si="56"/>
        <v>0</v>
      </c>
      <c r="CI68" s="213" t="e">
        <f t="shared" ca="1" si="57"/>
        <v>#VALUE!</v>
      </c>
      <c r="CJ68" s="206" t="e">
        <f t="shared" ca="1" si="57"/>
        <v>#VALUE!</v>
      </c>
      <c r="CK68" s="206" t="e">
        <f t="shared" ca="1" si="57"/>
        <v>#VALUE!</v>
      </c>
      <c r="CL68" s="206" t="e">
        <f t="shared" ca="1" si="57"/>
        <v>#VALUE!</v>
      </c>
      <c r="CM68" s="214" t="e">
        <f t="shared" ca="1" si="57"/>
        <v>#VALUE!</v>
      </c>
      <c r="DC68" s="269"/>
      <c r="DD68" s="269"/>
      <c r="DE68" s="269"/>
      <c r="DF68" s="269"/>
      <c r="DG68" s="269"/>
      <c r="DI68" s="269"/>
      <c r="DJ68" s="269"/>
      <c r="DK68" s="269"/>
      <c r="DL68" s="269"/>
      <c r="DM68" s="269"/>
      <c r="DN68" s="269"/>
    </row>
    <row r="69" spans="2:118" x14ac:dyDescent="0.35">
      <c r="B69" s="105" t="s">
        <v>16</v>
      </c>
      <c r="C69" s="106"/>
      <c r="D69" s="106" t="s">
        <v>12</v>
      </c>
      <c r="E69" s="107" t="s">
        <v>12</v>
      </c>
      <c r="F69" s="106">
        <v>1</v>
      </c>
      <c r="H69" s="118" t="s">
        <v>7</v>
      </c>
      <c r="I69" s="253">
        <f ca="1">MIN([1]Tables!$AV$4*[1]Tables!$AX$4, N78)</f>
        <v>0</v>
      </c>
      <c r="J69" s="254">
        <f ca="1">MIN([1]Tables!$AV$4+I69, O78)</f>
        <v>0</v>
      </c>
      <c r="K69" s="254">
        <f ca="1">MIN([1]Tables!$AV$4+J69, P78)</f>
        <v>0</v>
      </c>
      <c r="L69" s="254">
        <f ca="1">MIN([1]Tables!$AV$4+K69, Q78)</f>
        <v>0</v>
      </c>
      <c r="M69" s="255">
        <f ca="1">MIN([1]Tables!$AV$4+L69, R78)</f>
        <v>0</v>
      </c>
      <c r="N69" s="205" t="e">
        <f t="shared" ca="1" si="45"/>
        <v>#VALUE!</v>
      </c>
      <c r="O69" s="206" t="e">
        <f t="shared" ca="1" si="45"/>
        <v>#VALUE!</v>
      </c>
      <c r="P69" s="206" t="e">
        <f t="shared" ca="1" si="45"/>
        <v>#VALUE!</v>
      </c>
      <c r="Q69" s="206" t="e">
        <f t="shared" ca="1" si="45"/>
        <v>#VALUE!</v>
      </c>
      <c r="R69" s="207" t="e">
        <f t="shared" ca="1" si="45"/>
        <v>#VALUE!</v>
      </c>
      <c r="S69" s="205" t="e">
        <f t="shared" ca="1" si="46"/>
        <v>#VALUE!</v>
      </c>
      <c r="T69" s="206" t="e">
        <f t="shared" ca="1" si="46"/>
        <v>#VALUE!</v>
      </c>
      <c r="U69" s="206" t="e">
        <f t="shared" ca="1" si="46"/>
        <v>#VALUE!</v>
      </c>
      <c r="V69" s="206" t="e">
        <f t="shared" ca="1" si="46"/>
        <v>#VALUE!</v>
      </c>
      <c r="W69" s="207" t="e">
        <f t="shared" ca="1" si="46"/>
        <v>#VALUE!</v>
      </c>
      <c r="Y69" s="119" t="s">
        <v>7</v>
      </c>
      <c r="Z69" s="256">
        <f t="shared" ca="1" si="47"/>
        <v>0</v>
      </c>
      <c r="AA69" s="254">
        <f t="shared" ca="1" si="47"/>
        <v>0</v>
      </c>
      <c r="AB69" s="254">
        <f t="shared" ca="1" si="47"/>
        <v>0</v>
      </c>
      <c r="AC69" s="254">
        <f t="shared" ca="1" si="47"/>
        <v>0</v>
      </c>
      <c r="AD69" s="257">
        <f t="shared" ca="1" si="47"/>
        <v>0</v>
      </c>
      <c r="AE69" s="208">
        <f t="shared" ca="1" si="48"/>
        <v>0</v>
      </c>
      <c r="AF69" s="206">
        <f t="shared" ca="1" si="48"/>
        <v>0</v>
      </c>
      <c r="AG69" s="206">
        <f t="shared" ca="1" si="48"/>
        <v>0</v>
      </c>
      <c r="AH69" s="206">
        <f t="shared" ca="1" si="48"/>
        <v>0</v>
      </c>
      <c r="AI69" s="209">
        <f t="shared" ca="1" si="48"/>
        <v>0</v>
      </c>
      <c r="AJ69" s="208">
        <f t="shared" ca="1" si="49"/>
        <v>0</v>
      </c>
      <c r="AK69" s="206">
        <f t="shared" ca="1" si="49"/>
        <v>0</v>
      </c>
      <c r="AL69" s="206">
        <f t="shared" ca="1" si="49"/>
        <v>0</v>
      </c>
      <c r="AM69" s="206">
        <f t="shared" ca="1" si="49"/>
        <v>0</v>
      </c>
      <c r="AN69" s="209">
        <f t="shared" ca="1" si="49"/>
        <v>0</v>
      </c>
      <c r="AP69" s="120" t="s">
        <v>7</v>
      </c>
      <c r="AQ69" s="258">
        <f t="shared" ca="1" si="50"/>
        <v>0</v>
      </c>
      <c r="AR69" s="254">
        <f t="shared" ca="1" si="50"/>
        <v>0</v>
      </c>
      <c r="AS69" s="254">
        <f t="shared" ca="1" si="50"/>
        <v>0</v>
      </c>
      <c r="AT69" s="254">
        <f t="shared" ca="1" si="50"/>
        <v>0</v>
      </c>
      <c r="AU69" s="259">
        <f t="shared" ca="1" si="50"/>
        <v>0</v>
      </c>
      <c r="AV69" s="260" t="e">
        <f t="shared" ca="1" si="51"/>
        <v>#VALUE!</v>
      </c>
      <c r="AW69" s="206" t="e">
        <f t="shared" ca="1" si="51"/>
        <v>#VALUE!</v>
      </c>
      <c r="AX69" s="206" t="e">
        <f t="shared" ca="1" si="51"/>
        <v>#VALUE!</v>
      </c>
      <c r="AY69" s="206" t="e">
        <f t="shared" ca="1" si="51"/>
        <v>#VALUE!</v>
      </c>
      <c r="AZ69" s="212" t="e">
        <f t="shared" ca="1" si="51"/>
        <v>#VALUE!</v>
      </c>
      <c r="BA69" s="206" t="e">
        <f t="shared" ca="1" si="52"/>
        <v>#VALUE!</v>
      </c>
      <c r="BB69" s="206" t="e">
        <f t="shared" ca="1" si="52"/>
        <v>#VALUE!</v>
      </c>
      <c r="BC69" s="206" t="e">
        <f t="shared" ca="1" si="52"/>
        <v>#VALUE!</v>
      </c>
      <c r="BD69" s="206" t="e">
        <f t="shared" ca="1" si="52"/>
        <v>#VALUE!</v>
      </c>
      <c r="BE69" s="212" t="e">
        <f t="shared" ca="1" si="52"/>
        <v>#VALUE!</v>
      </c>
      <c r="BG69" s="121" t="s">
        <v>7</v>
      </c>
      <c r="BH69" s="261">
        <f t="shared" ca="1" si="53"/>
        <v>0</v>
      </c>
      <c r="BI69" s="254">
        <f t="shared" ca="1" si="53"/>
        <v>0</v>
      </c>
      <c r="BJ69" s="254">
        <f t="shared" ca="1" si="53"/>
        <v>0</v>
      </c>
      <c r="BK69" s="254">
        <f t="shared" ca="1" si="53"/>
        <v>0</v>
      </c>
      <c r="BL69" s="262">
        <f t="shared" ca="1" si="53"/>
        <v>0</v>
      </c>
      <c r="BM69" s="213" t="e">
        <f t="shared" ca="1" si="54"/>
        <v>#VALUE!</v>
      </c>
      <c r="BN69" s="206" t="e">
        <f t="shared" ca="1" si="54"/>
        <v>#VALUE!</v>
      </c>
      <c r="BO69" s="206" t="e">
        <f t="shared" ca="1" si="54"/>
        <v>#VALUE!</v>
      </c>
      <c r="BP69" s="206" t="e">
        <f t="shared" ca="1" si="54"/>
        <v>#VALUE!</v>
      </c>
      <c r="BQ69" s="214" t="e">
        <f t="shared" ca="1" si="54"/>
        <v>#VALUE!</v>
      </c>
      <c r="BR69" s="213" t="e">
        <f t="shared" ca="1" si="55"/>
        <v>#VALUE!</v>
      </c>
      <c r="BS69" s="206" t="e">
        <f t="shared" ca="1" si="55"/>
        <v>#VALUE!</v>
      </c>
      <c r="BT69" s="206" t="e">
        <f t="shared" ca="1" si="55"/>
        <v>#VALUE!</v>
      </c>
      <c r="BU69" s="206" t="e">
        <f t="shared" ca="1" si="55"/>
        <v>#VALUE!</v>
      </c>
      <c r="BV69" s="214" t="e">
        <f t="shared" ca="1" si="55"/>
        <v>#VALUE!</v>
      </c>
      <c r="BX69" s="121" t="s">
        <v>7</v>
      </c>
      <c r="BY69" s="263" cm="1">
        <f t="array" aca="1" ref="BY69" ca="1">_xlfn.SINGLE(IFERROR(SUMIFS(rng_out_rx_post_yr1, rng_out_sel_G_ind, "B", rng_out_mail_ind, $B69, rng_out_sel_sp_ind, $D69, rng_out_post_reb_ind_yr1, 1)/[1]Tables!$AT$4 - BY119, 0))</f>
        <v>0</v>
      </c>
      <c r="BZ69" s="264" cm="1">
        <f t="array" aca="1" ref="BZ69" ca="1">_xlfn.SINGLE(IFERROR(SUMIFS(rng_out_rx_post_yr2, rng_out_sel_G_ind, "B", rng_out_mail_ind, $B69, rng_out_sel_sp_ind, $D69, rng_out_post_reb_ind_yr2, 1)/[1]Tables!$AT$4 - BZ119, 0))</f>
        <v>0</v>
      </c>
      <c r="CA69" s="264" cm="1">
        <f t="array" aca="1" ref="CA69" ca="1">_xlfn.SINGLE(IFERROR(SUMIFS(rng_out_rx_post_yr3, rng_out_sel_G_ind, "B", rng_out_mail_ind, $B69, rng_out_sel_sp_ind, $D69, rng_out_post_reb_ind_yr3, 1)/[1]Tables!$AT$4 - CA119, 0))</f>
        <v>0</v>
      </c>
      <c r="CB69" s="264" cm="1">
        <f t="array" aca="1" ref="CB69" ca="1">_xlfn.SINGLE(IFERROR(SUMIFS(rng_out_rx_post_yr4, rng_out_sel_G_ind, "B", rng_out_mail_ind, $B69, rng_out_sel_sp_ind, $D69, rng_out_post_reb_ind_yr4, 1)/[1]Tables!$AT$4 - CB119, 0))</f>
        <v>0</v>
      </c>
      <c r="CC69" s="265" cm="1">
        <f t="array" aca="1" ref="CC69" ca="1">_xlfn.SINGLE(IFERROR(SUMIFS(rng_out_rx_post_yr5, rng_out_sel_G_ind, "B", rng_out_mail_ind, $B69, rng_out_sel_sp_ind, $D69, rng_out_post_reb_ind_yr5, 1)/[1]Tables!$AT$4 - CC119, 0))</f>
        <v>0</v>
      </c>
      <c r="CD69" s="266">
        <f t="shared" ca="1" si="56"/>
        <v>0</v>
      </c>
      <c r="CE69" s="267">
        <f t="shared" ca="1" si="56"/>
        <v>0</v>
      </c>
      <c r="CF69" s="267">
        <f t="shared" ca="1" si="56"/>
        <v>0</v>
      </c>
      <c r="CG69" s="267">
        <f t="shared" ca="1" si="56"/>
        <v>0</v>
      </c>
      <c r="CH69" s="268">
        <f t="shared" ca="1" si="56"/>
        <v>0</v>
      </c>
      <c r="CI69" s="213" t="e">
        <f t="shared" ca="1" si="57"/>
        <v>#VALUE!</v>
      </c>
      <c r="CJ69" s="206" t="e">
        <f t="shared" ca="1" si="57"/>
        <v>#VALUE!</v>
      </c>
      <c r="CK69" s="206" t="e">
        <f t="shared" ca="1" si="57"/>
        <v>#VALUE!</v>
      </c>
      <c r="CL69" s="206" t="e">
        <f t="shared" ca="1" si="57"/>
        <v>#VALUE!</v>
      </c>
      <c r="CM69" s="214" t="e">
        <f t="shared" ca="1" si="57"/>
        <v>#VALUE!</v>
      </c>
      <c r="DC69" s="269"/>
      <c r="DD69" s="269"/>
      <c r="DE69" s="269"/>
      <c r="DF69" s="269"/>
      <c r="DG69" s="269"/>
      <c r="DI69" s="269"/>
      <c r="DJ69" s="269"/>
      <c r="DK69" s="269"/>
      <c r="DL69" s="269"/>
      <c r="DM69" s="269"/>
      <c r="DN69" s="269"/>
    </row>
    <row r="70" spans="2:118" ht="15" thickBot="1" x14ac:dyDescent="0.4">
      <c r="B70" s="122"/>
      <c r="C70" s="123"/>
      <c r="D70" s="123" t="s">
        <v>13</v>
      </c>
      <c r="E70" s="124" t="s">
        <v>12</v>
      </c>
      <c r="F70" s="106">
        <v>1</v>
      </c>
      <c r="H70" s="118" t="s">
        <v>17</v>
      </c>
      <c r="I70" s="253">
        <f ca="1">IF(OR([1]Input!$K$107=[1]Tables!$DK$5, [1]Input!$K$107=[1]Tables!$DK$8), 0, MIN([1]Tables!$AV$4*[1]Tables!$AX$4, N79))</f>
        <v>0</v>
      </c>
      <c r="J70" s="254">
        <f ca="1">IF(OR([1]Input!$K$107=[1]Tables!$DK$5,[1]Input!$K$107=[1]Tables!$DK$8),0,MIN([1]Tables!$AV$4+I70,O79))</f>
        <v>0</v>
      </c>
      <c r="K70" s="254">
        <f ca="1">IF(OR([1]Input!$K$107=[1]Tables!$DK$5,[1]Input!$K$107=[1]Tables!$DK$8),0,MIN([1]Tables!$AV$4+J70,P79))</f>
        <v>0</v>
      </c>
      <c r="L70" s="254">
        <f ca="1">IF(OR([1]Input!$K$107=[1]Tables!$DK$5,[1]Input!$K$107=[1]Tables!$DK$8),0,MIN([1]Tables!$AV$4+K70,Q79))</f>
        <v>0</v>
      </c>
      <c r="M70" s="270">
        <f ca="1">IF(OR([1]Input!$K$107=[1]Tables!$DK$5,[1]Input!$K$107=[1]Tables!$DK$8),0,MIN([1]Tables!$AV$4+L70,R79))</f>
        <v>0</v>
      </c>
      <c r="N70" s="205" t="e">
        <f t="shared" ca="1" si="45"/>
        <v>#VALUE!</v>
      </c>
      <c r="O70" s="206" t="e">
        <f t="shared" ca="1" si="45"/>
        <v>#VALUE!</v>
      </c>
      <c r="P70" s="206" t="e">
        <f t="shared" ca="1" si="45"/>
        <v>#VALUE!</v>
      </c>
      <c r="Q70" s="206" t="e">
        <f t="shared" ca="1" si="45"/>
        <v>#VALUE!</v>
      </c>
      <c r="R70" s="271" t="e">
        <f t="shared" ca="1" si="45"/>
        <v>#VALUE!</v>
      </c>
      <c r="S70" s="206" t="e">
        <f t="shared" ca="1" si="46"/>
        <v>#VALUE!</v>
      </c>
      <c r="T70" s="206" t="e">
        <f t="shared" ca="1" si="46"/>
        <v>#VALUE!</v>
      </c>
      <c r="U70" s="206" t="e">
        <f t="shared" ca="1" si="46"/>
        <v>#VALUE!</v>
      </c>
      <c r="V70" s="206" t="e">
        <f t="shared" ca="1" si="46"/>
        <v>#VALUE!</v>
      </c>
      <c r="W70" s="207" t="e">
        <f t="shared" ca="1" si="46"/>
        <v>#VALUE!</v>
      </c>
      <c r="Y70" s="119" t="s">
        <v>17</v>
      </c>
      <c r="Z70" s="272">
        <f t="shared" ca="1" si="47"/>
        <v>0</v>
      </c>
      <c r="AA70" s="273">
        <f t="shared" ca="1" si="47"/>
        <v>0</v>
      </c>
      <c r="AB70" s="273">
        <f t="shared" ca="1" si="47"/>
        <v>0</v>
      </c>
      <c r="AC70" s="273">
        <f t="shared" ca="1" si="47"/>
        <v>0</v>
      </c>
      <c r="AD70" s="274">
        <f t="shared" ca="1" si="47"/>
        <v>0</v>
      </c>
      <c r="AE70" s="223">
        <f t="shared" ca="1" si="48"/>
        <v>0</v>
      </c>
      <c r="AF70" s="224">
        <f t="shared" ca="1" si="48"/>
        <v>0</v>
      </c>
      <c r="AG70" s="224">
        <f t="shared" ca="1" si="48"/>
        <v>0</v>
      </c>
      <c r="AH70" s="224">
        <f t="shared" ca="1" si="48"/>
        <v>0</v>
      </c>
      <c r="AI70" s="225">
        <f t="shared" ca="1" si="48"/>
        <v>0</v>
      </c>
      <c r="AJ70" s="224">
        <f t="shared" ca="1" si="49"/>
        <v>0</v>
      </c>
      <c r="AK70" s="224">
        <f t="shared" ca="1" si="49"/>
        <v>0</v>
      </c>
      <c r="AL70" s="224">
        <f t="shared" ca="1" si="49"/>
        <v>0</v>
      </c>
      <c r="AM70" s="224">
        <f t="shared" ca="1" si="49"/>
        <v>0</v>
      </c>
      <c r="AN70" s="225">
        <f t="shared" ca="1" si="49"/>
        <v>0</v>
      </c>
      <c r="AP70" s="120" t="s">
        <v>17</v>
      </c>
      <c r="AQ70" s="275">
        <f t="shared" ca="1" si="50"/>
        <v>0</v>
      </c>
      <c r="AR70" s="276">
        <f t="shared" ca="1" si="50"/>
        <v>0</v>
      </c>
      <c r="AS70" s="276">
        <f t="shared" ca="1" si="50"/>
        <v>0</v>
      </c>
      <c r="AT70" s="276">
        <f t="shared" ca="1" si="50"/>
        <v>0</v>
      </c>
      <c r="AU70" s="277">
        <f t="shared" ca="1" si="50"/>
        <v>0</v>
      </c>
      <c r="AV70" s="243" t="e">
        <f t="shared" ca="1" si="51"/>
        <v>#VALUE!</v>
      </c>
      <c r="AW70" s="229" t="e">
        <f t="shared" ca="1" si="51"/>
        <v>#VALUE!</v>
      </c>
      <c r="AX70" s="229" t="e">
        <f t="shared" ca="1" si="51"/>
        <v>#VALUE!</v>
      </c>
      <c r="AY70" s="229" t="e">
        <f t="shared" ca="1" si="51"/>
        <v>#VALUE!</v>
      </c>
      <c r="AZ70" s="230" t="e">
        <f t="shared" ca="1" si="51"/>
        <v>#VALUE!</v>
      </c>
      <c r="BA70" s="229" t="e">
        <f t="shared" ca="1" si="52"/>
        <v>#VALUE!</v>
      </c>
      <c r="BB70" s="229" t="e">
        <f t="shared" ca="1" si="52"/>
        <v>#VALUE!</v>
      </c>
      <c r="BC70" s="229" t="e">
        <f t="shared" ca="1" si="52"/>
        <v>#VALUE!</v>
      </c>
      <c r="BD70" s="229" t="e">
        <f t="shared" ca="1" si="52"/>
        <v>#VALUE!</v>
      </c>
      <c r="BE70" s="230" t="e">
        <f t="shared" ca="1" si="52"/>
        <v>#VALUE!</v>
      </c>
      <c r="BG70" s="121" t="s">
        <v>17</v>
      </c>
      <c r="BH70" s="278">
        <f t="shared" ca="1" si="53"/>
        <v>0</v>
      </c>
      <c r="BI70" s="279">
        <f t="shared" ca="1" si="53"/>
        <v>0</v>
      </c>
      <c r="BJ70" s="279">
        <f t="shared" ca="1" si="53"/>
        <v>0</v>
      </c>
      <c r="BK70" s="279">
        <f t="shared" ca="1" si="53"/>
        <v>0</v>
      </c>
      <c r="BL70" s="280">
        <f t="shared" ca="1" si="53"/>
        <v>0</v>
      </c>
      <c r="BM70" s="231" t="e">
        <f t="shared" ca="1" si="54"/>
        <v>#VALUE!</v>
      </c>
      <c r="BN70" s="232" t="e">
        <f t="shared" ca="1" si="54"/>
        <v>#VALUE!</v>
      </c>
      <c r="BO70" s="232" t="e">
        <f t="shared" ca="1" si="54"/>
        <v>#VALUE!</v>
      </c>
      <c r="BP70" s="232" t="e">
        <f t="shared" ca="1" si="54"/>
        <v>#VALUE!</v>
      </c>
      <c r="BQ70" s="233" t="e">
        <f t="shared" ca="1" si="54"/>
        <v>#VALUE!</v>
      </c>
      <c r="BR70" s="232" t="e">
        <f t="shared" ca="1" si="55"/>
        <v>#VALUE!</v>
      </c>
      <c r="BS70" s="232" t="e">
        <f t="shared" ca="1" si="55"/>
        <v>#VALUE!</v>
      </c>
      <c r="BT70" s="232" t="e">
        <f t="shared" ca="1" si="55"/>
        <v>#VALUE!</v>
      </c>
      <c r="BU70" s="232" t="e">
        <f t="shared" ca="1" si="55"/>
        <v>#VALUE!</v>
      </c>
      <c r="BV70" s="233" t="e">
        <f t="shared" ca="1" si="55"/>
        <v>#VALUE!</v>
      </c>
      <c r="BX70" s="121" t="s">
        <v>17</v>
      </c>
      <c r="BY70" s="281" cm="1">
        <f t="array" aca="1" ref="BY70" ca="1">_xlfn.SINGLE(IFERROR(SUMIFS(rng_out_rx_post_yr1, rng_out_sel_G_ind, "B", rng_out_sel_sp_ind, $D70, rng_out_post_reb_ind_yr1, 1)/[1]Tables!$AT$4 - BY120, 0))</f>
        <v>0</v>
      </c>
      <c r="BZ70" s="282" cm="1">
        <f t="array" aca="1" ref="BZ70" ca="1">_xlfn.SINGLE(IFERROR(SUMIFS(rng_out_rx_post_yr2, rng_out_sel_G_ind, "B", rng_out_sel_sp_ind, $D70, rng_out_post_reb_ind_yr2, 1)/[1]Tables!$AT$4 - BZ120, 0))</f>
        <v>0</v>
      </c>
      <c r="CA70" s="282" cm="1">
        <f t="array" aca="1" ref="CA70" ca="1">_xlfn.SINGLE(IFERROR(SUMIFS(rng_out_rx_post_yr3, rng_out_sel_G_ind, "B", rng_out_sel_sp_ind, $D70, rng_out_post_reb_ind_yr3, 1)/[1]Tables!$AT$4 - CA120, 0))</f>
        <v>0</v>
      </c>
      <c r="CB70" s="282" cm="1">
        <f t="array" aca="1" ref="CB70" ca="1">_xlfn.SINGLE(IFERROR(SUMIFS(rng_out_rx_post_yr4, rng_out_sel_G_ind, "B", rng_out_sel_sp_ind, $D70, rng_out_post_reb_ind_yr4, 1)/[1]Tables!$AT$4 - CB120, 0))</f>
        <v>0</v>
      </c>
      <c r="CC70" s="283" cm="1">
        <f t="array" aca="1" ref="CC70" ca="1">_xlfn.SINGLE(IFERROR(SUMIFS(rng_out_rx_post_yr5, rng_out_sel_G_ind, "B", rng_out_sel_sp_ind, $D70, rng_out_post_reb_ind_yr5, 1)/[1]Tables!$AT$4 - CC120, 0))</f>
        <v>0</v>
      </c>
      <c r="CD70" s="284">
        <f t="shared" ca="1" si="56"/>
        <v>0</v>
      </c>
      <c r="CE70" s="285">
        <f t="shared" ca="1" si="56"/>
        <v>0</v>
      </c>
      <c r="CF70" s="285">
        <f t="shared" ca="1" si="56"/>
        <v>0</v>
      </c>
      <c r="CG70" s="285">
        <f t="shared" ca="1" si="56"/>
        <v>0</v>
      </c>
      <c r="CH70" s="286">
        <f t="shared" ca="1" si="56"/>
        <v>0</v>
      </c>
      <c r="CI70" s="232" t="e">
        <f t="shared" ca="1" si="57"/>
        <v>#VALUE!</v>
      </c>
      <c r="CJ70" s="232" t="e">
        <f t="shared" ca="1" si="57"/>
        <v>#VALUE!</v>
      </c>
      <c r="CK70" s="232" t="e">
        <f t="shared" ca="1" si="57"/>
        <v>#VALUE!</v>
      </c>
      <c r="CL70" s="232" t="e">
        <f t="shared" ca="1" si="57"/>
        <v>#VALUE!</v>
      </c>
      <c r="CM70" s="233" t="e">
        <f t="shared" ca="1" si="57"/>
        <v>#VALUE!</v>
      </c>
      <c r="DC70" s="269"/>
      <c r="DD70" s="269"/>
      <c r="DE70" s="269"/>
      <c r="DF70" s="269"/>
      <c r="DG70" s="269"/>
      <c r="DI70" s="269"/>
      <c r="DJ70" s="269"/>
      <c r="DK70" s="269"/>
      <c r="DL70" s="269"/>
      <c r="DM70" s="269"/>
      <c r="DN70" s="269"/>
    </row>
    <row r="71" spans="2:118" ht="15" thickBot="1" x14ac:dyDescent="0.4">
      <c r="H71" s="154" t="s">
        <v>18</v>
      </c>
      <c r="I71" s="287"/>
      <c r="J71" s="287"/>
      <c r="K71" s="287"/>
      <c r="L71" s="287"/>
      <c r="M71" s="288"/>
      <c r="N71" s="238" t="e">
        <f t="shared" ref="N71:W71" ca="1" si="58">SUM(N67:N70)</f>
        <v>#VALUE!</v>
      </c>
      <c r="O71" s="238" t="e">
        <f t="shared" ca="1" si="58"/>
        <v>#VALUE!</v>
      </c>
      <c r="P71" s="238" t="e">
        <f t="shared" ca="1" si="58"/>
        <v>#VALUE!</v>
      </c>
      <c r="Q71" s="238" t="e">
        <f t="shared" ca="1" si="58"/>
        <v>#VALUE!</v>
      </c>
      <c r="R71" s="239" t="e">
        <f t="shared" ca="1" si="58"/>
        <v>#VALUE!</v>
      </c>
      <c r="S71" s="238" t="e">
        <f t="shared" ca="1" si="58"/>
        <v>#VALUE!</v>
      </c>
      <c r="T71" s="238" t="e">
        <f t="shared" ca="1" si="58"/>
        <v>#VALUE!</v>
      </c>
      <c r="U71" s="238" t="e">
        <f t="shared" ca="1" si="58"/>
        <v>#VALUE!</v>
      </c>
      <c r="V71" s="238" t="e">
        <f t="shared" ca="1" si="58"/>
        <v>#VALUE!</v>
      </c>
      <c r="W71" s="239" t="e">
        <f t="shared" ca="1" si="58"/>
        <v>#VALUE!</v>
      </c>
      <c r="Y71" s="159" t="s">
        <v>18</v>
      </c>
      <c r="Z71" s="289"/>
      <c r="AA71" s="290"/>
      <c r="AB71" s="290"/>
      <c r="AC71" s="290"/>
      <c r="AD71" s="291"/>
      <c r="AE71" s="240">
        <f t="shared" ref="AE71:AN71" ca="1" si="59">SUM(AE67:AE70)</f>
        <v>0</v>
      </c>
      <c r="AF71" s="241">
        <f t="shared" ca="1" si="59"/>
        <v>0</v>
      </c>
      <c r="AG71" s="241">
        <f t="shared" ca="1" si="59"/>
        <v>0</v>
      </c>
      <c r="AH71" s="241">
        <f t="shared" ca="1" si="59"/>
        <v>0</v>
      </c>
      <c r="AI71" s="242">
        <f t="shared" ca="1" si="59"/>
        <v>0</v>
      </c>
      <c r="AJ71" s="241">
        <f t="shared" ca="1" si="59"/>
        <v>0</v>
      </c>
      <c r="AK71" s="241">
        <f t="shared" ca="1" si="59"/>
        <v>0</v>
      </c>
      <c r="AL71" s="241">
        <f t="shared" ca="1" si="59"/>
        <v>0</v>
      </c>
      <c r="AM71" s="241">
        <f t="shared" ca="1" si="59"/>
        <v>0</v>
      </c>
      <c r="AN71" s="242">
        <f t="shared" ca="1" si="59"/>
        <v>0</v>
      </c>
      <c r="AP71" s="166" t="s">
        <v>18</v>
      </c>
      <c r="AQ71" s="292"/>
      <c r="AR71" s="293"/>
      <c r="AS71" s="293"/>
      <c r="AT71" s="293"/>
      <c r="AU71" s="294"/>
      <c r="AV71" s="226" t="e">
        <f t="shared" ref="AV71:BE71" ca="1" si="60">SUM(AV67:AV70)</f>
        <v>#VALUE!</v>
      </c>
      <c r="AW71" s="227" t="e">
        <f t="shared" ca="1" si="60"/>
        <v>#VALUE!</v>
      </c>
      <c r="AX71" s="227" t="e">
        <f t="shared" ca="1" si="60"/>
        <v>#VALUE!</v>
      </c>
      <c r="AY71" s="227" t="e">
        <f t="shared" ca="1" si="60"/>
        <v>#VALUE!</v>
      </c>
      <c r="AZ71" s="228" t="e">
        <f t="shared" ca="1" si="60"/>
        <v>#VALUE!</v>
      </c>
      <c r="BA71" s="227" t="e">
        <f t="shared" ca="1" si="60"/>
        <v>#VALUE!</v>
      </c>
      <c r="BB71" s="227" t="e">
        <f t="shared" ca="1" si="60"/>
        <v>#VALUE!</v>
      </c>
      <c r="BC71" s="227" t="e">
        <f t="shared" ca="1" si="60"/>
        <v>#VALUE!</v>
      </c>
      <c r="BD71" s="227" t="e">
        <f t="shared" ca="1" si="60"/>
        <v>#VALUE!</v>
      </c>
      <c r="BE71" s="228" t="e">
        <f t="shared" ca="1" si="60"/>
        <v>#VALUE!</v>
      </c>
      <c r="BG71" s="171" t="s">
        <v>18</v>
      </c>
      <c r="BH71" s="295"/>
      <c r="BI71" s="296"/>
      <c r="BJ71" s="296"/>
      <c r="BK71" s="296"/>
      <c r="BL71" s="297"/>
      <c r="BM71" s="244" t="e">
        <f ca="1">SUM(BM67:BM70)</f>
        <v>#VALUE!</v>
      </c>
      <c r="BN71" s="245" t="e">
        <f t="shared" ref="BN71:BV71" ca="1" si="61">SUM(BN67:BN70)</f>
        <v>#VALUE!</v>
      </c>
      <c r="BO71" s="245" t="e">
        <f t="shared" ca="1" si="61"/>
        <v>#VALUE!</v>
      </c>
      <c r="BP71" s="245" t="e">
        <f t="shared" ca="1" si="61"/>
        <v>#VALUE!</v>
      </c>
      <c r="BQ71" s="234" t="e">
        <f t="shared" ca="1" si="61"/>
        <v>#VALUE!</v>
      </c>
      <c r="BR71" s="245" t="e">
        <f t="shared" ca="1" si="61"/>
        <v>#VALUE!</v>
      </c>
      <c r="BS71" s="245" t="e">
        <f t="shared" ca="1" si="61"/>
        <v>#VALUE!</v>
      </c>
      <c r="BT71" s="245" t="e">
        <f t="shared" ca="1" si="61"/>
        <v>#VALUE!</v>
      </c>
      <c r="BU71" s="245" t="e">
        <f t="shared" ca="1" si="61"/>
        <v>#VALUE!</v>
      </c>
      <c r="BV71" s="234" t="e">
        <f t="shared" ca="1" si="61"/>
        <v>#VALUE!</v>
      </c>
      <c r="BX71" s="171" t="s">
        <v>18</v>
      </c>
      <c r="BY71" s="298">
        <f ca="1">SUM(BY67:BY70)</f>
        <v>0</v>
      </c>
      <c r="BZ71" s="299">
        <f ca="1">SUM(BZ67:BZ70)</f>
        <v>0</v>
      </c>
      <c r="CA71" s="299">
        <f ca="1">SUM(CA67:CA70)</f>
        <v>0</v>
      </c>
      <c r="CB71" s="299">
        <f ca="1">SUM(CB67:CB70)</f>
        <v>0</v>
      </c>
      <c r="CC71" s="300">
        <f ca="1">SUM(CC67:CC70)</f>
        <v>0</v>
      </c>
      <c r="CD71" s="284">
        <f ca="1">IFERROR(SUMPRODUCT(CD67:CD70, CD58:CD61)/CD62, 0)</f>
        <v>0</v>
      </c>
      <c r="CE71" s="285">
        <f ca="1">IFERROR(SUMPRODUCT(CE67:CE70, CE58:CE61)/CE62, 0)</f>
        <v>0</v>
      </c>
      <c r="CF71" s="285">
        <f ca="1">IFERROR(SUMPRODUCT(CF67:CF70, CF58:CF61)/CF62, 0)</f>
        <v>0</v>
      </c>
      <c r="CG71" s="285">
        <f ca="1">IFERROR(SUMPRODUCT(CG67:CG70, CG58:CG61)/CG62, 0)</f>
        <v>0</v>
      </c>
      <c r="CH71" s="286">
        <f ca="1">IFERROR(SUMPRODUCT(CH67:CH70, CH58:CH61)/CH62, 0)</f>
        <v>0</v>
      </c>
      <c r="CI71" s="232" t="e">
        <f ca="1">SUM(CI67:CI70)</f>
        <v>#VALUE!</v>
      </c>
      <c r="CJ71" s="232" t="e">
        <f ca="1">SUM(CJ67:CJ70)</f>
        <v>#VALUE!</v>
      </c>
      <c r="CK71" s="232" t="e">
        <f ca="1">SUM(CK67:CK70)</f>
        <v>#VALUE!</v>
      </c>
      <c r="CL71" s="232" t="e">
        <f ca="1">SUM(CL67:CL70)</f>
        <v>#VALUE!</v>
      </c>
      <c r="CM71" s="233" t="e">
        <f ca="1">SUM(CM67:CM70)</f>
        <v>#VALUE!</v>
      </c>
      <c r="DC71" s="269"/>
      <c r="DD71" s="269"/>
      <c r="DE71" s="269"/>
      <c r="DF71" s="269"/>
      <c r="DG71" s="269"/>
      <c r="DI71" s="269"/>
      <c r="DJ71" s="269"/>
      <c r="DK71" s="269"/>
      <c r="DL71" s="269"/>
      <c r="DM71" s="269"/>
      <c r="DN71" s="269"/>
    </row>
    <row r="72" spans="2:118" ht="15" thickBot="1" x14ac:dyDescent="0.4">
      <c r="O72" s="301"/>
      <c r="P72" s="301"/>
      <c r="CI72" s="206"/>
      <c r="DC72" s="4"/>
      <c r="DD72" s="4"/>
      <c r="DE72" s="4"/>
      <c r="DF72" s="4"/>
      <c r="DG72" s="4"/>
    </row>
    <row r="73" spans="2:118" ht="15" thickBot="1" x14ac:dyDescent="0.4">
      <c r="I73" s="21" t="s">
        <v>23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3"/>
      <c r="Z73" s="24" t="s">
        <v>23</v>
      </c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6"/>
      <c r="AQ73" s="27" t="s">
        <v>23</v>
      </c>
      <c r="AR73" s="28"/>
      <c r="AS73" s="28"/>
      <c r="AT73" s="28"/>
      <c r="AU73" s="29"/>
      <c r="AV73" s="28"/>
      <c r="AW73" s="28"/>
      <c r="AX73" s="28"/>
      <c r="AY73" s="28"/>
      <c r="AZ73" s="28"/>
      <c r="BA73" s="28"/>
      <c r="BB73" s="28"/>
      <c r="BC73" s="28"/>
      <c r="BD73" s="28"/>
      <c r="BE73" s="30"/>
      <c r="BH73" s="31" t="s">
        <v>23</v>
      </c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3"/>
      <c r="BY73" s="34" t="s">
        <v>23</v>
      </c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6"/>
      <c r="CQ73" s="195"/>
      <c r="DC73" s="4"/>
      <c r="DD73" s="4"/>
      <c r="DE73" s="4"/>
      <c r="DF73" s="4"/>
      <c r="DG73" s="4"/>
    </row>
    <row r="74" spans="2:118" ht="15" thickBot="1" x14ac:dyDescent="0.4">
      <c r="H74" s="37"/>
      <c r="I74" s="302" t="s">
        <v>35</v>
      </c>
      <c r="J74" s="303"/>
      <c r="K74" s="303"/>
      <c r="L74" s="303"/>
      <c r="M74" s="304"/>
      <c r="N74" s="302" t="s">
        <v>36</v>
      </c>
      <c r="O74" s="303"/>
      <c r="P74" s="303"/>
      <c r="Q74" s="303"/>
      <c r="R74" s="304"/>
      <c r="S74" s="302" t="s">
        <v>37</v>
      </c>
      <c r="T74" s="303"/>
      <c r="U74" s="303"/>
      <c r="V74" s="303"/>
      <c r="W74" s="304"/>
      <c r="Z74" s="41" t="s">
        <v>35</v>
      </c>
      <c r="AA74" s="42"/>
      <c r="AB74" s="42"/>
      <c r="AC74" s="42"/>
      <c r="AD74" s="43"/>
      <c r="AE74" s="41" t="s">
        <v>36</v>
      </c>
      <c r="AF74" s="42"/>
      <c r="AG74" s="42"/>
      <c r="AH74" s="42"/>
      <c r="AI74" s="43"/>
      <c r="AJ74" s="41" t="s">
        <v>37</v>
      </c>
      <c r="AK74" s="42"/>
      <c r="AL74" s="42"/>
      <c r="AM74" s="42"/>
      <c r="AN74" s="43"/>
      <c r="AQ74" s="44" t="s">
        <v>35</v>
      </c>
      <c r="AR74" s="45"/>
      <c r="AS74" s="45"/>
      <c r="AT74" s="45"/>
      <c r="AU74" s="46"/>
      <c r="AV74" s="44" t="s">
        <v>36</v>
      </c>
      <c r="AW74" s="45"/>
      <c r="AX74" s="45"/>
      <c r="AY74" s="45"/>
      <c r="AZ74" s="46"/>
      <c r="BA74" s="45" t="s">
        <v>37</v>
      </c>
      <c r="BB74" s="45"/>
      <c r="BC74" s="45"/>
      <c r="BD74" s="45"/>
      <c r="BE74" s="46"/>
      <c r="BH74" s="305" t="s">
        <v>35</v>
      </c>
      <c r="BI74" s="306"/>
      <c r="BJ74" s="306"/>
      <c r="BK74" s="306"/>
      <c r="BL74" s="307"/>
      <c r="BM74" s="305" t="s">
        <v>36</v>
      </c>
      <c r="BN74" s="306"/>
      <c r="BO74" s="306"/>
      <c r="BP74" s="306"/>
      <c r="BQ74" s="307"/>
      <c r="BR74" s="308" t="s">
        <v>37</v>
      </c>
      <c r="BS74" s="308"/>
      <c r="BT74" s="308"/>
      <c r="BU74" s="308"/>
      <c r="BV74" s="309"/>
      <c r="BY74" s="305" t="s">
        <v>35</v>
      </c>
      <c r="BZ74" s="306"/>
      <c r="CA74" s="306"/>
      <c r="CB74" s="306"/>
      <c r="CC74" s="307"/>
      <c r="CD74" s="305" t="s">
        <v>36</v>
      </c>
      <c r="CE74" s="306"/>
      <c r="CF74" s="306"/>
      <c r="CG74" s="306"/>
      <c r="CH74" s="307"/>
      <c r="CI74" s="308" t="s">
        <v>37</v>
      </c>
      <c r="CJ74" s="308"/>
      <c r="CK74" s="308"/>
      <c r="CL74" s="308"/>
      <c r="CM74" s="309"/>
      <c r="CO74" s="310" t="s">
        <v>38</v>
      </c>
      <c r="DC74" s="4"/>
      <c r="DD74" s="4"/>
      <c r="DE74" s="4"/>
      <c r="DF74" s="4"/>
      <c r="DG74" s="4"/>
    </row>
    <row r="75" spans="2:118" ht="15" thickBot="1" x14ac:dyDescent="0.4">
      <c r="H75" s="55"/>
      <c r="I75" s="56" t="str">
        <f>[1]Tables!$AA$4</f>
        <v>07/27 - 06/28</v>
      </c>
      <c r="J75" s="55" t="str">
        <f>[1]Tables!$AA$5</f>
        <v>07/28 - 06/29</v>
      </c>
      <c r="K75" s="55" t="str">
        <f>[1]Tables!$AA$6</f>
        <v>07/29 - 06/30</v>
      </c>
      <c r="L75" s="55" t="str">
        <f>[1]Tables!$AA$7</f>
        <v>07/30 - 06/31</v>
      </c>
      <c r="M75" s="57" t="str">
        <f>[1]Tables!$AA$8</f>
        <v>07/31 - 06/32</v>
      </c>
      <c r="N75" s="56" t="str">
        <f>[1]Tables!$AA$4</f>
        <v>07/27 - 06/28</v>
      </c>
      <c r="O75" s="55" t="str">
        <f>[1]Tables!$AA$5</f>
        <v>07/28 - 06/29</v>
      </c>
      <c r="P75" s="55" t="str">
        <f>[1]Tables!$AA$6</f>
        <v>07/29 - 06/30</v>
      </c>
      <c r="Q75" s="55" t="str">
        <f>[1]Tables!$AA$7</f>
        <v>07/30 - 06/31</v>
      </c>
      <c r="R75" s="57" t="str">
        <f>[1]Tables!$AA$8</f>
        <v>07/31 - 06/32</v>
      </c>
      <c r="S75" s="56" t="str">
        <f>[1]Tables!$AA$4</f>
        <v>07/27 - 06/28</v>
      </c>
      <c r="T75" s="55" t="str">
        <f>[1]Tables!$AA$5</f>
        <v>07/28 - 06/29</v>
      </c>
      <c r="U75" s="55" t="str">
        <f>[1]Tables!$AA$6</f>
        <v>07/29 - 06/30</v>
      </c>
      <c r="V75" s="55" t="str">
        <f>[1]Tables!$AA$7</f>
        <v>07/30 - 06/31</v>
      </c>
      <c r="W75" s="57" t="str">
        <f>[1]Tables!$AA$8</f>
        <v>07/31 - 06/32</v>
      </c>
      <c r="Y75" s="58"/>
      <c r="Z75" s="59" t="str">
        <f>[1]Tables!$AA$4</f>
        <v>07/27 - 06/28</v>
      </c>
      <c r="AA75" s="60" t="str">
        <f>[1]Tables!$AA$5</f>
        <v>07/28 - 06/29</v>
      </c>
      <c r="AB75" s="60" t="str">
        <f>[1]Tables!$AA$6</f>
        <v>07/29 - 06/30</v>
      </c>
      <c r="AC75" s="60" t="str">
        <f>[1]Tables!$AA$7</f>
        <v>07/30 - 06/31</v>
      </c>
      <c r="AD75" s="61" t="str">
        <f>[1]Tables!$AA$8</f>
        <v>07/31 - 06/32</v>
      </c>
      <c r="AE75" s="59" t="str">
        <f>[1]Tables!$AA$4</f>
        <v>07/27 - 06/28</v>
      </c>
      <c r="AF75" s="60" t="str">
        <f>[1]Tables!$AA$5</f>
        <v>07/28 - 06/29</v>
      </c>
      <c r="AG75" s="60" t="str">
        <f>[1]Tables!$AA$6</f>
        <v>07/29 - 06/30</v>
      </c>
      <c r="AH75" s="60" t="str">
        <f>[1]Tables!$AA$7</f>
        <v>07/30 - 06/31</v>
      </c>
      <c r="AI75" s="61" t="str">
        <f>[1]Tables!$AA$8</f>
        <v>07/31 - 06/32</v>
      </c>
      <c r="AJ75" s="59" t="str">
        <f>[1]Tables!$AA$4</f>
        <v>07/27 - 06/28</v>
      </c>
      <c r="AK75" s="60" t="str">
        <f>[1]Tables!$AA$5</f>
        <v>07/28 - 06/29</v>
      </c>
      <c r="AL75" s="60" t="str">
        <f>[1]Tables!$AA$6</f>
        <v>07/29 - 06/30</v>
      </c>
      <c r="AM75" s="60" t="str">
        <f>[1]Tables!$AA$7</f>
        <v>07/30 - 06/31</v>
      </c>
      <c r="AN75" s="61" t="str">
        <f>[1]Tables!$AA$8</f>
        <v>07/31 - 06/32</v>
      </c>
      <c r="AP75" s="58"/>
      <c r="AQ75" s="62" t="str">
        <f>[1]Tables!$AA$4</f>
        <v>07/27 - 06/28</v>
      </c>
      <c r="AR75" s="63" t="str">
        <f>[1]Tables!$AA$5</f>
        <v>07/28 - 06/29</v>
      </c>
      <c r="AS75" s="63" t="str">
        <f>[1]Tables!$AA$6</f>
        <v>07/29 - 06/30</v>
      </c>
      <c r="AT75" s="63" t="str">
        <f>[1]Tables!$AA$7</f>
        <v>07/30 - 06/31</v>
      </c>
      <c r="AU75" s="64" t="str">
        <f>[1]Tables!$AA$8</f>
        <v>07/31 - 06/32</v>
      </c>
      <c r="AV75" s="62" t="str">
        <f>[1]Tables!$AA$4</f>
        <v>07/27 - 06/28</v>
      </c>
      <c r="AW75" s="63" t="str">
        <f>[1]Tables!$AA$5</f>
        <v>07/28 - 06/29</v>
      </c>
      <c r="AX75" s="63" t="str">
        <f>[1]Tables!$AA$6</f>
        <v>07/29 - 06/30</v>
      </c>
      <c r="AY75" s="63" t="str">
        <f>[1]Tables!$AA$7</f>
        <v>07/30 - 06/31</v>
      </c>
      <c r="AZ75" s="64" t="str">
        <f>[1]Tables!$AA$8</f>
        <v>07/31 - 06/32</v>
      </c>
      <c r="BA75" s="63" t="str">
        <f>[1]Tables!$AA$4</f>
        <v>07/27 - 06/28</v>
      </c>
      <c r="BB75" s="63" t="str">
        <f>[1]Tables!$AA$5</f>
        <v>07/28 - 06/29</v>
      </c>
      <c r="BC75" s="63" t="str">
        <f>[1]Tables!$AA$6</f>
        <v>07/29 - 06/30</v>
      </c>
      <c r="BD75" s="63" t="str">
        <f>[1]Tables!$AA$7</f>
        <v>07/30 - 06/31</v>
      </c>
      <c r="BE75" s="64" t="str">
        <f>[1]Tables!$AA$8</f>
        <v>07/31 - 06/32</v>
      </c>
      <c r="BG75" s="58"/>
      <c r="BH75" s="65" t="str">
        <f>[1]Tables!$AA$4</f>
        <v>07/27 - 06/28</v>
      </c>
      <c r="BI75" s="66" t="str">
        <f>[1]Tables!$AA$5</f>
        <v>07/28 - 06/29</v>
      </c>
      <c r="BJ75" s="66" t="str">
        <f>[1]Tables!$AA$6</f>
        <v>07/29 - 06/30</v>
      </c>
      <c r="BK75" s="66" t="str">
        <f>[1]Tables!$AA$7</f>
        <v>07/30 - 06/31</v>
      </c>
      <c r="BL75" s="67" t="str">
        <f>[1]Tables!$AA$8</f>
        <v>07/31 - 06/32</v>
      </c>
      <c r="BM75" s="65" t="str">
        <f>[1]Tables!$AA$4</f>
        <v>07/27 - 06/28</v>
      </c>
      <c r="BN75" s="66" t="str">
        <f>[1]Tables!$AA$5</f>
        <v>07/28 - 06/29</v>
      </c>
      <c r="BO75" s="66" t="str">
        <f>[1]Tables!$AA$6</f>
        <v>07/29 - 06/30</v>
      </c>
      <c r="BP75" s="66" t="str">
        <f>[1]Tables!$AA$7</f>
        <v>07/30 - 06/31</v>
      </c>
      <c r="BQ75" s="67" t="str">
        <f>[1]Tables!$AA$8</f>
        <v>07/31 - 06/32</v>
      </c>
      <c r="BR75" s="66" t="str">
        <f>[1]Tables!$AA$4</f>
        <v>07/27 - 06/28</v>
      </c>
      <c r="BS75" s="66" t="str">
        <f>[1]Tables!$AA$5</f>
        <v>07/28 - 06/29</v>
      </c>
      <c r="BT75" s="66" t="str">
        <f>[1]Tables!$AA$6</f>
        <v>07/29 - 06/30</v>
      </c>
      <c r="BU75" s="66" t="str">
        <f>[1]Tables!$AA$7</f>
        <v>07/30 - 06/31</v>
      </c>
      <c r="BV75" s="67" t="str">
        <f>[1]Tables!$AA$8</f>
        <v>07/31 - 06/32</v>
      </c>
      <c r="BX75" s="58"/>
      <c r="BY75" s="65" t="str">
        <f>[1]Tables!$AA$4</f>
        <v>07/27 - 06/28</v>
      </c>
      <c r="BZ75" s="66" t="str">
        <f>[1]Tables!$AA$5</f>
        <v>07/28 - 06/29</v>
      </c>
      <c r="CA75" s="66" t="str">
        <f>[1]Tables!$AA$6</f>
        <v>07/29 - 06/30</v>
      </c>
      <c r="CB75" s="66" t="str">
        <f>[1]Tables!$AA$7</f>
        <v>07/30 - 06/31</v>
      </c>
      <c r="CC75" s="67" t="str">
        <f>[1]Tables!$AA$8</f>
        <v>07/31 - 06/32</v>
      </c>
      <c r="CD75" s="65" t="str">
        <f>[1]Tables!$AA$4</f>
        <v>07/27 - 06/28</v>
      </c>
      <c r="CE75" s="66" t="str">
        <f>[1]Tables!$AA$5</f>
        <v>07/28 - 06/29</v>
      </c>
      <c r="CF75" s="66" t="str">
        <f>[1]Tables!$AA$6</f>
        <v>07/29 - 06/30</v>
      </c>
      <c r="CG75" s="66" t="str">
        <f>[1]Tables!$AA$7</f>
        <v>07/30 - 06/31</v>
      </c>
      <c r="CH75" s="67" t="str">
        <f>[1]Tables!$AA$8</f>
        <v>07/31 - 06/32</v>
      </c>
      <c r="CI75" s="66" t="str">
        <f>[1]Tables!$AA$4</f>
        <v>07/27 - 06/28</v>
      </c>
      <c r="CJ75" s="66" t="str">
        <f>[1]Tables!$AA$5</f>
        <v>07/28 - 06/29</v>
      </c>
      <c r="CK75" s="66" t="str">
        <f>[1]Tables!$AA$6</f>
        <v>07/29 - 06/30</v>
      </c>
      <c r="CL75" s="66" t="str">
        <f>[1]Tables!$AA$7</f>
        <v>07/30 - 06/31</v>
      </c>
      <c r="CM75" s="67" t="str">
        <f>[1]Tables!$AA$8</f>
        <v>07/31 - 06/32</v>
      </c>
      <c r="CO75" s="202" t="s">
        <v>36</v>
      </c>
      <c r="DC75" s="4"/>
      <c r="DD75" s="4"/>
      <c r="DE75" s="4"/>
      <c r="DF75" s="4"/>
      <c r="DG75" s="4"/>
    </row>
    <row r="76" spans="2:118" x14ac:dyDescent="0.35">
      <c r="B76" s="68" t="s">
        <v>11</v>
      </c>
      <c r="C76" s="69">
        <v>30</v>
      </c>
      <c r="D76" s="69" t="s">
        <v>12</v>
      </c>
      <c r="E76" s="70" t="s">
        <v>12</v>
      </c>
      <c r="F76" s="106"/>
      <c r="H76" s="71" t="s">
        <v>14</v>
      </c>
      <c r="I76" s="205" t="e">
        <f t="shared" ref="I76:M79" ca="1" si="62">I58-N67</f>
        <v>#VALUE!</v>
      </c>
      <c r="J76" s="206" t="e">
        <f t="shared" ca="1" si="62"/>
        <v>#VALUE!</v>
      </c>
      <c r="K76" s="206" t="e">
        <f t="shared" ca="1" si="62"/>
        <v>#VALUE!</v>
      </c>
      <c r="L76" s="206" t="e">
        <f t="shared" ca="1" si="62"/>
        <v>#VALUE!</v>
      </c>
      <c r="M76" s="207" t="e">
        <f t="shared" ca="1" si="62"/>
        <v>#VALUE!</v>
      </c>
      <c r="N76" s="311">
        <f t="shared" ref="N76:R80" ca="1" si="63">IFERROR(I58/S58, 0)</f>
        <v>0</v>
      </c>
      <c r="O76" s="267">
        <f t="shared" ca="1" si="63"/>
        <v>0</v>
      </c>
      <c r="P76" s="267">
        <f t="shared" ca="1" si="63"/>
        <v>0</v>
      </c>
      <c r="Q76" s="267">
        <f t="shared" ca="1" si="63"/>
        <v>0</v>
      </c>
      <c r="R76" s="312">
        <f t="shared" ca="1" si="63"/>
        <v>0</v>
      </c>
      <c r="S76" s="311">
        <f t="shared" ref="S76:W80" ca="1" si="64">IFERROR(I76/S58, 0)</f>
        <v>0</v>
      </c>
      <c r="T76" s="267">
        <f t="shared" ca="1" si="64"/>
        <v>0</v>
      </c>
      <c r="U76" s="267">
        <f t="shared" ca="1" si="64"/>
        <v>0</v>
      </c>
      <c r="V76" s="267">
        <f t="shared" ca="1" si="64"/>
        <v>0</v>
      </c>
      <c r="W76" s="312">
        <f t="shared" ca="1" si="64"/>
        <v>0</v>
      </c>
      <c r="Y76" s="77" t="s">
        <v>14</v>
      </c>
      <c r="Z76" s="208">
        <f t="shared" ref="Z76:AD79" ca="1" si="65">Z58-AE67</f>
        <v>0</v>
      </c>
      <c r="AA76" s="206">
        <f t="shared" ca="1" si="65"/>
        <v>0</v>
      </c>
      <c r="AB76" s="206">
        <f t="shared" ca="1" si="65"/>
        <v>0</v>
      </c>
      <c r="AC76" s="206">
        <f t="shared" ca="1" si="65"/>
        <v>0</v>
      </c>
      <c r="AD76" s="209">
        <f t="shared" ca="1" si="65"/>
        <v>0</v>
      </c>
      <c r="AE76" s="313">
        <f t="shared" ref="AE76:AI80" ca="1" si="66">IFERROR(Z58/AJ58, 0)</f>
        <v>0</v>
      </c>
      <c r="AF76" s="267">
        <f t="shared" ca="1" si="66"/>
        <v>0</v>
      </c>
      <c r="AG76" s="267">
        <f t="shared" ca="1" si="66"/>
        <v>0</v>
      </c>
      <c r="AH76" s="267">
        <f t="shared" ca="1" si="66"/>
        <v>0</v>
      </c>
      <c r="AI76" s="314">
        <f t="shared" ca="1" si="66"/>
        <v>0</v>
      </c>
      <c r="AJ76" s="313">
        <f t="shared" ref="AJ76:AN80" ca="1" si="67">IFERROR(Z76/AJ58, 0)</f>
        <v>0</v>
      </c>
      <c r="AK76" s="267">
        <f t="shared" ca="1" si="67"/>
        <v>0</v>
      </c>
      <c r="AL76" s="267">
        <f t="shared" ca="1" si="67"/>
        <v>0</v>
      </c>
      <c r="AM76" s="267">
        <f t="shared" ca="1" si="67"/>
        <v>0</v>
      </c>
      <c r="AN76" s="314">
        <f t="shared" ca="1" si="67"/>
        <v>0</v>
      </c>
      <c r="AP76" s="83" t="s">
        <v>14</v>
      </c>
      <c r="AQ76" s="260" t="e">
        <f t="shared" ref="AQ76:AU79" ca="1" si="68">AQ58-AV67</f>
        <v>#VALUE!</v>
      </c>
      <c r="AR76" s="206" t="e">
        <f t="shared" ca="1" si="68"/>
        <v>#VALUE!</v>
      </c>
      <c r="AS76" s="206" t="e">
        <f t="shared" ca="1" si="68"/>
        <v>#VALUE!</v>
      </c>
      <c r="AT76" s="206" t="e">
        <f t="shared" ca="1" si="68"/>
        <v>#VALUE!</v>
      </c>
      <c r="AU76" s="212" t="e">
        <f t="shared" ca="1" si="68"/>
        <v>#VALUE!</v>
      </c>
      <c r="AV76" s="315">
        <f t="shared" ref="AV76:AZ80" ca="1" si="69">IFERROR(AQ58/BA58, 0)</f>
        <v>0</v>
      </c>
      <c r="AW76" s="267">
        <f t="shared" ca="1" si="69"/>
        <v>0</v>
      </c>
      <c r="AX76" s="267">
        <f t="shared" ca="1" si="69"/>
        <v>0</v>
      </c>
      <c r="AY76" s="267">
        <f t="shared" ca="1" si="69"/>
        <v>0</v>
      </c>
      <c r="AZ76" s="316">
        <f t="shared" ca="1" si="69"/>
        <v>0</v>
      </c>
      <c r="BA76" s="267">
        <f t="shared" ref="BA76:BE80" ca="1" si="70">IFERROR(AQ76/BA58, 0)</f>
        <v>0</v>
      </c>
      <c r="BB76" s="267">
        <f t="shared" ca="1" si="70"/>
        <v>0</v>
      </c>
      <c r="BC76" s="267">
        <f t="shared" ca="1" si="70"/>
        <v>0</v>
      </c>
      <c r="BD76" s="267">
        <f t="shared" ca="1" si="70"/>
        <v>0</v>
      </c>
      <c r="BE76" s="316">
        <f t="shared" ca="1" si="70"/>
        <v>0</v>
      </c>
      <c r="BG76" s="88" t="s">
        <v>14</v>
      </c>
      <c r="BH76" s="213" t="e">
        <f t="shared" ref="BH76:BL79" ca="1" si="71">BH58-BM67</f>
        <v>#VALUE!</v>
      </c>
      <c r="BI76" s="206" t="e">
        <f t="shared" ca="1" si="71"/>
        <v>#VALUE!</v>
      </c>
      <c r="BJ76" s="206" t="e">
        <f t="shared" ca="1" si="71"/>
        <v>#VALUE!</v>
      </c>
      <c r="BK76" s="206" t="e">
        <f t="shared" ca="1" si="71"/>
        <v>#VALUE!</v>
      </c>
      <c r="BL76" s="214" t="e">
        <f t="shared" ca="1" si="71"/>
        <v>#VALUE!</v>
      </c>
      <c r="BM76" s="266">
        <f t="shared" ref="BM76:BQ80" ca="1" si="72">IFERROR(BH58/BR58, 0)</f>
        <v>0</v>
      </c>
      <c r="BN76" s="267">
        <f t="shared" ca="1" si="72"/>
        <v>0</v>
      </c>
      <c r="BO76" s="267">
        <f t="shared" ca="1" si="72"/>
        <v>0</v>
      </c>
      <c r="BP76" s="267">
        <f t="shared" ca="1" si="72"/>
        <v>0</v>
      </c>
      <c r="BQ76" s="268">
        <f t="shared" ca="1" si="72"/>
        <v>0</v>
      </c>
      <c r="BR76" s="317">
        <f t="shared" ref="BR76:BV80" ca="1" si="73">IFERROR(BH76/BR58, 0)</f>
        <v>0</v>
      </c>
      <c r="BS76" s="318">
        <f t="shared" ca="1" si="73"/>
        <v>0</v>
      </c>
      <c r="BT76" s="318">
        <f t="shared" ca="1" si="73"/>
        <v>0</v>
      </c>
      <c r="BU76" s="318">
        <f t="shared" ca="1" si="73"/>
        <v>0</v>
      </c>
      <c r="BV76" s="319">
        <f t="shared" ca="1" si="73"/>
        <v>0</v>
      </c>
      <c r="BX76" s="88" t="s">
        <v>14</v>
      </c>
      <c r="BY76" s="320"/>
      <c r="BZ76" s="321"/>
      <c r="CA76" s="321"/>
      <c r="CB76" s="321"/>
      <c r="CC76" s="322"/>
      <c r="CD76" s="266">
        <f t="shared" ref="CD76:CH80" ca="1" si="74">IFERROR(BY58/CI58, 0)</f>
        <v>0</v>
      </c>
      <c r="CE76" s="267">
        <f t="shared" ca="1" si="74"/>
        <v>0</v>
      </c>
      <c r="CF76" s="267">
        <f t="shared" ca="1" si="74"/>
        <v>0</v>
      </c>
      <c r="CG76" s="267">
        <f t="shared" ca="1" si="74"/>
        <v>0</v>
      </c>
      <c r="CH76" s="268">
        <f t="shared" ca="1" si="74"/>
        <v>0</v>
      </c>
      <c r="CI76" s="323"/>
      <c r="CJ76" s="324"/>
      <c r="CK76" s="324"/>
      <c r="CL76" s="324"/>
      <c r="CM76" s="325"/>
      <c r="CO76" s="326">
        <f ca="1">IFERROR(CO58/CQ58, 0)</f>
        <v>0</v>
      </c>
    </row>
    <row r="77" spans="2:118" x14ac:dyDescent="0.35">
      <c r="B77" s="105" t="s">
        <v>11</v>
      </c>
      <c r="C77" s="106">
        <v>90</v>
      </c>
      <c r="D77" s="106" t="s">
        <v>12</v>
      </c>
      <c r="E77" s="107" t="s">
        <v>12</v>
      </c>
      <c r="F77" s="106"/>
      <c r="H77" s="108" t="s">
        <v>15</v>
      </c>
      <c r="I77" s="205" t="e">
        <f t="shared" ca="1" si="62"/>
        <v>#VALUE!</v>
      </c>
      <c r="J77" s="206" t="e">
        <f t="shared" ca="1" si="62"/>
        <v>#VALUE!</v>
      </c>
      <c r="K77" s="206" t="e">
        <f t="shared" ca="1" si="62"/>
        <v>#VALUE!</v>
      </c>
      <c r="L77" s="206" t="e">
        <f t="shared" ca="1" si="62"/>
        <v>#VALUE!</v>
      </c>
      <c r="M77" s="207" t="e">
        <f t="shared" ca="1" si="62"/>
        <v>#VALUE!</v>
      </c>
      <c r="N77" s="311">
        <f t="shared" ca="1" si="63"/>
        <v>0</v>
      </c>
      <c r="O77" s="267">
        <f t="shared" ca="1" si="63"/>
        <v>0</v>
      </c>
      <c r="P77" s="267">
        <f t="shared" ca="1" si="63"/>
        <v>0</v>
      </c>
      <c r="Q77" s="267">
        <f t="shared" ca="1" si="63"/>
        <v>0</v>
      </c>
      <c r="R77" s="312">
        <f t="shared" ca="1" si="63"/>
        <v>0</v>
      </c>
      <c r="S77" s="311">
        <f t="shared" ca="1" si="64"/>
        <v>0</v>
      </c>
      <c r="T77" s="267">
        <f t="shared" ca="1" si="64"/>
        <v>0</v>
      </c>
      <c r="U77" s="267">
        <f t="shared" ca="1" si="64"/>
        <v>0</v>
      </c>
      <c r="V77" s="267">
        <f t="shared" ca="1" si="64"/>
        <v>0</v>
      </c>
      <c r="W77" s="312">
        <f t="shared" ca="1" si="64"/>
        <v>0</v>
      </c>
      <c r="Y77" s="109" t="s">
        <v>15</v>
      </c>
      <c r="Z77" s="208">
        <f t="shared" ca="1" si="65"/>
        <v>0</v>
      </c>
      <c r="AA77" s="206">
        <f t="shared" ca="1" si="65"/>
        <v>0</v>
      </c>
      <c r="AB77" s="206">
        <f t="shared" ca="1" si="65"/>
        <v>0</v>
      </c>
      <c r="AC77" s="206">
        <f t="shared" ca="1" si="65"/>
        <v>0</v>
      </c>
      <c r="AD77" s="209">
        <f t="shared" ca="1" si="65"/>
        <v>0</v>
      </c>
      <c r="AE77" s="313">
        <f t="shared" ca="1" si="66"/>
        <v>0</v>
      </c>
      <c r="AF77" s="267">
        <f t="shared" ca="1" si="66"/>
        <v>0</v>
      </c>
      <c r="AG77" s="267">
        <f t="shared" ca="1" si="66"/>
        <v>0</v>
      </c>
      <c r="AH77" s="267">
        <f t="shared" ca="1" si="66"/>
        <v>0</v>
      </c>
      <c r="AI77" s="314">
        <f t="shared" ca="1" si="66"/>
        <v>0</v>
      </c>
      <c r="AJ77" s="313">
        <f t="shared" ca="1" si="67"/>
        <v>0</v>
      </c>
      <c r="AK77" s="267">
        <f t="shared" ca="1" si="67"/>
        <v>0</v>
      </c>
      <c r="AL77" s="267">
        <f t="shared" ca="1" si="67"/>
        <v>0</v>
      </c>
      <c r="AM77" s="267">
        <f t="shared" ca="1" si="67"/>
        <v>0</v>
      </c>
      <c r="AN77" s="314">
        <f t="shared" ca="1" si="67"/>
        <v>0</v>
      </c>
      <c r="AP77" s="110" t="s">
        <v>15</v>
      </c>
      <c r="AQ77" s="260" t="e">
        <f t="shared" ca="1" si="68"/>
        <v>#VALUE!</v>
      </c>
      <c r="AR77" s="206" t="e">
        <f t="shared" ca="1" si="68"/>
        <v>#VALUE!</v>
      </c>
      <c r="AS77" s="206" t="e">
        <f t="shared" ca="1" si="68"/>
        <v>#VALUE!</v>
      </c>
      <c r="AT77" s="206" t="e">
        <f t="shared" ca="1" si="68"/>
        <v>#VALUE!</v>
      </c>
      <c r="AU77" s="212" t="e">
        <f t="shared" ca="1" si="68"/>
        <v>#VALUE!</v>
      </c>
      <c r="AV77" s="315">
        <f t="shared" ca="1" si="69"/>
        <v>0</v>
      </c>
      <c r="AW77" s="267">
        <f t="shared" ca="1" si="69"/>
        <v>0</v>
      </c>
      <c r="AX77" s="267">
        <f t="shared" ca="1" si="69"/>
        <v>0</v>
      </c>
      <c r="AY77" s="267">
        <f t="shared" ca="1" si="69"/>
        <v>0</v>
      </c>
      <c r="AZ77" s="316">
        <f t="shared" ca="1" si="69"/>
        <v>0</v>
      </c>
      <c r="BA77" s="267">
        <f t="shared" ca="1" si="70"/>
        <v>0</v>
      </c>
      <c r="BB77" s="267">
        <f t="shared" ca="1" si="70"/>
        <v>0</v>
      </c>
      <c r="BC77" s="267">
        <f t="shared" ca="1" si="70"/>
        <v>0</v>
      </c>
      <c r="BD77" s="267">
        <f t="shared" ca="1" si="70"/>
        <v>0</v>
      </c>
      <c r="BE77" s="316">
        <f t="shared" ca="1" si="70"/>
        <v>0</v>
      </c>
      <c r="BG77" s="111" t="s">
        <v>15</v>
      </c>
      <c r="BH77" s="213" t="e">
        <f t="shared" ca="1" si="71"/>
        <v>#VALUE!</v>
      </c>
      <c r="BI77" s="206" t="e">
        <f t="shared" ca="1" si="71"/>
        <v>#VALUE!</v>
      </c>
      <c r="BJ77" s="206" t="e">
        <f t="shared" ca="1" si="71"/>
        <v>#VALUE!</v>
      </c>
      <c r="BK77" s="206" t="e">
        <f t="shared" ca="1" si="71"/>
        <v>#VALUE!</v>
      </c>
      <c r="BL77" s="214" t="e">
        <f t="shared" ca="1" si="71"/>
        <v>#VALUE!</v>
      </c>
      <c r="BM77" s="266">
        <f t="shared" ca="1" si="72"/>
        <v>0</v>
      </c>
      <c r="BN77" s="267">
        <f t="shared" ca="1" si="72"/>
        <v>0</v>
      </c>
      <c r="BO77" s="267">
        <f t="shared" ca="1" si="72"/>
        <v>0</v>
      </c>
      <c r="BP77" s="267">
        <f t="shared" ca="1" si="72"/>
        <v>0</v>
      </c>
      <c r="BQ77" s="268">
        <f t="shared" ca="1" si="72"/>
        <v>0</v>
      </c>
      <c r="BR77" s="266">
        <f t="shared" ca="1" si="73"/>
        <v>0</v>
      </c>
      <c r="BS77" s="267">
        <f t="shared" ca="1" si="73"/>
        <v>0</v>
      </c>
      <c r="BT77" s="267">
        <f t="shared" ca="1" si="73"/>
        <v>0</v>
      </c>
      <c r="BU77" s="267">
        <f t="shared" ca="1" si="73"/>
        <v>0</v>
      </c>
      <c r="BV77" s="268">
        <f t="shared" ca="1" si="73"/>
        <v>0</v>
      </c>
      <c r="BX77" s="111" t="s">
        <v>15</v>
      </c>
      <c r="BY77" s="320"/>
      <c r="BZ77" s="321"/>
      <c r="CA77" s="321"/>
      <c r="CB77" s="321"/>
      <c r="CC77" s="322"/>
      <c r="CD77" s="266">
        <f t="shared" ca="1" si="74"/>
        <v>0</v>
      </c>
      <c r="CE77" s="267">
        <f t="shared" ca="1" si="74"/>
        <v>0</v>
      </c>
      <c r="CF77" s="267">
        <f t="shared" ca="1" si="74"/>
        <v>0</v>
      </c>
      <c r="CG77" s="267">
        <f t="shared" ca="1" si="74"/>
        <v>0</v>
      </c>
      <c r="CH77" s="268">
        <f t="shared" ca="1" si="74"/>
        <v>0</v>
      </c>
      <c r="CI77" s="327"/>
      <c r="CJ77" s="328"/>
      <c r="CK77" s="328"/>
      <c r="CL77" s="328"/>
      <c r="CM77" s="329"/>
      <c r="CO77" s="326">
        <f ca="1">IFERROR(CO59/CQ59, 0)</f>
        <v>0</v>
      </c>
    </row>
    <row r="78" spans="2:118" x14ac:dyDescent="0.35">
      <c r="B78" s="105" t="s">
        <v>16</v>
      </c>
      <c r="C78" s="106"/>
      <c r="D78" s="106" t="s">
        <v>12</v>
      </c>
      <c r="E78" s="107" t="s">
        <v>12</v>
      </c>
      <c r="F78" s="106"/>
      <c r="H78" s="118" t="s">
        <v>7</v>
      </c>
      <c r="I78" s="205" t="e">
        <f t="shared" ca="1" si="62"/>
        <v>#VALUE!</v>
      </c>
      <c r="J78" s="206" t="e">
        <f t="shared" ca="1" si="62"/>
        <v>#VALUE!</v>
      </c>
      <c r="K78" s="206" t="e">
        <f t="shared" ca="1" si="62"/>
        <v>#VALUE!</v>
      </c>
      <c r="L78" s="206" t="e">
        <f t="shared" ca="1" si="62"/>
        <v>#VALUE!</v>
      </c>
      <c r="M78" s="207" t="e">
        <f t="shared" ca="1" si="62"/>
        <v>#VALUE!</v>
      </c>
      <c r="N78" s="311">
        <f t="shared" ca="1" si="63"/>
        <v>0</v>
      </c>
      <c r="O78" s="267">
        <f t="shared" ca="1" si="63"/>
        <v>0</v>
      </c>
      <c r="P78" s="267">
        <f t="shared" ca="1" si="63"/>
        <v>0</v>
      </c>
      <c r="Q78" s="267">
        <f t="shared" ca="1" si="63"/>
        <v>0</v>
      </c>
      <c r="R78" s="312">
        <f t="shared" ca="1" si="63"/>
        <v>0</v>
      </c>
      <c r="S78" s="311">
        <f t="shared" ca="1" si="64"/>
        <v>0</v>
      </c>
      <c r="T78" s="267">
        <f t="shared" ca="1" si="64"/>
        <v>0</v>
      </c>
      <c r="U78" s="267">
        <f t="shared" ca="1" si="64"/>
        <v>0</v>
      </c>
      <c r="V78" s="267">
        <f t="shared" ca="1" si="64"/>
        <v>0</v>
      </c>
      <c r="W78" s="312">
        <f t="shared" ca="1" si="64"/>
        <v>0</v>
      </c>
      <c r="Y78" s="119" t="s">
        <v>7</v>
      </c>
      <c r="Z78" s="208">
        <f t="shared" ca="1" si="65"/>
        <v>0</v>
      </c>
      <c r="AA78" s="206">
        <f t="shared" ca="1" si="65"/>
        <v>0</v>
      </c>
      <c r="AB78" s="206">
        <f t="shared" ca="1" si="65"/>
        <v>0</v>
      </c>
      <c r="AC78" s="206">
        <f t="shared" ca="1" si="65"/>
        <v>0</v>
      </c>
      <c r="AD78" s="209">
        <f t="shared" ca="1" si="65"/>
        <v>0</v>
      </c>
      <c r="AE78" s="313">
        <f t="shared" ca="1" si="66"/>
        <v>0</v>
      </c>
      <c r="AF78" s="267">
        <f t="shared" ca="1" si="66"/>
        <v>0</v>
      </c>
      <c r="AG78" s="267">
        <f t="shared" ca="1" si="66"/>
        <v>0</v>
      </c>
      <c r="AH78" s="267">
        <f t="shared" ca="1" si="66"/>
        <v>0</v>
      </c>
      <c r="AI78" s="314">
        <f t="shared" ca="1" si="66"/>
        <v>0</v>
      </c>
      <c r="AJ78" s="313">
        <f t="shared" ca="1" si="67"/>
        <v>0</v>
      </c>
      <c r="AK78" s="267">
        <f t="shared" ca="1" si="67"/>
        <v>0</v>
      </c>
      <c r="AL78" s="267">
        <f t="shared" ca="1" si="67"/>
        <v>0</v>
      </c>
      <c r="AM78" s="267">
        <f t="shared" ca="1" si="67"/>
        <v>0</v>
      </c>
      <c r="AN78" s="314">
        <f t="shared" ca="1" si="67"/>
        <v>0</v>
      </c>
      <c r="AP78" s="120" t="s">
        <v>7</v>
      </c>
      <c r="AQ78" s="260" t="e">
        <f t="shared" ca="1" si="68"/>
        <v>#VALUE!</v>
      </c>
      <c r="AR78" s="206" t="e">
        <f t="shared" ca="1" si="68"/>
        <v>#VALUE!</v>
      </c>
      <c r="AS78" s="206" t="e">
        <f t="shared" ca="1" si="68"/>
        <v>#VALUE!</v>
      </c>
      <c r="AT78" s="206" t="e">
        <f t="shared" ca="1" si="68"/>
        <v>#VALUE!</v>
      </c>
      <c r="AU78" s="212" t="e">
        <f t="shared" ca="1" si="68"/>
        <v>#VALUE!</v>
      </c>
      <c r="AV78" s="315">
        <f t="shared" ca="1" si="69"/>
        <v>0</v>
      </c>
      <c r="AW78" s="267">
        <f t="shared" ca="1" si="69"/>
        <v>0</v>
      </c>
      <c r="AX78" s="267">
        <f t="shared" ca="1" si="69"/>
        <v>0</v>
      </c>
      <c r="AY78" s="267">
        <f t="shared" ca="1" si="69"/>
        <v>0</v>
      </c>
      <c r="AZ78" s="316">
        <f t="shared" ca="1" si="69"/>
        <v>0</v>
      </c>
      <c r="BA78" s="267">
        <f t="shared" ca="1" si="70"/>
        <v>0</v>
      </c>
      <c r="BB78" s="267">
        <f t="shared" ca="1" si="70"/>
        <v>0</v>
      </c>
      <c r="BC78" s="267">
        <f t="shared" ca="1" si="70"/>
        <v>0</v>
      </c>
      <c r="BD78" s="267">
        <f t="shared" ca="1" si="70"/>
        <v>0</v>
      </c>
      <c r="BE78" s="316">
        <f t="shared" ca="1" si="70"/>
        <v>0</v>
      </c>
      <c r="BG78" s="121" t="s">
        <v>7</v>
      </c>
      <c r="BH78" s="213" t="e">
        <f t="shared" ca="1" si="71"/>
        <v>#VALUE!</v>
      </c>
      <c r="BI78" s="206" t="e">
        <f t="shared" ca="1" si="71"/>
        <v>#VALUE!</v>
      </c>
      <c r="BJ78" s="206" t="e">
        <f t="shared" ca="1" si="71"/>
        <v>#VALUE!</v>
      </c>
      <c r="BK78" s="206" t="e">
        <f t="shared" ca="1" si="71"/>
        <v>#VALUE!</v>
      </c>
      <c r="BL78" s="214" t="e">
        <f t="shared" ca="1" si="71"/>
        <v>#VALUE!</v>
      </c>
      <c r="BM78" s="266">
        <f t="shared" ca="1" si="72"/>
        <v>0</v>
      </c>
      <c r="BN78" s="267">
        <f t="shared" ca="1" si="72"/>
        <v>0</v>
      </c>
      <c r="BO78" s="267">
        <f t="shared" ca="1" si="72"/>
        <v>0</v>
      </c>
      <c r="BP78" s="267">
        <f t="shared" ca="1" si="72"/>
        <v>0</v>
      </c>
      <c r="BQ78" s="268">
        <f t="shared" ca="1" si="72"/>
        <v>0</v>
      </c>
      <c r="BR78" s="266">
        <f t="shared" ca="1" si="73"/>
        <v>0</v>
      </c>
      <c r="BS78" s="267">
        <f t="shared" ca="1" si="73"/>
        <v>0</v>
      </c>
      <c r="BT78" s="267">
        <f t="shared" ca="1" si="73"/>
        <v>0</v>
      </c>
      <c r="BU78" s="267">
        <f t="shared" ca="1" si="73"/>
        <v>0</v>
      </c>
      <c r="BV78" s="268">
        <f t="shared" ca="1" si="73"/>
        <v>0</v>
      </c>
      <c r="BX78" s="121" t="s">
        <v>7</v>
      </c>
      <c r="BY78" s="320"/>
      <c r="BZ78" s="321"/>
      <c r="CA78" s="321"/>
      <c r="CB78" s="321"/>
      <c r="CC78" s="322"/>
      <c r="CD78" s="266">
        <f t="shared" ca="1" si="74"/>
        <v>0</v>
      </c>
      <c r="CE78" s="267">
        <f t="shared" ca="1" si="74"/>
        <v>0</v>
      </c>
      <c r="CF78" s="267">
        <f t="shared" ca="1" si="74"/>
        <v>0</v>
      </c>
      <c r="CG78" s="267">
        <f t="shared" ca="1" si="74"/>
        <v>0</v>
      </c>
      <c r="CH78" s="268">
        <f t="shared" ca="1" si="74"/>
        <v>0</v>
      </c>
      <c r="CI78" s="327"/>
      <c r="CJ78" s="328"/>
      <c r="CK78" s="328"/>
      <c r="CL78" s="328"/>
      <c r="CM78" s="329"/>
      <c r="CO78" s="326">
        <f ca="1">IFERROR(CO60/CQ60, 0)</f>
        <v>0</v>
      </c>
    </row>
    <row r="79" spans="2:118" ht="15" thickBot="1" x14ac:dyDescent="0.4">
      <c r="B79" s="122"/>
      <c r="C79" s="123"/>
      <c r="D79" s="123" t="s">
        <v>13</v>
      </c>
      <c r="E79" s="124" t="s">
        <v>12</v>
      </c>
      <c r="F79" s="106"/>
      <c r="H79" s="118" t="s">
        <v>17</v>
      </c>
      <c r="I79" s="205" t="e">
        <f t="shared" ca="1" si="62"/>
        <v>#VALUE!</v>
      </c>
      <c r="J79" s="206" t="e">
        <f t="shared" ca="1" si="62"/>
        <v>#VALUE!</v>
      </c>
      <c r="K79" s="206" t="e">
        <f t="shared" ca="1" si="62"/>
        <v>#VALUE!</v>
      </c>
      <c r="L79" s="206" t="e">
        <f t="shared" ca="1" si="62"/>
        <v>#VALUE!</v>
      </c>
      <c r="M79" s="271" t="e">
        <f t="shared" ca="1" si="62"/>
        <v>#VALUE!</v>
      </c>
      <c r="N79" s="311">
        <f t="shared" ca="1" si="63"/>
        <v>0</v>
      </c>
      <c r="O79" s="267">
        <f t="shared" ca="1" si="63"/>
        <v>0</v>
      </c>
      <c r="P79" s="267">
        <f t="shared" ca="1" si="63"/>
        <v>0</v>
      </c>
      <c r="Q79" s="267">
        <f t="shared" ca="1" si="63"/>
        <v>0</v>
      </c>
      <c r="R79" s="330">
        <f t="shared" ca="1" si="63"/>
        <v>0</v>
      </c>
      <c r="S79" s="267">
        <f t="shared" ca="1" si="64"/>
        <v>0</v>
      </c>
      <c r="T79" s="267">
        <f t="shared" ca="1" si="64"/>
        <v>0</v>
      </c>
      <c r="U79" s="267">
        <f t="shared" ca="1" si="64"/>
        <v>0</v>
      </c>
      <c r="V79" s="267">
        <f t="shared" ca="1" si="64"/>
        <v>0</v>
      </c>
      <c r="W79" s="312">
        <f t="shared" ca="1" si="64"/>
        <v>0</v>
      </c>
      <c r="Y79" s="119" t="s">
        <v>17</v>
      </c>
      <c r="Z79" s="223">
        <f t="shared" ca="1" si="65"/>
        <v>0</v>
      </c>
      <c r="AA79" s="224">
        <f t="shared" ca="1" si="65"/>
        <v>0</v>
      </c>
      <c r="AB79" s="224">
        <f t="shared" ca="1" si="65"/>
        <v>0</v>
      </c>
      <c r="AC79" s="224">
        <f t="shared" ca="1" si="65"/>
        <v>0</v>
      </c>
      <c r="AD79" s="225">
        <f t="shared" ca="1" si="65"/>
        <v>0</v>
      </c>
      <c r="AE79" s="331">
        <f t="shared" ca="1" si="66"/>
        <v>0</v>
      </c>
      <c r="AF79" s="332">
        <f t="shared" ca="1" si="66"/>
        <v>0</v>
      </c>
      <c r="AG79" s="332">
        <f t="shared" ca="1" si="66"/>
        <v>0</v>
      </c>
      <c r="AH79" s="332">
        <f t="shared" ca="1" si="66"/>
        <v>0</v>
      </c>
      <c r="AI79" s="333">
        <f t="shared" ca="1" si="66"/>
        <v>0</v>
      </c>
      <c r="AJ79" s="332">
        <f t="shared" ca="1" si="67"/>
        <v>0</v>
      </c>
      <c r="AK79" s="332">
        <f t="shared" ca="1" si="67"/>
        <v>0</v>
      </c>
      <c r="AL79" s="332">
        <f t="shared" ca="1" si="67"/>
        <v>0</v>
      </c>
      <c r="AM79" s="332">
        <f t="shared" ca="1" si="67"/>
        <v>0</v>
      </c>
      <c r="AN79" s="333">
        <f t="shared" ca="1" si="67"/>
        <v>0</v>
      </c>
      <c r="AP79" s="120" t="s">
        <v>17</v>
      </c>
      <c r="AQ79" s="243" t="e">
        <f t="shared" ca="1" si="68"/>
        <v>#VALUE!</v>
      </c>
      <c r="AR79" s="229" t="e">
        <f t="shared" ca="1" si="68"/>
        <v>#VALUE!</v>
      </c>
      <c r="AS79" s="229" t="e">
        <f t="shared" ca="1" si="68"/>
        <v>#VALUE!</v>
      </c>
      <c r="AT79" s="229" t="e">
        <f t="shared" ca="1" si="68"/>
        <v>#VALUE!</v>
      </c>
      <c r="AU79" s="230" t="e">
        <f t="shared" ca="1" si="68"/>
        <v>#VALUE!</v>
      </c>
      <c r="AV79" s="334">
        <f t="shared" ca="1" si="69"/>
        <v>0</v>
      </c>
      <c r="AW79" s="335">
        <f t="shared" ca="1" si="69"/>
        <v>0</v>
      </c>
      <c r="AX79" s="335">
        <f t="shared" ca="1" si="69"/>
        <v>0</v>
      </c>
      <c r="AY79" s="335">
        <f t="shared" ca="1" si="69"/>
        <v>0</v>
      </c>
      <c r="AZ79" s="336">
        <f t="shared" ca="1" si="69"/>
        <v>0</v>
      </c>
      <c r="BA79" s="335">
        <f t="shared" ca="1" si="70"/>
        <v>0</v>
      </c>
      <c r="BB79" s="335">
        <f t="shared" ca="1" si="70"/>
        <v>0</v>
      </c>
      <c r="BC79" s="335">
        <f t="shared" ca="1" si="70"/>
        <v>0</v>
      </c>
      <c r="BD79" s="335">
        <f t="shared" ca="1" si="70"/>
        <v>0</v>
      </c>
      <c r="BE79" s="336">
        <f t="shared" ca="1" si="70"/>
        <v>0</v>
      </c>
      <c r="BG79" s="121" t="s">
        <v>17</v>
      </c>
      <c r="BH79" s="231" t="e">
        <f t="shared" ca="1" si="71"/>
        <v>#VALUE!</v>
      </c>
      <c r="BI79" s="232" t="e">
        <f t="shared" ca="1" si="71"/>
        <v>#VALUE!</v>
      </c>
      <c r="BJ79" s="232" t="e">
        <f t="shared" ca="1" si="71"/>
        <v>#VALUE!</v>
      </c>
      <c r="BK79" s="232" t="e">
        <f t="shared" ca="1" si="71"/>
        <v>#VALUE!</v>
      </c>
      <c r="BL79" s="233" t="e">
        <f t="shared" ca="1" si="71"/>
        <v>#VALUE!</v>
      </c>
      <c r="BM79" s="284">
        <f t="shared" ca="1" si="72"/>
        <v>0</v>
      </c>
      <c r="BN79" s="285">
        <f t="shared" ca="1" si="72"/>
        <v>0</v>
      </c>
      <c r="BO79" s="285">
        <f t="shared" ca="1" si="72"/>
        <v>0</v>
      </c>
      <c r="BP79" s="285">
        <f t="shared" ca="1" si="72"/>
        <v>0</v>
      </c>
      <c r="BQ79" s="286">
        <f t="shared" ca="1" si="72"/>
        <v>0</v>
      </c>
      <c r="BR79" s="285">
        <f t="shared" ca="1" si="73"/>
        <v>0</v>
      </c>
      <c r="BS79" s="285">
        <f t="shared" ca="1" si="73"/>
        <v>0</v>
      </c>
      <c r="BT79" s="285">
        <f t="shared" ca="1" si="73"/>
        <v>0</v>
      </c>
      <c r="BU79" s="285">
        <f t="shared" ca="1" si="73"/>
        <v>0</v>
      </c>
      <c r="BV79" s="286">
        <f t="shared" ca="1" si="73"/>
        <v>0</v>
      </c>
      <c r="BX79" s="121" t="s">
        <v>17</v>
      </c>
      <c r="BY79" s="337"/>
      <c r="BZ79" s="338"/>
      <c r="CA79" s="338"/>
      <c r="CB79" s="338"/>
      <c r="CC79" s="339"/>
      <c r="CD79" s="284">
        <f t="shared" ca="1" si="74"/>
        <v>0</v>
      </c>
      <c r="CE79" s="285">
        <f t="shared" ca="1" si="74"/>
        <v>0</v>
      </c>
      <c r="CF79" s="285">
        <f t="shared" ca="1" si="74"/>
        <v>0</v>
      </c>
      <c r="CG79" s="285">
        <f t="shared" ca="1" si="74"/>
        <v>0</v>
      </c>
      <c r="CH79" s="286">
        <f t="shared" ca="1" si="74"/>
        <v>0</v>
      </c>
      <c r="CI79" s="340"/>
      <c r="CJ79" s="340"/>
      <c r="CK79" s="340"/>
      <c r="CL79" s="340"/>
      <c r="CM79" s="341"/>
      <c r="CO79" s="342">
        <f ca="1">IFERROR(CO61/CQ61, 0)</f>
        <v>0</v>
      </c>
    </row>
    <row r="80" spans="2:118" ht="15" thickBot="1" x14ac:dyDescent="0.4">
      <c r="H80" s="154" t="s">
        <v>18</v>
      </c>
      <c r="I80" s="238" t="e">
        <f ca="1">SUM(I76:I79)</f>
        <v>#VALUE!</v>
      </c>
      <c r="J80" s="238" t="e">
        <f ca="1">SUM(J76:J79)</f>
        <v>#VALUE!</v>
      </c>
      <c r="K80" s="238" t="e">
        <f ca="1">SUM(K76:K79)</f>
        <v>#VALUE!</v>
      </c>
      <c r="L80" s="238" t="e">
        <f ca="1">SUM(L76:L79)</f>
        <v>#VALUE!</v>
      </c>
      <c r="M80" s="239" t="e">
        <f ca="1">SUM(M76:M79)</f>
        <v>#VALUE!</v>
      </c>
      <c r="N80" s="343">
        <f t="shared" ca="1" si="63"/>
        <v>0</v>
      </c>
      <c r="O80" s="343">
        <f t="shared" ca="1" si="63"/>
        <v>0</v>
      </c>
      <c r="P80" s="343">
        <f t="shared" ca="1" si="63"/>
        <v>0</v>
      </c>
      <c r="Q80" s="343">
        <f t="shared" ca="1" si="63"/>
        <v>0</v>
      </c>
      <c r="R80" s="344">
        <f t="shared" ca="1" si="63"/>
        <v>0</v>
      </c>
      <c r="S80" s="343">
        <f t="shared" ca="1" si="64"/>
        <v>0</v>
      </c>
      <c r="T80" s="343">
        <f t="shared" ca="1" si="64"/>
        <v>0</v>
      </c>
      <c r="U80" s="343">
        <f t="shared" ca="1" si="64"/>
        <v>0</v>
      </c>
      <c r="V80" s="343">
        <f t="shared" ca="1" si="64"/>
        <v>0</v>
      </c>
      <c r="W80" s="344">
        <f t="shared" ca="1" si="64"/>
        <v>0</v>
      </c>
      <c r="Y80" s="159" t="s">
        <v>18</v>
      </c>
      <c r="Z80" s="240">
        <f ca="1">SUM(Z76:Z79)</f>
        <v>0</v>
      </c>
      <c r="AA80" s="241">
        <f ca="1">SUM(AA76:AA79)</f>
        <v>0</v>
      </c>
      <c r="AB80" s="241">
        <f ca="1">SUM(AB76:AB79)</f>
        <v>0</v>
      </c>
      <c r="AC80" s="241">
        <f ca="1">SUM(AC76:AC79)</f>
        <v>0</v>
      </c>
      <c r="AD80" s="242">
        <f ca="1">SUM(AD76:AD79)</f>
        <v>0</v>
      </c>
      <c r="AE80" s="345">
        <f t="shared" ca="1" si="66"/>
        <v>0</v>
      </c>
      <c r="AF80" s="346">
        <f t="shared" ca="1" si="66"/>
        <v>0</v>
      </c>
      <c r="AG80" s="346">
        <f t="shared" ca="1" si="66"/>
        <v>0</v>
      </c>
      <c r="AH80" s="346">
        <f t="shared" ca="1" si="66"/>
        <v>0</v>
      </c>
      <c r="AI80" s="347">
        <f t="shared" ca="1" si="66"/>
        <v>0</v>
      </c>
      <c r="AJ80" s="346">
        <f t="shared" ca="1" si="67"/>
        <v>0</v>
      </c>
      <c r="AK80" s="346">
        <f t="shared" ca="1" si="67"/>
        <v>0</v>
      </c>
      <c r="AL80" s="346">
        <f t="shared" ca="1" si="67"/>
        <v>0</v>
      </c>
      <c r="AM80" s="346">
        <f t="shared" ca="1" si="67"/>
        <v>0</v>
      </c>
      <c r="AN80" s="347">
        <f t="shared" ca="1" si="67"/>
        <v>0</v>
      </c>
      <c r="AP80" s="166" t="s">
        <v>18</v>
      </c>
      <c r="AQ80" s="226" t="e">
        <f ca="1">SUM(AQ76:AQ79)</f>
        <v>#VALUE!</v>
      </c>
      <c r="AR80" s="227" t="e">
        <f ca="1">SUM(AR76:AR79)</f>
        <v>#VALUE!</v>
      </c>
      <c r="AS80" s="227" t="e">
        <f ca="1">SUM(AS76:AS79)</f>
        <v>#VALUE!</v>
      </c>
      <c r="AT80" s="227" t="e">
        <f ca="1">SUM(AT76:AT79)</f>
        <v>#VALUE!</v>
      </c>
      <c r="AU80" s="228" t="e">
        <f ca="1">SUM(AU76:AU79)</f>
        <v>#VALUE!</v>
      </c>
      <c r="AV80" s="348">
        <f t="shared" ca="1" si="69"/>
        <v>0</v>
      </c>
      <c r="AW80" s="349">
        <f t="shared" ca="1" si="69"/>
        <v>0</v>
      </c>
      <c r="AX80" s="349">
        <f t="shared" ca="1" si="69"/>
        <v>0</v>
      </c>
      <c r="AY80" s="349">
        <f t="shared" ca="1" si="69"/>
        <v>0</v>
      </c>
      <c r="AZ80" s="350">
        <f t="shared" ca="1" si="69"/>
        <v>0</v>
      </c>
      <c r="BA80" s="349">
        <f t="shared" ca="1" si="70"/>
        <v>0</v>
      </c>
      <c r="BB80" s="349">
        <f t="shared" ca="1" si="70"/>
        <v>0</v>
      </c>
      <c r="BC80" s="349">
        <f t="shared" ca="1" si="70"/>
        <v>0</v>
      </c>
      <c r="BD80" s="349">
        <f t="shared" ca="1" si="70"/>
        <v>0</v>
      </c>
      <c r="BE80" s="350">
        <f t="shared" ca="1" si="70"/>
        <v>0</v>
      </c>
      <c r="BG80" s="171" t="s">
        <v>18</v>
      </c>
      <c r="BH80" s="244" t="e">
        <f ca="1">SUM(BH76:BH79)</f>
        <v>#VALUE!</v>
      </c>
      <c r="BI80" s="245" t="e">
        <f ca="1">SUM(BI76:BI79)</f>
        <v>#VALUE!</v>
      </c>
      <c r="BJ80" s="245" t="e">
        <f ca="1">SUM(BJ76:BJ79)</f>
        <v>#VALUE!</v>
      </c>
      <c r="BK80" s="245" t="e">
        <f ca="1">SUM(BK76:BK79)</f>
        <v>#VALUE!</v>
      </c>
      <c r="BL80" s="234" t="e">
        <f ca="1">SUM(BL76:BL79)</f>
        <v>#VALUE!</v>
      </c>
      <c r="BM80" s="351">
        <f t="shared" ca="1" si="72"/>
        <v>0</v>
      </c>
      <c r="BN80" s="352">
        <f t="shared" ca="1" si="72"/>
        <v>0</v>
      </c>
      <c r="BO80" s="352">
        <f t="shared" ca="1" si="72"/>
        <v>0</v>
      </c>
      <c r="BP80" s="352">
        <f t="shared" ca="1" si="72"/>
        <v>0</v>
      </c>
      <c r="BQ80" s="353">
        <f t="shared" ca="1" si="72"/>
        <v>0</v>
      </c>
      <c r="BR80" s="352">
        <f t="shared" ca="1" si="73"/>
        <v>0</v>
      </c>
      <c r="BS80" s="352">
        <f t="shared" ca="1" si="73"/>
        <v>0</v>
      </c>
      <c r="BT80" s="352">
        <f t="shared" ca="1" si="73"/>
        <v>0</v>
      </c>
      <c r="BU80" s="352">
        <f t="shared" ca="1" si="73"/>
        <v>0</v>
      </c>
      <c r="BV80" s="353">
        <f t="shared" ca="1" si="73"/>
        <v>0</v>
      </c>
      <c r="BX80" s="171" t="s">
        <v>18</v>
      </c>
      <c r="BY80" s="337"/>
      <c r="BZ80" s="338"/>
      <c r="CA80" s="338"/>
      <c r="CB80" s="338"/>
      <c r="CC80" s="339"/>
      <c r="CD80" s="351">
        <f t="shared" ca="1" si="74"/>
        <v>0</v>
      </c>
      <c r="CE80" s="352">
        <f t="shared" ca="1" si="74"/>
        <v>0</v>
      </c>
      <c r="CF80" s="352">
        <f t="shared" ca="1" si="74"/>
        <v>0</v>
      </c>
      <c r="CG80" s="352">
        <f t="shared" ca="1" si="74"/>
        <v>0</v>
      </c>
      <c r="CH80" s="353">
        <f t="shared" ca="1" si="74"/>
        <v>0</v>
      </c>
      <c r="CI80" s="340"/>
      <c r="CJ80" s="340"/>
      <c r="CK80" s="340"/>
      <c r="CL80" s="340"/>
      <c r="CM80" s="341"/>
      <c r="CO80" s="342">
        <f ca="1">IFERROR(CO62/CQ62, 0)</f>
        <v>0</v>
      </c>
    </row>
    <row r="81" spans="1:123" x14ac:dyDescent="0.35">
      <c r="S81" s="301"/>
    </row>
    <row r="82" spans="1:123" ht="2" customHeight="1" x14ac:dyDescent="0.35">
      <c r="A82" s="194"/>
      <c r="B82" s="194"/>
      <c r="C82" s="194"/>
      <c r="D82" s="194"/>
      <c r="E82" s="194"/>
      <c r="F82" s="194"/>
      <c r="G82" s="194"/>
      <c r="H82" s="194"/>
      <c r="I82" s="194"/>
      <c r="J82" s="194"/>
      <c r="K82" s="194"/>
      <c r="L82" s="194"/>
      <c r="M82" s="194"/>
      <c r="N82" s="194"/>
      <c r="O82" s="194"/>
      <c r="P82" s="194"/>
      <c r="Q82" s="194"/>
      <c r="R82" s="194"/>
      <c r="S82" s="194"/>
      <c r="T82" s="194"/>
      <c r="U82" s="194"/>
      <c r="V82" s="194"/>
      <c r="W82" s="194"/>
      <c r="X82" s="194"/>
      <c r="Y82" s="194"/>
      <c r="Z82" s="194"/>
      <c r="AA82" s="194"/>
      <c r="AB82" s="194"/>
      <c r="AC82" s="194"/>
      <c r="AD82" s="194"/>
      <c r="AE82" s="194"/>
      <c r="AF82" s="194"/>
      <c r="AG82" s="194"/>
      <c r="AH82" s="194"/>
      <c r="AI82" s="194"/>
      <c r="AJ82" s="194"/>
      <c r="AK82" s="194"/>
      <c r="AL82" s="194"/>
      <c r="AM82" s="194"/>
      <c r="AN82" s="194"/>
      <c r="AO82" s="194"/>
      <c r="AP82" s="194"/>
      <c r="AQ82" s="194"/>
      <c r="AR82" s="194"/>
      <c r="AS82" s="194"/>
      <c r="AT82" s="194"/>
      <c r="AU82" s="194"/>
      <c r="AV82" s="194"/>
      <c r="AW82" s="194"/>
      <c r="AX82" s="194"/>
      <c r="AY82" s="194"/>
      <c r="AZ82" s="194"/>
      <c r="BA82" s="194"/>
      <c r="BB82" s="194"/>
      <c r="BC82" s="194"/>
      <c r="BD82" s="194"/>
      <c r="BE82" s="194"/>
      <c r="BF82" s="194"/>
      <c r="BG82" s="194"/>
      <c r="BH82" s="194"/>
      <c r="BI82" s="194"/>
      <c r="BJ82" s="194"/>
      <c r="BK82" s="194"/>
      <c r="BL82" s="194"/>
      <c r="BM82" s="194"/>
      <c r="BN82" s="194"/>
      <c r="BO82" s="194"/>
      <c r="BP82" s="194"/>
      <c r="BQ82" s="194"/>
      <c r="BR82" s="194"/>
      <c r="BS82" s="194"/>
      <c r="BT82" s="194"/>
      <c r="BU82" s="194"/>
      <c r="BV82" s="194"/>
      <c r="BW82" s="194"/>
      <c r="BX82" s="194"/>
      <c r="BY82" s="194"/>
      <c r="BZ82" s="194"/>
      <c r="CA82" s="194"/>
      <c r="CB82" s="194"/>
      <c r="CC82" s="194"/>
      <c r="CD82" s="194"/>
      <c r="CE82" s="194"/>
      <c r="CF82" s="194"/>
      <c r="CG82" s="194"/>
      <c r="CH82" s="194"/>
      <c r="CI82" s="194"/>
      <c r="CJ82" s="194"/>
      <c r="CK82" s="194"/>
      <c r="CL82" s="194"/>
      <c r="CM82" s="194"/>
    </row>
    <row r="83" spans="1:123" ht="15" thickBot="1" x14ac:dyDescent="0.4"/>
    <row r="84" spans="1:123" ht="15" thickBot="1" x14ac:dyDescent="0.4">
      <c r="I84" s="21" t="s">
        <v>39</v>
      </c>
      <c r="J84" s="22"/>
      <c r="K84" s="22"/>
      <c r="L84" s="22"/>
      <c r="M84" s="22"/>
      <c r="N84" s="22"/>
      <c r="O84" s="22"/>
      <c r="P84" s="22"/>
      <c r="Q84" s="22"/>
      <c r="R84" s="23"/>
      <c r="S84" s="301"/>
      <c r="Z84" s="24" t="s">
        <v>39</v>
      </c>
      <c r="AA84" s="25"/>
      <c r="AB84" s="25"/>
      <c r="AC84" s="25"/>
      <c r="AD84" s="25"/>
      <c r="AE84" s="25"/>
      <c r="AF84" s="25"/>
      <c r="AG84" s="25"/>
      <c r="AH84" s="25"/>
      <c r="AI84" s="26"/>
      <c r="AQ84" s="354" t="s">
        <v>39</v>
      </c>
      <c r="AR84" s="29"/>
      <c r="AS84" s="29"/>
      <c r="AT84" s="29"/>
      <c r="AU84" s="29"/>
      <c r="AV84" s="29"/>
      <c r="AW84" s="29"/>
      <c r="AX84" s="29"/>
      <c r="AY84" s="29"/>
      <c r="AZ84" s="355"/>
      <c r="BH84" s="31" t="s">
        <v>39</v>
      </c>
      <c r="BI84" s="32"/>
      <c r="BJ84" s="32"/>
      <c r="BK84" s="32"/>
      <c r="BL84" s="32"/>
      <c r="BM84" s="32"/>
      <c r="BN84" s="32"/>
      <c r="BO84" s="32"/>
      <c r="BP84" s="32"/>
      <c r="BQ84" s="33"/>
      <c r="BY84" s="34" t="s">
        <v>39</v>
      </c>
      <c r="BZ84" s="35"/>
      <c r="CA84" s="35"/>
      <c r="CB84" s="35"/>
      <c r="CC84" s="35"/>
      <c r="CD84" s="35"/>
      <c r="CE84" s="35"/>
      <c r="CF84" s="35"/>
      <c r="CG84" s="35"/>
      <c r="CH84" s="36"/>
      <c r="CO84" s="196" t="s">
        <v>39</v>
      </c>
      <c r="CP84" s="197"/>
      <c r="CQ84" s="197"/>
      <c r="CR84" s="197"/>
      <c r="CS84" s="197"/>
      <c r="CT84" s="198"/>
    </row>
    <row r="85" spans="1:123" ht="15" thickBot="1" x14ac:dyDescent="0.4">
      <c r="H85" s="37"/>
      <c r="I85" s="302" t="s">
        <v>40</v>
      </c>
      <c r="J85" s="303"/>
      <c r="K85" s="303"/>
      <c r="L85" s="303"/>
      <c r="M85" s="304"/>
      <c r="N85" s="302" t="s">
        <v>41</v>
      </c>
      <c r="O85" s="303"/>
      <c r="P85" s="303"/>
      <c r="Q85" s="303"/>
      <c r="R85" s="304"/>
      <c r="Z85" s="41" t="s">
        <v>40</v>
      </c>
      <c r="AA85" s="42"/>
      <c r="AB85" s="42"/>
      <c r="AC85" s="42"/>
      <c r="AD85" s="43"/>
      <c r="AE85" s="41" t="s">
        <v>41</v>
      </c>
      <c r="AF85" s="42"/>
      <c r="AG85" s="42"/>
      <c r="AH85" s="42"/>
      <c r="AI85" s="43"/>
      <c r="AQ85" s="44" t="s">
        <v>40</v>
      </c>
      <c r="AR85" s="45"/>
      <c r="AS85" s="45"/>
      <c r="AT85" s="45"/>
      <c r="AU85" s="46"/>
      <c r="AV85" s="44" t="s">
        <v>41</v>
      </c>
      <c r="AW85" s="45"/>
      <c r="AX85" s="45"/>
      <c r="AY85" s="45"/>
      <c r="AZ85" s="46"/>
      <c r="BH85" s="305" t="s">
        <v>40</v>
      </c>
      <c r="BI85" s="306"/>
      <c r="BJ85" s="306"/>
      <c r="BK85" s="306"/>
      <c r="BL85" s="307"/>
      <c r="BM85" s="305" t="s">
        <v>41</v>
      </c>
      <c r="BN85" s="306"/>
      <c r="BO85" s="306"/>
      <c r="BP85" s="306"/>
      <c r="BQ85" s="307"/>
      <c r="BY85" s="305" t="s">
        <v>40</v>
      </c>
      <c r="BZ85" s="306"/>
      <c r="CA85" s="306"/>
      <c r="CB85" s="306"/>
      <c r="CC85" s="307"/>
      <c r="CD85" s="305" t="s">
        <v>41</v>
      </c>
      <c r="CE85" s="306"/>
      <c r="CF85" s="306"/>
      <c r="CG85" s="306"/>
      <c r="CH85" s="307"/>
      <c r="CO85" s="199" t="s">
        <v>38</v>
      </c>
      <c r="CP85" s="200"/>
      <c r="CQ85" s="200"/>
      <c r="CR85" s="200"/>
      <c r="CS85" s="200"/>
      <c r="CT85" s="201"/>
    </row>
    <row r="86" spans="1:123" ht="29.5" thickBot="1" x14ac:dyDescent="0.4">
      <c r="H86" s="55"/>
      <c r="I86" s="56" t="str">
        <f>[1]Tables!$AA$4</f>
        <v>07/27 - 06/28</v>
      </c>
      <c r="J86" s="55" t="str">
        <f>[1]Tables!$AA$5</f>
        <v>07/28 - 06/29</v>
      </c>
      <c r="K86" s="55" t="str">
        <f>[1]Tables!$AA$6</f>
        <v>07/29 - 06/30</v>
      </c>
      <c r="L86" s="55" t="str">
        <f>[1]Tables!$AA$7</f>
        <v>07/30 - 06/31</v>
      </c>
      <c r="M86" s="57" t="str">
        <f>[1]Tables!$AA$8</f>
        <v>07/31 - 06/32</v>
      </c>
      <c r="N86" s="56" t="str">
        <f>[1]Tables!$AA$4</f>
        <v>07/27 - 06/28</v>
      </c>
      <c r="O86" s="55" t="str">
        <f>[1]Tables!$AA$5</f>
        <v>07/28 - 06/29</v>
      </c>
      <c r="P86" s="55" t="str">
        <f>[1]Tables!$AA$6</f>
        <v>07/29 - 06/30</v>
      </c>
      <c r="Q86" s="55" t="str">
        <f>[1]Tables!$AA$7</f>
        <v>07/30 - 06/31</v>
      </c>
      <c r="R86" s="57" t="str">
        <f>[1]Tables!$AA$8</f>
        <v>07/31 - 06/32</v>
      </c>
      <c r="Y86" s="58"/>
      <c r="Z86" s="59" t="str">
        <f>[1]Tables!$AA$4</f>
        <v>07/27 - 06/28</v>
      </c>
      <c r="AA86" s="60" t="str">
        <f>[1]Tables!$AA$5</f>
        <v>07/28 - 06/29</v>
      </c>
      <c r="AB86" s="60" t="str">
        <f>[1]Tables!$AA$6</f>
        <v>07/29 - 06/30</v>
      </c>
      <c r="AC86" s="60" t="str">
        <f>[1]Tables!$AA$7</f>
        <v>07/30 - 06/31</v>
      </c>
      <c r="AD86" s="61" t="str">
        <f>[1]Tables!$AA$8</f>
        <v>07/31 - 06/32</v>
      </c>
      <c r="AE86" s="59" t="str">
        <f>[1]Tables!$AA$4</f>
        <v>07/27 - 06/28</v>
      </c>
      <c r="AF86" s="60" t="str">
        <f>[1]Tables!$AA$5</f>
        <v>07/28 - 06/29</v>
      </c>
      <c r="AG86" s="60" t="str">
        <f>[1]Tables!$AA$6</f>
        <v>07/29 - 06/30</v>
      </c>
      <c r="AH86" s="60" t="str">
        <f>[1]Tables!$AA$7</f>
        <v>07/30 - 06/31</v>
      </c>
      <c r="AI86" s="61" t="str">
        <f>[1]Tables!$AA$8</f>
        <v>07/31 - 06/32</v>
      </c>
      <c r="AP86" s="58"/>
      <c r="AQ86" s="62" t="str">
        <f>[1]Tables!$AA$4</f>
        <v>07/27 - 06/28</v>
      </c>
      <c r="AR86" s="63" t="str">
        <f>[1]Tables!$AA$5</f>
        <v>07/28 - 06/29</v>
      </c>
      <c r="AS86" s="63" t="str">
        <f>[1]Tables!$AA$6</f>
        <v>07/29 - 06/30</v>
      </c>
      <c r="AT86" s="63" t="str">
        <f>[1]Tables!$AA$7</f>
        <v>07/30 - 06/31</v>
      </c>
      <c r="AU86" s="64" t="str">
        <f>[1]Tables!$AA$8</f>
        <v>07/31 - 06/32</v>
      </c>
      <c r="AV86" s="62" t="str">
        <f>[1]Tables!$AA$4</f>
        <v>07/27 - 06/28</v>
      </c>
      <c r="AW86" s="63" t="str">
        <f>[1]Tables!$AA$5</f>
        <v>07/28 - 06/29</v>
      </c>
      <c r="AX86" s="63" t="str">
        <f>[1]Tables!$AA$6</f>
        <v>07/29 - 06/30</v>
      </c>
      <c r="AY86" s="63" t="str">
        <f>[1]Tables!$AA$7</f>
        <v>07/30 - 06/31</v>
      </c>
      <c r="AZ86" s="64" t="str">
        <f>[1]Tables!$AA$8</f>
        <v>07/31 - 06/32</v>
      </c>
      <c r="BG86" s="58"/>
      <c r="BH86" s="65" t="str">
        <f>[1]Tables!$AA$4</f>
        <v>07/27 - 06/28</v>
      </c>
      <c r="BI86" s="66" t="str">
        <f>[1]Tables!$AA$5</f>
        <v>07/28 - 06/29</v>
      </c>
      <c r="BJ86" s="66" t="str">
        <f>[1]Tables!$AA$6</f>
        <v>07/29 - 06/30</v>
      </c>
      <c r="BK86" s="66" t="str">
        <f>[1]Tables!$AA$7</f>
        <v>07/30 - 06/31</v>
      </c>
      <c r="BL86" s="67" t="str">
        <f>[1]Tables!$AA$8</f>
        <v>07/31 - 06/32</v>
      </c>
      <c r="BM86" s="65" t="str">
        <f>[1]Tables!$AA$4</f>
        <v>07/27 - 06/28</v>
      </c>
      <c r="BN86" s="66" t="str">
        <f>[1]Tables!$AA$5</f>
        <v>07/28 - 06/29</v>
      </c>
      <c r="BO86" s="66" t="str">
        <f>[1]Tables!$AA$6</f>
        <v>07/29 - 06/30</v>
      </c>
      <c r="BP86" s="66" t="str">
        <f>[1]Tables!$AA$7</f>
        <v>07/30 - 06/31</v>
      </c>
      <c r="BQ86" s="67" t="str">
        <f>[1]Tables!$AA$8</f>
        <v>07/31 - 06/32</v>
      </c>
      <c r="BX86" s="58"/>
      <c r="BY86" s="65" t="str">
        <f>[1]Tables!$AA$4</f>
        <v>07/27 - 06/28</v>
      </c>
      <c r="BZ86" s="66" t="str">
        <f>[1]Tables!$AA$5</f>
        <v>07/28 - 06/29</v>
      </c>
      <c r="CA86" s="66" t="str">
        <f>[1]Tables!$AA$6</f>
        <v>07/29 - 06/30</v>
      </c>
      <c r="CB86" s="66" t="str">
        <f>[1]Tables!$AA$7</f>
        <v>07/30 - 06/31</v>
      </c>
      <c r="CC86" s="67" t="str">
        <f>[1]Tables!$AA$8</f>
        <v>07/31 - 06/32</v>
      </c>
      <c r="CD86" s="65" t="str">
        <f>[1]Tables!$AA$4</f>
        <v>07/27 - 06/28</v>
      </c>
      <c r="CE86" s="66" t="str">
        <f>[1]Tables!$AA$5</f>
        <v>07/28 - 06/29</v>
      </c>
      <c r="CF86" s="66" t="str">
        <f>[1]Tables!$AA$6</f>
        <v>07/29 - 06/30</v>
      </c>
      <c r="CG86" s="66" t="str">
        <f>[1]Tables!$AA$7</f>
        <v>07/30 - 06/31</v>
      </c>
      <c r="CH86" s="67" t="str">
        <f>[1]Tables!$AA$8</f>
        <v>07/31 - 06/32</v>
      </c>
      <c r="CO86" s="65" t="s">
        <v>40</v>
      </c>
      <c r="CP86" s="66" t="s">
        <v>42</v>
      </c>
      <c r="CQ86" s="202" t="s">
        <v>18</v>
      </c>
      <c r="CR86" s="65" t="s">
        <v>41</v>
      </c>
      <c r="CS86" s="66" t="s">
        <v>43</v>
      </c>
      <c r="CT86" s="202" t="s">
        <v>44</v>
      </c>
    </row>
    <row r="87" spans="1:123" x14ac:dyDescent="0.35">
      <c r="B87" s="68" t="s">
        <v>11</v>
      </c>
      <c r="C87" s="69">
        <v>30</v>
      </c>
      <c r="D87" s="69" t="s">
        <v>12</v>
      </c>
      <c r="E87" s="70" t="s">
        <v>12</v>
      </c>
      <c r="F87" s="106">
        <v>1</v>
      </c>
      <c r="H87" s="71" t="s">
        <v>14</v>
      </c>
      <c r="I87" s="72" t="e" cm="1">
        <f t="array" aca="1" ref="I87" ca="1">SUMIFS(rng_out_awp_pre_yr1, rng_out_sel_G_ind, "G", rng_out_mail_ind, $B87, rng_out_ds, $C87, rng_out_sel_sp_ind, $D87)- I137</f>
        <v>#VALUE!</v>
      </c>
      <c r="J87" s="5" t="e" cm="1">
        <f t="array" aca="1" ref="J87" ca="1">SUMIFS(rng_out_awp_pre_yr2, rng_out_sel_G_ind, "G", rng_out_mail_ind, $B87, rng_out_ds, $C87, rng_out_sel_sp_ind, $D87)- J137</f>
        <v>#VALUE!</v>
      </c>
      <c r="K87" s="5" t="e" cm="1">
        <f t="array" aca="1" ref="K87" ca="1">SUMIFS(rng_out_awp_pre_yr3, rng_out_sel_G_ind, "G", rng_out_mail_ind, $B87, rng_out_ds, $C87, rng_out_sel_sp_ind, $D87)- K137</f>
        <v>#VALUE!</v>
      </c>
      <c r="L87" s="5" t="e" cm="1">
        <f t="array" aca="1" ref="L87" ca="1">SUMIFS(rng_out_awp_pre_yr4, rng_out_sel_G_ind, "G", rng_out_mail_ind, $B87, rng_out_ds, $C87, rng_out_sel_sp_ind, $D87)- L137</f>
        <v>#VALUE!</v>
      </c>
      <c r="M87" s="73" t="e" cm="1">
        <f t="array" aca="1" ref="M87" ca="1">SUMIFS(rng_out_awp_pre_yr5, rng_out_sel_G_ind, "G", rng_out_mail_ind, $B87, rng_out_ds, $C87, rng_out_sel_sp_ind, $D87)- M137</f>
        <v>#VALUE!</v>
      </c>
      <c r="N87" s="74">
        <f t="shared" ref="N87:R91" ca="1" si="75">IFERROR(I87/I58, 0)</f>
        <v>0</v>
      </c>
      <c r="O87" s="75">
        <f t="shared" ca="1" si="75"/>
        <v>0</v>
      </c>
      <c r="P87" s="75">
        <f t="shared" ca="1" si="75"/>
        <v>0</v>
      </c>
      <c r="Q87" s="75">
        <f t="shared" ca="1" si="75"/>
        <v>0</v>
      </c>
      <c r="R87" s="76">
        <f t="shared" ca="1" si="75"/>
        <v>0</v>
      </c>
      <c r="Y87" s="77" t="s">
        <v>14</v>
      </c>
      <c r="Z87" s="78">
        <f ca="1">IFERROR(I87/[1]Tables!$AT$4, 0)</f>
        <v>0</v>
      </c>
      <c r="AA87" s="79">
        <f ca="1">IFERROR(J87/[1]Tables!$AT$4, 0)</f>
        <v>0</v>
      </c>
      <c r="AB87" s="79">
        <f ca="1">IFERROR(K87/[1]Tables!$AT$4, 0)</f>
        <v>0</v>
      </c>
      <c r="AC87" s="79">
        <f ca="1">IFERROR(L87/[1]Tables!$AT$4, 0)</f>
        <v>0</v>
      </c>
      <c r="AD87" s="80">
        <f ca="1">IFERROR(M87/[1]Tables!$AT$4, 0)</f>
        <v>0</v>
      </c>
      <c r="AE87" s="81">
        <f t="shared" ref="AE87:AI91" ca="1" si="76">IFERROR(Z87/Z58, 0)</f>
        <v>0</v>
      </c>
      <c r="AF87" s="75">
        <f t="shared" ca="1" si="76"/>
        <v>0</v>
      </c>
      <c r="AG87" s="75">
        <f t="shared" ca="1" si="76"/>
        <v>0</v>
      </c>
      <c r="AH87" s="75">
        <f t="shared" ca="1" si="76"/>
        <v>0</v>
      </c>
      <c r="AI87" s="82">
        <f t="shared" ca="1" si="76"/>
        <v>0</v>
      </c>
      <c r="AP87" s="83" t="s">
        <v>14</v>
      </c>
      <c r="AQ87" s="356" cm="1">
        <f t="array" aca="1" ref="AQ87" ca="1">IFERROR(IF(OR(input_Shift="No", [1]Tables!$BN$4=1), 0, SUMIFS(rng_out_awp_post_yr1, rng_out_mail_ind, $B87, rng_out_ds, $C87, rng_out_sel_G_ind, "B", rng_out_sel_sp_ind, $D87, rng_out_MSB_excl, $F87) * ((1-[1]Tables!$BN$4)/[1]Tables!$BN$4) * [1]Tables!$BN$5)/[1]Tables!$AT$4, 0) + IFERROR(SUMIFS(rng_out_awp_post_yr1, rng_out_sel_G_ind, "G", rng_out_mail_ind, $B87, rng_out_ds, $C87, rng_out_sel_sp_ind, $D87)/[1]Tables!$AT$4, 0) - AQ137</f>
        <v>0</v>
      </c>
      <c r="AR87" s="5" cm="1">
        <f t="array" aca="1" ref="AR87" ca="1">IFERROR(IF(OR(input_Shift="No", [1]Tables!$BN$4=1), 0, SUMIFS(rng_out_awp_post_yr2, rng_out_mail_ind, $B87, rng_out_ds, $C87, rng_out_sel_G_ind, "B", rng_out_sel_sp_ind, $D87, rng_out_MSB_excl, $F87) * ((1-[1]Tables!$BN$4)/[1]Tables!$BN$4) * [1]Tables!$BN$5)/[1]Tables!$AT$4, 0) + IFERROR(SUMIFS(rng_out_awp_post_yr2, rng_out_sel_G_ind, "G", rng_out_mail_ind, $B87, rng_out_ds, $C87, rng_out_sel_sp_ind, $D87)/[1]Tables!$AT$4, 0) - AR137</f>
        <v>0</v>
      </c>
      <c r="AS87" s="5" cm="1">
        <f t="array" aca="1" ref="AS87" ca="1">IFERROR(IF(OR(input_Shift="No", [1]Tables!$BN$4=1), 0, SUMIFS(rng_out_awp_post_yr3, rng_out_mail_ind, $B87, rng_out_ds, $C87, rng_out_sel_G_ind, "B", rng_out_sel_sp_ind, $D87, rng_out_MSB_excl, $F87) * ((1-[1]Tables!$BN$4)/[1]Tables!$BN$4) * [1]Tables!$BN$5)/[1]Tables!$AT$4, 0) + IFERROR(SUMIFS(rng_out_awp_post_yr3, rng_out_sel_G_ind, "G", rng_out_mail_ind, $B87, rng_out_ds, $C87, rng_out_sel_sp_ind, $D87)/[1]Tables!$AT$4, 0) - AS137</f>
        <v>0</v>
      </c>
      <c r="AT87" s="5" cm="1">
        <f t="array" aca="1" ref="AT87" ca="1">IFERROR(IF(OR(input_Shift="No", [1]Tables!$BN$4=1), 0, SUMIFS(rng_out_awp_post_yr4, rng_out_mail_ind, $B87, rng_out_ds, $C87, rng_out_sel_G_ind, "B", rng_out_sel_sp_ind, $D87, rng_out_MSB_excl, $F87) * ((1-[1]Tables!$BN$4)/[1]Tables!$BN$4) * [1]Tables!$BN$5)/[1]Tables!$AT$4, 0) + IFERROR(SUMIFS(rng_out_awp_post_yr4, rng_out_sel_G_ind, "G", rng_out_mail_ind, $B87, rng_out_ds, $C87, rng_out_sel_sp_ind, $D87)/[1]Tables!$AT$4, 0) - AT137</f>
        <v>0</v>
      </c>
      <c r="AU87" s="85" cm="1">
        <f t="array" aca="1" ref="AU87" ca="1">IFERROR(IF(OR(input_Shift="No", [1]Tables!$BN$4=1), 0, SUMIFS(rng_out_awp_post_yr5, rng_out_mail_ind, $B87, rng_out_ds, $C87, rng_out_sel_G_ind, "B", rng_out_sel_sp_ind, $D87, rng_out_MSB_excl, $F87) * ((1-[1]Tables!$BN$4)/[1]Tables!$BN$4) * [1]Tables!$BN$5)/[1]Tables!$AT$4, 0) + IFERROR(SUMIFS(rng_out_awp_post_yr5, rng_out_sel_G_ind, "G", rng_out_mail_ind, $B87, rng_out_ds, $C87, rng_out_sel_sp_ind, $D87)/[1]Tables!$AT$4, 0) - AU137</f>
        <v>0</v>
      </c>
      <c r="AV87" s="86">
        <f t="shared" ref="AV87:AZ91" ca="1" si="77">IFERROR(AQ87/AQ58, 0)</f>
        <v>0</v>
      </c>
      <c r="AW87" s="75">
        <f t="shared" ca="1" si="77"/>
        <v>0</v>
      </c>
      <c r="AX87" s="75">
        <f t="shared" ca="1" si="77"/>
        <v>0</v>
      </c>
      <c r="AY87" s="75">
        <f t="shared" ca="1" si="77"/>
        <v>0</v>
      </c>
      <c r="AZ87" s="87">
        <f t="shared" ca="1" si="77"/>
        <v>0</v>
      </c>
      <c r="BG87" s="88" t="s">
        <v>14</v>
      </c>
      <c r="BH87" s="97">
        <f t="shared" ref="BH87:BL90" ca="1" si="78">AQ87</f>
        <v>0</v>
      </c>
      <c r="BI87" s="79">
        <f t="shared" ca="1" si="78"/>
        <v>0</v>
      </c>
      <c r="BJ87" s="79">
        <f t="shared" ca="1" si="78"/>
        <v>0</v>
      </c>
      <c r="BK87" s="79">
        <f t="shared" ca="1" si="78"/>
        <v>0</v>
      </c>
      <c r="BL87" s="98">
        <f t="shared" ca="1" si="78"/>
        <v>0</v>
      </c>
      <c r="BM87" s="92">
        <f t="shared" ref="BM87:BQ91" ca="1" si="79">IFERROR(BH87/BH58, 0)</f>
        <v>0</v>
      </c>
      <c r="BN87" s="75">
        <f t="shared" ca="1" si="79"/>
        <v>0</v>
      </c>
      <c r="BO87" s="75">
        <f t="shared" ca="1" si="79"/>
        <v>0</v>
      </c>
      <c r="BP87" s="75">
        <f t="shared" ca="1" si="79"/>
        <v>0</v>
      </c>
      <c r="BQ87" s="93">
        <f t="shared" ca="1" si="79"/>
        <v>0</v>
      </c>
      <c r="BX87" s="88" t="s">
        <v>14</v>
      </c>
      <c r="BY87" s="97" t="e">
        <f t="shared" ref="BY87:CC90" ca="1" si="80">CD87*BY58</f>
        <v>#VALUE!</v>
      </c>
      <c r="BZ87" s="79" t="e">
        <f t="shared" ca="1" si="80"/>
        <v>#VALUE!</v>
      </c>
      <c r="CA87" s="79" t="e">
        <f t="shared" ca="1" si="80"/>
        <v>#VALUE!</v>
      </c>
      <c r="CB87" s="79" t="e">
        <f t="shared" ca="1" si="80"/>
        <v>#VALUE!</v>
      </c>
      <c r="CC87" s="98" t="e">
        <f t="shared" ca="1" si="80"/>
        <v>#VALUE!</v>
      </c>
      <c r="CD87" s="92">
        <f t="shared" ref="CD87:CH90" ca="1" si="81">BM87</f>
        <v>0</v>
      </c>
      <c r="CE87" s="75">
        <f t="shared" ca="1" si="81"/>
        <v>0</v>
      </c>
      <c r="CF87" s="75">
        <f t="shared" ca="1" si="81"/>
        <v>0</v>
      </c>
      <c r="CG87" s="75">
        <f t="shared" ca="1" si="81"/>
        <v>0</v>
      </c>
      <c r="CH87" s="93">
        <f t="shared" ca="1" si="81"/>
        <v>0</v>
      </c>
      <c r="CO87" s="215" cm="1">
        <f t="array" aca="1" ref="CO87" ca="1">_xlfn.SINGLE(IFERROR(SUMIFS(rng_out_awp_base, rng_out_sel_G_ind, "G", rng_out_mail_ind, $B87, rng_out_ds, $C87, rng_out_sel_sp_ind, $D87, rng_out_sel_excl_ind,$E87)/[1]Tables!$AT$4, 0))</f>
        <v>0</v>
      </c>
      <c r="CP87" s="217" cm="1">
        <f t="array" aca="1" ref="CP87" ca="1">_xlfn.SINGLE(IFERROR(SUMIFS(rng_out_awp_base, rng_out_sel_G_ind, "B", rng_out_mail_ind, $B87, rng_out_ds, $C87, rng_out_sel_sp_ind, $D87, rng_out_sel_excl_ind,$E87)/[1]Tables!$AT$4, 0))</f>
        <v>0</v>
      </c>
      <c r="CQ87" s="218">
        <f ca="1">SUM(CO87:CP87)</f>
        <v>0</v>
      </c>
      <c r="CR87" s="94">
        <f ca="1">IFERROR(CO87/CO58, 0)</f>
        <v>0</v>
      </c>
      <c r="CS87" s="96">
        <f t="shared" ref="CS87:CT91" ca="1" si="82">IFERROR(CP87/CP58, 0)</f>
        <v>0</v>
      </c>
      <c r="CT87" s="357">
        <f t="shared" ca="1" si="82"/>
        <v>0</v>
      </c>
    </row>
    <row r="88" spans="1:123" x14ac:dyDescent="0.35">
      <c r="B88" s="105" t="s">
        <v>11</v>
      </c>
      <c r="C88" s="106">
        <v>90</v>
      </c>
      <c r="D88" s="106" t="s">
        <v>12</v>
      </c>
      <c r="E88" s="107" t="s">
        <v>12</v>
      </c>
      <c r="F88" s="106">
        <v>1</v>
      </c>
      <c r="H88" s="108" t="s">
        <v>15</v>
      </c>
      <c r="I88" s="72" t="e" cm="1">
        <f t="array" aca="1" ref="I88" ca="1">SUMIFS(rng_out_awp_pre_yr1, rng_out_sel_G_ind, "G", rng_out_mail_ind, $B88, rng_out_ds, $C88, rng_out_sel_sp_ind, $D88)- I138</f>
        <v>#VALUE!</v>
      </c>
      <c r="J88" s="5" t="e" cm="1">
        <f t="array" aca="1" ref="J88" ca="1">SUMIFS(rng_out_awp_pre_yr2, rng_out_sel_G_ind, "G", rng_out_mail_ind, $B88, rng_out_ds, $C88, rng_out_sel_sp_ind, $D88)- J138</f>
        <v>#VALUE!</v>
      </c>
      <c r="K88" s="5" t="e" cm="1">
        <f t="array" aca="1" ref="K88" ca="1">SUMIFS(rng_out_awp_pre_yr3, rng_out_sel_G_ind, "G", rng_out_mail_ind, $B88, rng_out_ds, $C88, rng_out_sel_sp_ind, $D88)- K138</f>
        <v>#VALUE!</v>
      </c>
      <c r="L88" s="5" t="e" cm="1">
        <f t="array" aca="1" ref="L88" ca="1">SUMIFS(rng_out_awp_pre_yr4, rng_out_sel_G_ind, "G", rng_out_mail_ind, $B88, rng_out_ds, $C88, rng_out_sel_sp_ind, $D88)- L138</f>
        <v>#VALUE!</v>
      </c>
      <c r="M88" s="73" t="e" cm="1">
        <f t="array" aca="1" ref="M88" ca="1">SUMIFS(rng_out_awp_pre_yr5, rng_out_sel_G_ind, "G", rng_out_mail_ind, $B88, rng_out_ds, $C88, rng_out_sel_sp_ind, $D88)- M138</f>
        <v>#VALUE!</v>
      </c>
      <c r="N88" s="74">
        <f t="shared" ca="1" si="75"/>
        <v>0</v>
      </c>
      <c r="O88" s="75">
        <f t="shared" ca="1" si="75"/>
        <v>0</v>
      </c>
      <c r="P88" s="75">
        <f t="shared" ca="1" si="75"/>
        <v>0</v>
      </c>
      <c r="Q88" s="75">
        <f t="shared" ca="1" si="75"/>
        <v>0</v>
      </c>
      <c r="R88" s="76">
        <f t="shared" ca="1" si="75"/>
        <v>0</v>
      </c>
      <c r="Y88" s="109" t="s">
        <v>15</v>
      </c>
      <c r="Z88" s="78">
        <f ca="1">IFERROR(I88/[1]Tables!$AT$4, 0)</f>
        <v>0</v>
      </c>
      <c r="AA88" s="79">
        <f ca="1">IFERROR(J88/[1]Tables!$AT$4, 0)</f>
        <v>0</v>
      </c>
      <c r="AB88" s="79">
        <f ca="1">IFERROR(K88/[1]Tables!$AT$4, 0)</f>
        <v>0</v>
      </c>
      <c r="AC88" s="79">
        <f ca="1">IFERROR(L88/[1]Tables!$AT$4, 0)</f>
        <v>0</v>
      </c>
      <c r="AD88" s="80">
        <f ca="1">IFERROR(M88/[1]Tables!$AT$4, 0)</f>
        <v>0</v>
      </c>
      <c r="AE88" s="81">
        <f t="shared" ca="1" si="76"/>
        <v>0</v>
      </c>
      <c r="AF88" s="75">
        <f t="shared" ca="1" si="76"/>
        <v>0</v>
      </c>
      <c r="AG88" s="75">
        <f t="shared" ca="1" si="76"/>
        <v>0</v>
      </c>
      <c r="AH88" s="75">
        <f t="shared" ca="1" si="76"/>
        <v>0</v>
      </c>
      <c r="AI88" s="82">
        <f t="shared" ca="1" si="76"/>
        <v>0</v>
      </c>
      <c r="AP88" s="110" t="s">
        <v>15</v>
      </c>
      <c r="AQ88" s="356" cm="1">
        <f t="array" aca="1" ref="AQ88" ca="1">IFERROR(IF(OR(input_Shift="No", [1]Tables!$BN$4=1), 0, SUMIFS(rng_out_awp_post_yr1, rng_out_mail_ind, $B88, rng_out_ds, $C88, rng_out_sel_G_ind, "B", rng_out_sel_sp_ind, $D88, rng_out_MSB_excl, $F88) * ((1-[1]Tables!$BN$4)/[1]Tables!$BN$4) * [1]Tables!$BN$5)/[1]Tables!$AT$4, 0) + IFERROR(SUMIFS(rng_out_awp_post_yr1, rng_out_sel_G_ind, "G", rng_out_mail_ind, $B88, rng_out_ds, $C88, rng_out_sel_sp_ind, $D88)/[1]Tables!$AT$4, 0) - AQ138</f>
        <v>0</v>
      </c>
      <c r="AR88" s="5" cm="1">
        <f t="array" aca="1" ref="AR88" ca="1">IFERROR(IF(OR(input_Shift="No", [1]Tables!$BN$4=1), 0, SUMIFS(rng_out_awp_post_yr2, rng_out_mail_ind, $B88, rng_out_ds, $C88, rng_out_sel_G_ind, "B", rng_out_sel_sp_ind, $D88, rng_out_MSB_excl, $F88) * ((1-[1]Tables!$BN$4)/[1]Tables!$BN$4) * [1]Tables!$BN$5)/[1]Tables!$AT$4, 0) + IFERROR(SUMIFS(rng_out_awp_post_yr2, rng_out_sel_G_ind, "G", rng_out_mail_ind, $B88, rng_out_ds, $C88, rng_out_sel_sp_ind, $D88)/[1]Tables!$AT$4, 0) - AR138</f>
        <v>0</v>
      </c>
      <c r="AS88" s="5" cm="1">
        <f t="array" aca="1" ref="AS88" ca="1">IFERROR(IF(OR(input_Shift="No", [1]Tables!$BN$4=1), 0, SUMIFS(rng_out_awp_post_yr3, rng_out_mail_ind, $B88, rng_out_ds, $C88, rng_out_sel_G_ind, "B", rng_out_sel_sp_ind, $D88, rng_out_MSB_excl, $F88) * ((1-[1]Tables!$BN$4)/[1]Tables!$BN$4) * [1]Tables!$BN$5)/[1]Tables!$AT$4, 0) + IFERROR(SUMIFS(rng_out_awp_post_yr3, rng_out_sel_G_ind, "G", rng_out_mail_ind, $B88, rng_out_ds, $C88, rng_out_sel_sp_ind, $D88)/[1]Tables!$AT$4, 0) - AS138</f>
        <v>0</v>
      </c>
      <c r="AT88" s="5" cm="1">
        <f t="array" aca="1" ref="AT88" ca="1">IFERROR(IF(OR(input_Shift="No", [1]Tables!$BN$4=1), 0, SUMIFS(rng_out_awp_post_yr4, rng_out_mail_ind, $B88, rng_out_ds, $C88, rng_out_sel_G_ind, "B", rng_out_sel_sp_ind, $D88, rng_out_MSB_excl, $F88) * ((1-[1]Tables!$BN$4)/[1]Tables!$BN$4) * [1]Tables!$BN$5)/[1]Tables!$AT$4, 0) + IFERROR(SUMIFS(rng_out_awp_post_yr4, rng_out_sel_G_ind, "G", rng_out_mail_ind, $B88, rng_out_ds, $C88, rng_out_sel_sp_ind, $D88)/[1]Tables!$AT$4, 0) - AT138</f>
        <v>0</v>
      </c>
      <c r="AU88" s="85" cm="1">
        <f t="array" aca="1" ref="AU88" ca="1">IFERROR(IF(OR(input_Shift="No", [1]Tables!$BN$4=1), 0, SUMIFS(rng_out_awp_post_yr5, rng_out_mail_ind, $B88, rng_out_ds, $C88, rng_out_sel_G_ind, "B", rng_out_sel_sp_ind, $D88, rng_out_MSB_excl, $F88) * ((1-[1]Tables!$BN$4)/[1]Tables!$BN$4) * [1]Tables!$BN$5)/[1]Tables!$AT$4, 0) + IFERROR(SUMIFS(rng_out_awp_post_yr5, rng_out_sel_G_ind, "G", rng_out_mail_ind, $B88, rng_out_ds, $C88, rng_out_sel_sp_ind, $D88)/[1]Tables!$AT$4, 0) - AU138</f>
        <v>0</v>
      </c>
      <c r="AV88" s="86">
        <f t="shared" ca="1" si="77"/>
        <v>0</v>
      </c>
      <c r="AW88" s="75">
        <f t="shared" ca="1" si="77"/>
        <v>0</v>
      </c>
      <c r="AX88" s="75">
        <f t="shared" ca="1" si="77"/>
        <v>0</v>
      </c>
      <c r="AY88" s="75">
        <f t="shared" ca="1" si="77"/>
        <v>0</v>
      </c>
      <c r="AZ88" s="87">
        <f t="shared" ca="1" si="77"/>
        <v>0</v>
      </c>
      <c r="BG88" s="111" t="s">
        <v>15</v>
      </c>
      <c r="BH88" s="97">
        <f t="shared" ca="1" si="78"/>
        <v>0</v>
      </c>
      <c r="BI88" s="79">
        <f t="shared" ca="1" si="78"/>
        <v>0</v>
      </c>
      <c r="BJ88" s="79">
        <f t="shared" ca="1" si="78"/>
        <v>0</v>
      </c>
      <c r="BK88" s="79">
        <f t="shared" ca="1" si="78"/>
        <v>0</v>
      </c>
      <c r="BL88" s="98">
        <f t="shared" ca="1" si="78"/>
        <v>0</v>
      </c>
      <c r="BM88" s="92">
        <f t="shared" ca="1" si="79"/>
        <v>0</v>
      </c>
      <c r="BN88" s="75">
        <f t="shared" ca="1" si="79"/>
        <v>0</v>
      </c>
      <c r="BO88" s="75">
        <f t="shared" ca="1" si="79"/>
        <v>0</v>
      </c>
      <c r="BP88" s="75">
        <f t="shared" ca="1" si="79"/>
        <v>0</v>
      </c>
      <c r="BQ88" s="93">
        <f t="shared" ca="1" si="79"/>
        <v>0</v>
      </c>
      <c r="BX88" s="111" t="s">
        <v>15</v>
      </c>
      <c r="BY88" s="97" t="e">
        <f t="shared" ca="1" si="80"/>
        <v>#VALUE!</v>
      </c>
      <c r="BZ88" s="79" t="e">
        <f t="shared" ca="1" si="80"/>
        <v>#VALUE!</v>
      </c>
      <c r="CA88" s="79" t="e">
        <f t="shared" ca="1" si="80"/>
        <v>#VALUE!</v>
      </c>
      <c r="CB88" s="79" t="e">
        <f t="shared" ca="1" si="80"/>
        <v>#VALUE!</v>
      </c>
      <c r="CC88" s="98" t="e">
        <f t="shared" ca="1" si="80"/>
        <v>#VALUE!</v>
      </c>
      <c r="CD88" s="92">
        <f t="shared" ca="1" si="81"/>
        <v>0</v>
      </c>
      <c r="CE88" s="75">
        <f t="shared" ca="1" si="81"/>
        <v>0</v>
      </c>
      <c r="CF88" s="75">
        <f t="shared" ca="1" si="81"/>
        <v>0</v>
      </c>
      <c r="CG88" s="75">
        <f t="shared" ca="1" si="81"/>
        <v>0</v>
      </c>
      <c r="CH88" s="93">
        <f t="shared" ca="1" si="81"/>
        <v>0</v>
      </c>
      <c r="CO88" s="213" cm="1">
        <f t="array" aca="1" ref="CO88" ca="1">_xlfn.SINGLE(IFERROR(SUMIFS(rng_out_awp_base, rng_out_sel_G_ind, "G", rng_out_mail_ind, $B88, rng_out_ds, $C88, rng_out_sel_sp_ind, $D88, rng_out_sel_excl_ind,$E88)/[1]Tables!$AT$4, 0))</f>
        <v>0</v>
      </c>
      <c r="CP88" s="214" cm="1">
        <f t="array" aca="1" ref="CP88" ca="1">_xlfn.SINGLE(IFERROR(SUMIFS(rng_out_awp_base, rng_out_sel_G_ind, "B", rng_out_mail_ind, $B88, rng_out_ds, $C88, rng_out_sel_sp_ind, $D88, rng_out_sel_excl_ind,$E88)/[1]Tables!$AT$4, 0))</f>
        <v>0</v>
      </c>
      <c r="CQ88" s="220">
        <f ca="1">SUM(CO88:CP88)</f>
        <v>0</v>
      </c>
      <c r="CR88" s="92">
        <f ca="1">IFERROR(CO88/CO59, 0)</f>
        <v>0</v>
      </c>
      <c r="CS88" s="93">
        <f t="shared" ca="1" si="82"/>
        <v>0</v>
      </c>
      <c r="CT88" s="358">
        <f t="shared" ca="1" si="82"/>
        <v>0</v>
      </c>
    </row>
    <row r="89" spans="1:123" x14ac:dyDescent="0.35">
      <c r="B89" s="105" t="s">
        <v>16</v>
      </c>
      <c r="C89" s="106"/>
      <c r="D89" s="106" t="s">
        <v>12</v>
      </c>
      <c r="E89" s="107" t="s">
        <v>12</v>
      </c>
      <c r="F89" s="106">
        <v>1</v>
      </c>
      <c r="H89" s="118" t="s">
        <v>7</v>
      </c>
      <c r="I89" s="72" t="e" cm="1">
        <f t="array" aca="1" ref="I89" ca="1">SUMIFS(rng_out_awp_pre_yr1, rng_out_sel_G_ind, "G", rng_out_mail_ind, $B89, rng_out_sel_sp_ind, $D89)- I139</f>
        <v>#VALUE!</v>
      </c>
      <c r="J89" s="5" t="e" cm="1">
        <f t="array" aca="1" ref="J89" ca="1">SUMIFS(rng_out_awp_pre_yr2, rng_out_sel_G_ind, "G", rng_out_mail_ind, $B89, rng_out_sel_sp_ind, $D89)- J139</f>
        <v>#VALUE!</v>
      </c>
      <c r="K89" s="5" t="e" cm="1">
        <f t="array" aca="1" ref="K89" ca="1">SUMIFS(rng_out_awp_pre_yr3, rng_out_sel_G_ind, "G", rng_out_mail_ind, $B89, rng_out_sel_sp_ind, $D89)- K139</f>
        <v>#VALUE!</v>
      </c>
      <c r="L89" s="5" t="e" cm="1">
        <f t="array" aca="1" ref="L89" ca="1">SUMIFS(rng_out_awp_pre_yr4, rng_out_sel_G_ind, "G", rng_out_mail_ind, $B89, rng_out_sel_sp_ind, $D89)- L139</f>
        <v>#VALUE!</v>
      </c>
      <c r="M89" s="73" t="e" cm="1">
        <f t="array" aca="1" ref="M89" ca="1">SUMIFS(rng_out_awp_pre_yr5, rng_out_sel_G_ind, "G", rng_out_mail_ind, $B89, rng_out_sel_sp_ind, $D89)- M139</f>
        <v>#VALUE!</v>
      </c>
      <c r="N89" s="74">
        <f t="shared" ca="1" si="75"/>
        <v>0</v>
      </c>
      <c r="O89" s="75">
        <f t="shared" ca="1" si="75"/>
        <v>0</v>
      </c>
      <c r="P89" s="75">
        <f t="shared" ca="1" si="75"/>
        <v>0</v>
      </c>
      <c r="Q89" s="75">
        <f t="shared" ca="1" si="75"/>
        <v>0</v>
      </c>
      <c r="R89" s="76">
        <f t="shared" ca="1" si="75"/>
        <v>0</v>
      </c>
      <c r="Y89" s="119" t="s">
        <v>7</v>
      </c>
      <c r="Z89" s="78">
        <f ca="1">IFERROR(I89/[1]Tables!$AT$4, 0)</f>
        <v>0</v>
      </c>
      <c r="AA89" s="79">
        <f ca="1">IFERROR(J89/[1]Tables!$AT$4, 0)</f>
        <v>0</v>
      </c>
      <c r="AB89" s="79">
        <f ca="1">IFERROR(K89/[1]Tables!$AT$4, 0)</f>
        <v>0</v>
      </c>
      <c r="AC89" s="79">
        <f ca="1">IFERROR(L89/[1]Tables!$AT$4, 0)</f>
        <v>0</v>
      </c>
      <c r="AD89" s="80">
        <f ca="1">IFERROR(M89/[1]Tables!$AT$4, 0)</f>
        <v>0</v>
      </c>
      <c r="AE89" s="81">
        <f t="shared" ca="1" si="76"/>
        <v>0</v>
      </c>
      <c r="AF89" s="75">
        <f t="shared" ca="1" si="76"/>
        <v>0</v>
      </c>
      <c r="AG89" s="75">
        <f t="shared" ca="1" si="76"/>
        <v>0</v>
      </c>
      <c r="AH89" s="75">
        <f t="shared" ca="1" si="76"/>
        <v>0</v>
      </c>
      <c r="AI89" s="82">
        <f t="shared" ca="1" si="76"/>
        <v>0</v>
      </c>
      <c r="AP89" s="120" t="s">
        <v>7</v>
      </c>
      <c r="AQ89" s="356" cm="1">
        <f t="array" aca="1" ref="AQ89" ca="1">IFERROR(IF(OR(input_Shift="No", [1]Tables!$BN$4=1), 0, SUMIFS(rng_out_awp_post_yr1, rng_out_mail_ind, $B89, rng_out_sel_G_ind, "B", rng_out_sel_sp_ind, $D89, rng_out_MSB_excl, $F89) * ((1-[1]Tables!$BN$4)/[1]Tables!$BN$4) * [1]Tables!$BN$5)/[1]Tables!$AT$4, 0) + IFERROR(SUMIFS(rng_out_awp_post_yr1, rng_out_sel_G_ind, "G", rng_out_mail_ind, $B89, rng_out_sel_sp_ind, $D89)/[1]Tables!$AT$4, 0) - AQ139</f>
        <v>0</v>
      </c>
      <c r="AR89" s="5" cm="1">
        <f t="array" aca="1" ref="AR89" ca="1">IFERROR(IF(OR(input_Shift="No", [1]Tables!$BN$4=1), 0, SUMIFS(rng_out_awp_post_yr2, rng_out_mail_ind, $B89, rng_out_sel_G_ind, "B", rng_out_sel_sp_ind, $D89, rng_out_MSB_excl, $F89) * ((1-[1]Tables!$BN$4)/[1]Tables!$BN$4) * [1]Tables!$BN$5)/[1]Tables!$AT$4, 0) + IFERROR(SUMIFS(rng_out_awp_post_yr2, rng_out_sel_G_ind, "G", rng_out_mail_ind, $B89, rng_out_sel_sp_ind, $D89)/[1]Tables!$AT$4, 0) - AR139</f>
        <v>0</v>
      </c>
      <c r="AS89" s="5" cm="1">
        <f t="array" aca="1" ref="AS89" ca="1">IFERROR(IF(OR(input_Shift="No", [1]Tables!$BN$4=1), 0, SUMIFS(rng_out_awp_post_yr3, rng_out_mail_ind, $B89, rng_out_sel_G_ind, "B", rng_out_sel_sp_ind, $D89, rng_out_MSB_excl, $F89) * ((1-[1]Tables!$BN$4)/[1]Tables!$BN$4) * [1]Tables!$BN$5)/[1]Tables!$AT$4, 0) + IFERROR(SUMIFS(rng_out_awp_post_yr3, rng_out_sel_G_ind, "G", rng_out_mail_ind, $B89, rng_out_sel_sp_ind, $D89)/[1]Tables!$AT$4, 0) - AS139</f>
        <v>0</v>
      </c>
      <c r="AT89" s="5" cm="1">
        <f t="array" aca="1" ref="AT89" ca="1">IFERROR(IF(OR(input_Shift="No", [1]Tables!$BN$4=1), 0, SUMIFS(rng_out_awp_post_yr4, rng_out_mail_ind, $B89, rng_out_sel_G_ind, "B", rng_out_sel_sp_ind, $D89, rng_out_MSB_excl, $F89) * ((1-[1]Tables!$BN$4)/[1]Tables!$BN$4) * [1]Tables!$BN$5)/[1]Tables!$AT$4, 0) + IFERROR(SUMIFS(rng_out_awp_post_yr4, rng_out_sel_G_ind, "G", rng_out_mail_ind, $B89, rng_out_sel_sp_ind, $D89)/[1]Tables!$AT$4, 0) - AT139</f>
        <v>0</v>
      </c>
      <c r="AU89" s="85" cm="1">
        <f t="array" aca="1" ref="AU89" ca="1">IFERROR(IF(OR(input_Shift="No", [1]Tables!$BN$4=1), 0, SUMIFS(rng_out_awp_post_yr5, rng_out_mail_ind, $B89, rng_out_sel_G_ind, "B", rng_out_sel_sp_ind, $D89, rng_out_MSB_excl, $F89) * ((1-[1]Tables!$BN$4)/[1]Tables!$BN$4) * [1]Tables!$BN$5)/[1]Tables!$AT$4, 0) + IFERROR(SUMIFS(rng_out_awp_post_yr5, rng_out_sel_G_ind, "G", rng_out_mail_ind, $B89, rng_out_sel_sp_ind, $D89)/[1]Tables!$AT$4, 0) - AU139</f>
        <v>0</v>
      </c>
      <c r="AV89" s="86">
        <f t="shared" ca="1" si="77"/>
        <v>0</v>
      </c>
      <c r="AW89" s="75">
        <f t="shared" ca="1" si="77"/>
        <v>0</v>
      </c>
      <c r="AX89" s="75">
        <f t="shared" ca="1" si="77"/>
        <v>0</v>
      </c>
      <c r="AY89" s="75">
        <f t="shared" ca="1" si="77"/>
        <v>0</v>
      </c>
      <c r="AZ89" s="87">
        <f t="shared" ca="1" si="77"/>
        <v>0</v>
      </c>
      <c r="BG89" s="121" t="s">
        <v>7</v>
      </c>
      <c r="BH89" s="97">
        <f t="shared" ca="1" si="78"/>
        <v>0</v>
      </c>
      <c r="BI89" s="79">
        <f t="shared" ca="1" si="78"/>
        <v>0</v>
      </c>
      <c r="BJ89" s="79">
        <f t="shared" ca="1" si="78"/>
        <v>0</v>
      </c>
      <c r="BK89" s="79">
        <f t="shared" ca="1" si="78"/>
        <v>0</v>
      </c>
      <c r="BL89" s="98">
        <f t="shared" ca="1" si="78"/>
        <v>0</v>
      </c>
      <c r="BM89" s="92">
        <f t="shared" ca="1" si="79"/>
        <v>0</v>
      </c>
      <c r="BN89" s="75">
        <f t="shared" ca="1" si="79"/>
        <v>0</v>
      </c>
      <c r="BO89" s="75">
        <f t="shared" ca="1" si="79"/>
        <v>0</v>
      </c>
      <c r="BP89" s="75">
        <f t="shared" ca="1" si="79"/>
        <v>0</v>
      </c>
      <c r="BQ89" s="93">
        <f t="shared" ca="1" si="79"/>
        <v>0</v>
      </c>
      <c r="BX89" s="121" t="s">
        <v>7</v>
      </c>
      <c r="BY89" s="97" t="e">
        <f t="shared" ca="1" si="80"/>
        <v>#VALUE!</v>
      </c>
      <c r="BZ89" s="79" t="e">
        <f t="shared" ca="1" si="80"/>
        <v>#VALUE!</v>
      </c>
      <c r="CA89" s="79" t="e">
        <f t="shared" ca="1" si="80"/>
        <v>#VALUE!</v>
      </c>
      <c r="CB89" s="79" t="e">
        <f t="shared" ca="1" si="80"/>
        <v>#VALUE!</v>
      </c>
      <c r="CC89" s="98" t="e">
        <f t="shared" ca="1" si="80"/>
        <v>#VALUE!</v>
      </c>
      <c r="CD89" s="92">
        <f t="shared" ca="1" si="81"/>
        <v>0</v>
      </c>
      <c r="CE89" s="75">
        <f t="shared" ca="1" si="81"/>
        <v>0</v>
      </c>
      <c r="CF89" s="75">
        <f t="shared" ca="1" si="81"/>
        <v>0</v>
      </c>
      <c r="CG89" s="75">
        <f t="shared" ca="1" si="81"/>
        <v>0</v>
      </c>
      <c r="CH89" s="93">
        <f t="shared" ca="1" si="81"/>
        <v>0</v>
      </c>
      <c r="CO89" s="213" cm="1">
        <f t="array" aca="1" ref="CO89" ca="1">_xlfn.SINGLE(IFERROR(SUMIFS(rng_out_awp_base, rng_out_sel_G_ind, "G", rng_out_mail_ind, $B89, rng_out_sel_sp_ind, $D89, rng_out_sel_excl_ind,$E89)/[1]Tables!$AT$4, 0))</f>
        <v>0</v>
      </c>
      <c r="CP89" s="214" cm="1">
        <f t="array" aca="1" ref="CP89" ca="1">_xlfn.SINGLE(IFERROR(SUMIFS(rng_out_awp_base, rng_out_sel_G_ind, "B", rng_out_mail_ind, $B89, rng_out_sel_sp_ind, $D89, rng_out_sel_excl_ind,$E89)/[1]Tables!$AT$4, 0))</f>
        <v>0</v>
      </c>
      <c r="CQ89" s="220">
        <f ca="1">SUM(CO89:CP89)</f>
        <v>0</v>
      </c>
      <c r="CR89" s="92">
        <f ca="1">IFERROR(CO89/CO60, 0)</f>
        <v>0</v>
      </c>
      <c r="CS89" s="93">
        <f t="shared" ca="1" si="82"/>
        <v>0</v>
      </c>
      <c r="CT89" s="358">
        <f t="shared" ca="1" si="82"/>
        <v>0</v>
      </c>
    </row>
    <row r="90" spans="1:123" ht="15" thickBot="1" x14ac:dyDescent="0.4">
      <c r="B90" s="122"/>
      <c r="C90" s="123"/>
      <c r="D90" s="123" t="s">
        <v>13</v>
      </c>
      <c r="E90" s="124" t="s">
        <v>12</v>
      </c>
      <c r="F90" s="106">
        <v>1</v>
      </c>
      <c r="H90" s="118" t="s">
        <v>17</v>
      </c>
      <c r="I90" s="72" t="e" cm="1">
        <f t="array" aca="1" ref="I90" ca="1">SUMIFS(rng_out_awp_pre_yr1, rng_out_sel_G_ind, "G", rng_out_sel_sp_ind, $D90)- I140</f>
        <v>#VALUE!</v>
      </c>
      <c r="J90" s="5" t="e" cm="1">
        <f t="array" aca="1" ref="J90" ca="1">SUMIFS(rng_out_awp_pre_yr2, rng_out_sel_G_ind, "G", rng_out_sel_sp_ind, $D90)- J140</f>
        <v>#VALUE!</v>
      </c>
      <c r="K90" s="5" t="e" cm="1">
        <f t="array" aca="1" ref="K90" ca="1">SUMIFS(rng_out_awp_pre_yr3, rng_out_sel_G_ind, "G", rng_out_sel_sp_ind, $D90)- K140</f>
        <v>#VALUE!</v>
      </c>
      <c r="L90" s="5" t="e" cm="1">
        <f t="array" aca="1" ref="L90" ca="1">SUMIFS(rng_out_awp_pre_yr4, rng_out_sel_G_ind, "G", rng_out_sel_sp_ind, $D90)- L140</f>
        <v>#VALUE!</v>
      </c>
      <c r="M90" s="125" t="e" cm="1">
        <f t="array" aca="1" ref="M90" ca="1">SUMIFS(rng_out_awp_pre_yr5, rng_out_sel_G_ind, "G", rng_out_sel_sp_ind, $D90)- M140</f>
        <v>#VALUE!</v>
      </c>
      <c r="N90" s="74">
        <f t="shared" ca="1" si="75"/>
        <v>0</v>
      </c>
      <c r="O90" s="75">
        <f t="shared" ca="1" si="75"/>
        <v>0</v>
      </c>
      <c r="P90" s="75">
        <f t="shared" ca="1" si="75"/>
        <v>0</v>
      </c>
      <c r="Q90" s="75">
        <f t="shared" ca="1" si="75"/>
        <v>0</v>
      </c>
      <c r="R90" s="126">
        <f t="shared" ca="1" si="75"/>
        <v>0</v>
      </c>
      <c r="Y90" s="119" t="s">
        <v>17</v>
      </c>
      <c r="Z90" s="127">
        <f ca="1">IFERROR(I90/[1]Tables!$AT$4, 0)</f>
        <v>0</v>
      </c>
      <c r="AA90" s="128">
        <f ca="1">IFERROR(J90/[1]Tables!$AT$4, 0)</f>
        <v>0</v>
      </c>
      <c r="AB90" s="128">
        <f ca="1">IFERROR(K90/[1]Tables!$AT$4, 0)</f>
        <v>0</v>
      </c>
      <c r="AC90" s="128">
        <f ca="1">IFERROR(L90/[1]Tables!$AT$4, 0)</f>
        <v>0</v>
      </c>
      <c r="AD90" s="129">
        <f ca="1">IFERROR(M90/[1]Tables!$AT$4, 0)</f>
        <v>0</v>
      </c>
      <c r="AE90" s="130">
        <f t="shared" ca="1" si="76"/>
        <v>0</v>
      </c>
      <c r="AF90" s="131">
        <f t="shared" ca="1" si="76"/>
        <v>0</v>
      </c>
      <c r="AG90" s="131">
        <f t="shared" ca="1" si="76"/>
        <v>0</v>
      </c>
      <c r="AH90" s="131">
        <f t="shared" ca="1" si="76"/>
        <v>0</v>
      </c>
      <c r="AI90" s="132">
        <f t="shared" ca="1" si="76"/>
        <v>0</v>
      </c>
      <c r="AP90" s="120" t="s">
        <v>17</v>
      </c>
      <c r="AQ90" s="167" cm="1">
        <f t="array" aca="1" ref="AQ90" ca="1">IFERROR(IF(OR(input_Shift="No", [1]Tables!$BN$4=1), 0, SUMIFS(rng_out_awp_post_yr1, rng_out_sel_G_ind, "B", rng_out_sel_sp_ind, $D90, rng_out_MSB_excl, $F90) * ((1-[1]Tables!$BN$4)/[1]Tables!$BN$4) * [1]Tables!$BN$5)/[1]Tables!$AT$4, 0) + IFERROR(SUMIFS(rng_out_awp_post_yr1, rng_out_sel_G_ind, "G", rng_out_sel_sp_ind, $D90)/[1]Tables!$AT$4, 0) - AQ140</f>
        <v>0</v>
      </c>
      <c r="AR90" s="134" cm="1">
        <f t="array" aca="1" ref="AR90" ca="1">IFERROR(IF(OR(input_Shift="No", [1]Tables!$BN$4=1), 0, SUMIFS(rng_out_awp_post_yr2, rng_out_sel_G_ind, "B", rng_out_sel_sp_ind, $D90, rng_out_MSB_excl, $F90) * ((1-[1]Tables!$BN$4)/[1]Tables!$BN$4) * [1]Tables!$BN$5)/[1]Tables!$AT$4, 0) + IFERROR(SUMIFS(rng_out_awp_post_yr2, rng_out_sel_G_ind, "G", rng_out_sel_sp_ind, $D90)/[1]Tables!$AT$4, 0) - AR140</f>
        <v>0</v>
      </c>
      <c r="AS90" s="134" cm="1">
        <f t="array" aca="1" ref="AS90" ca="1">IFERROR(IF(OR(input_Shift="No", [1]Tables!$BN$4=1), 0, SUMIFS(rng_out_awp_post_yr3, rng_out_sel_G_ind, "B", rng_out_sel_sp_ind, $D90, rng_out_MSB_excl, $F90) * ((1-[1]Tables!$BN$4)/[1]Tables!$BN$4) * [1]Tables!$BN$5)/[1]Tables!$AT$4, 0) + IFERROR(SUMIFS(rng_out_awp_post_yr3, rng_out_sel_G_ind, "G", rng_out_sel_sp_ind, $D90)/[1]Tables!$AT$4, 0) - AS140</f>
        <v>0</v>
      </c>
      <c r="AT90" s="134" cm="1">
        <f t="array" aca="1" ref="AT90" ca="1">IFERROR(IF(OR(input_Shift="No", [1]Tables!$BN$4=1), 0, SUMIFS(rng_out_awp_post_yr4, rng_out_sel_G_ind, "B", rng_out_sel_sp_ind, $D90, rng_out_MSB_excl, $F90) * ((1-[1]Tables!$BN$4)/[1]Tables!$BN$4) * [1]Tables!$BN$5)/[1]Tables!$AT$4, 0) + IFERROR(SUMIFS(rng_out_awp_post_yr4, rng_out_sel_G_ind, "G", rng_out_sel_sp_ind, $D90)/[1]Tables!$AT$4, 0) - AT140</f>
        <v>0</v>
      </c>
      <c r="AU90" s="135" cm="1">
        <f t="array" aca="1" ref="AU90" ca="1">IFERROR(IF(OR(input_Shift="No", [1]Tables!$BN$4=1), 0, SUMIFS(rng_out_awp_post_yr5, rng_out_sel_G_ind, "B", rng_out_sel_sp_ind, $D90, rng_out_MSB_excl, $F90) * ((1-[1]Tables!$BN$4)/[1]Tables!$BN$4) * [1]Tables!$BN$5)/[1]Tables!$AT$4, 0) + IFERROR(SUMIFS(rng_out_awp_post_yr5, rng_out_sel_G_ind, "G", rng_out_sel_sp_ind, $D90)/[1]Tables!$AT$4, 0) - AU140</f>
        <v>0</v>
      </c>
      <c r="AV90" s="136">
        <f t="shared" ca="1" si="77"/>
        <v>0</v>
      </c>
      <c r="AW90" s="137">
        <f t="shared" ca="1" si="77"/>
        <v>0</v>
      </c>
      <c r="AX90" s="137">
        <f t="shared" ca="1" si="77"/>
        <v>0</v>
      </c>
      <c r="AY90" s="137">
        <f t="shared" ca="1" si="77"/>
        <v>0</v>
      </c>
      <c r="AZ90" s="138">
        <f t="shared" ca="1" si="77"/>
        <v>0</v>
      </c>
      <c r="BG90" s="121" t="s">
        <v>17</v>
      </c>
      <c r="BH90" s="145">
        <f t="shared" ca="1" si="78"/>
        <v>0</v>
      </c>
      <c r="BI90" s="146">
        <f t="shared" ca="1" si="78"/>
        <v>0</v>
      </c>
      <c r="BJ90" s="146">
        <f t="shared" ca="1" si="78"/>
        <v>0</v>
      </c>
      <c r="BK90" s="146">
        <f t="shared" ca="1" si="78"/>
        <v>0</v>
      </c>
      <c r="BL90" s="147">
        <f t="shared" ca="1" si="78"/>
        <v>0</v>
      </c>
      <c r="BM90" s="142">
        <f t="shared" ca="1" si="79"/>
        <v>0</v>
      </c>
      <c r="BN90" s="143">
        <f t="shared" ca="1" si="79"/>
        <v>0</v>
      </c>
      <c r="BO90" s="143">
        <f t="shared" ca="1" si="79"/>
        <v>0</v>
      </c>
      <c r="BP90" s="143">
        <f t="shared" ca="1" si="79"/>
        <v>0</v>
      </c>
      <c r="BQ90" s="144">
        <f t="shared" ca="1" si="79"/>
        <v>0</v>
      </c>
      <c r="BX90" s="121" t="s">
        <v>17</v>
      </c>
      <c r="BY90" s="145" t="e">
        <f t="shared" ca="1" si="80"/>
        <v>#VALUE!</v>
      </c>
      <c r="BZ90" s="146" t="e">
        <f t="shared" ca="1" si="80"/>
        <v>#VALUE!</v>
      </c>
      <c r="CA90" s="146" t="e">
        <f t="shared" ca="1" si="80"/>
        <v>#VALUE!</v>
      </c>
      <c r="CB90" s="146" t="e">
        <f t="shared" ca="1" si="80"/>
        <v>#VALUE!</v>
      </c>
      <c r="CC90" s="147" t="e">
        <f t="shared" ca="1" si="80"/>
        <v>#VALUE!</v>
      </c>
      <c r="CD90" s="142">
        <f t="shared" ca="1" si="81"/>
        <v>0</v>
      </c>
      <c r="CE90" s="143">
        <f t="shared" ca="1" si="81"/>
        <v>0</v>
      </c>
      <c r="CF90" s="143">
        <f t="shared" ca="1" si="81"/>
        <v>0</v>
      </c>
      <c r="CG90" s="143">
        <f t="shared" ca="1" si="81"/>
        <v>0</v>
      </c>
      <c r="CH90" s="144">
        <f t="shared" ca="1" si="81"/>
        <v>0</v>
      </c>
      <c r="CO90" s="231" cm="1">
        <f t="array" aca="1" ref="CO90" ca="1">_xlfn.SINGLE(IFERROR(SUMIFS(rng_out_awp_base, rng_out_sel_G_ind, "G", rng_out_sel_sp_ind, $D90, rng_out_sel_excl_ind,$E90)/[1]Tables!$AT$4, 0))</f>
        <v>0</v>
      </c>
      <c r="CP90" s="233" cm="1">
        <f t="array" aca="1" ref="CP90" ca="1">_xlfn.SINGLE(IFERROR(SUMIFS(rng_out_awp_base, rng_out_sel_G_ind, "B", rng_out_sel_sp_ind, $D90, rng_out_sel_excl_ind,$E90)/[1]Tables!$AT$4, 0))</f>
        <v>0</v>
      </c>
      <c r="CQ90" s="234">
        <f ca="1">SUM(CO90:CP90)</f>
        <v>0</v>
      </c>
      <c r="CR90" s="142">
        <f ca="1">IFERROR(CO90/CO61, 0)</f>
        <v>0</v>
      </c>
      <c r="CS90" s="144">
        <f t="shared" ca="1" si="82"/>
        <v>0</v>
      </c>
      <c r="CT90" s="177">
        <f t="shared" ca="1" si="82"/>
        <v>0</v>
      </c>
    </row>
    <row r="91" spans="1:123" ht="15" thickBot="1" x14ac:dyDescent="0.4">
      <c r="B91" s="106"/>
      <c r="C91" s="236"/>
      <c r="D91" s="236" t="s">
        <v>29</v>
      </c>
      <c r="E91" s="237" t="str">
        <f>IF(sel_excl_nonRebatable=1, "Y", "N")</f>
        <v>N</v>
      </c>
      <c r="H91" s="154" t="s">
        <v>18</v>
      </c>
      <c r="I91" s="155" t="e">
        <f ca="1">SUM(I87:I90)</f>
        <v>#VALUE!</v>
      </c>
      <c r="J91" s="155" t="e">
        <f ca="1">SUM(J87:J90)</f>
        <v>#VALUE!</v>
      </c>
      <c r="K91" s="155" t="e">
        <f ca="1">SUM(K87:K90)</f>
        <v>#VALUE!</v>
      </c>
      <c r="L91" s="155" t="e">
        <f ca="1">SUM(L87:L90)</f>
        <v>#VALUE!</v>
      </c>
      <c r="M91" s="156" t="e">
        <f ca="1">SUM(M87:M90)</f>
        <v>#VALUE!</v>
      </c>
      <c r="N91" s="157">
        <f t="shared" ca="1" si="75"/>
        <v>0</v>
      </c>
      <c r="O91" s="157">
        <f t="shared" ca="1" si="75"/>
        <v>0</v>
      </c>
      <c r="P91" s="157">
        <f t="shared" ca="1" si="75"/>
        <v>0</v>
      </c>
      <c r="Q91" s="157">
        <f t="shared" ca="1" si="75"/>
        <v>0</v>
      </c>
      <c r="R91" s="158">
        <f t="shared" ca="1" si="75"/>
        <v>0</v>
      </c>
      <c r="Y91" s="159" t="s">
        <v>18</v>
      </c>
      <c r="Z91" s="160">
        <f ca="1">SUM(Z87:Z90)</f>
        <v>0</v>
      </c>
      <c r="AA91" s="161">
        <f ca="1">SUM(AA87:AA90)</f>
        <v>0</v>
      </c>
      <c r="AB91" s="161">
        <f ca="1">SUM(AB87:AB90)</f>
        <v>0</v>
      </c>
      <c r="AC91" s="161">
        <f ca="1">SUM(AC87:AC90)</f>
        <v>0</v>
      </c>
      <c r="AD91" s="162">
        <f ca="1">SUM(AD87:AD90)</f>
        <v>0</v>
      </c>
      <c r="AE91" s="163">
        <f t="shared" ca="1" si="76"/>
        <v>0</v>
      </c>
      <c r="AF91" s="164">
        <f t="shared" ca="1" si="76"/>
        <v>0</v>
      </c>
      <c r="AG91" s="164">
        <f t="shared" ca="1" si="76"/>
        <v>0</v>
      </c>
      <c r="AH91" s="164">
        <f t="shared" ca="1" si="76"/>
        <v>0</v>
      </c>
      <c r="AI91" s="165">
        <f t="shared" ca="1" si="76"/>
        <v>0</v>
      </c>
      <c r="AP91" s="166" t="s">
        <v>18</v>
      </c>
      <c r="AQ91" s="167">
        <f ca="1">SUM(AQ87:AQ90)</f>
        <v>0</v>
      </c>
      <c r="AR91" s="134">
        <f ca="1">SUM(AR87:AR90)</f>
        <v>0</v>
      </c>
      <c r="AS91" s="134">
        <f ca="1">SUM(AS87:AS90)</f>
        <v>0</v>
      </c>
      <c r="AT91" s="134">
        <f ca="1">SUM(AT87:AT90)</f>
        <v>0</v>
      </c>
      <c r="AU91" s="135">
        <f ca="1">SUM(AU87:AU90)</f>
        <v>0</v>
      </c>
      <c r="AV91" s="168">
        <f t="shared" ca="1" si="77"/>
        <v>0</v>
      </c>
      <c r="AW91" s="169">
        <f t="shared" ca="1" si="77"/>
        <v>0</v>
      </c>
      <c r="AX91" s="169">
        <f t="shared" ca="1" si="77"/>
        <v>0</v>
      </c>
      <c r="AY91" s="169">
        <f t="shared" ca="1" si="77"/>
        <v>0</v>
      </c>
      <c r="AZ91" s="170">
        <f t="shared" ca="1" si="77"/>
        <v>0</v>
      </c>
      <c r="BG91" s="171" t="s">
        <v>18</v>
      </c>
      <c r="BH91" s="172">
        <f ca="1">SUM(BH87:BH90)</f>
        <v>0</v>
      </c>
      <c r="BI91" s="173">
        <f ca="1">SUM(BI87:BI90)</f>
        <v>0</v>
      </c>
      <c r="BJ91" s="173">
        <f ca="1">SUM(BJ87:BJ90)</f>
        <v>0</v>
      </c>
      <c r="BK91" s="173">
        <f ca="1">SUM(BK87:BK90)</f>
        <v>0</v>
      </c>
      <c r="BL91" s="174">
        <f ca="1">SUM(BL87:BL90)</f>
        <v>0</v>
      </c>
      <c r="BM91" s="175">
        <f t="shared" ca="1" si="79"/>
        <v>0</v>
      </c>
      <c r="BN91" s="176">
        <f t="shared" ca="1" si="79"/>
        <v>0</v>
      </c>
      <c r="BO91" s="176">
        <f t="shared" ca="1" si="79"/>
        <v>0</v>
      </c>
      <c r="BP91" s="176">
        <f t="shared" ca="1" si="79"/>
        <v>0</v>
      </c>
      <c r="BQ91" s="177">
        <f t="shared" ca="1" si="79"/>
        <v>0</v>
      </c>
      <c r="BX91" s="171" t="s">
        <v>18</v>
      </c>
      <c r="BY91" s="172" t="e">
        <f ca="1">SUM(BY87:BY90)</f>
        <v>#VALUE!</v>
      </c>
      <c r="BZ91" s="173" t="e">
        <f ca="1">SUM(BZ87:BZ90)</f>
        <v>#VALUE!</v>
      </c>
      <c r="CA91" s="173" t="e">
        <f ca="1">SUM(CA87:CA90)</f>
        <v>#VALUE!</v>
      </c>
      <c r="CB91" s="173" t="e">
        <f ca="1">SUM(CB87:CB90)</f>
        <v>#VALUE!</v>
      </c>
      <c r="CC91" s="174" t="e">
        <f ca="1">SUM(CC87:CC90)</f>
        <v>#VALUE!</v>
      </c>
      <c r="CD91" s="175">
        <f ca="1">IFERROR(BY91/BY62, 0)</f>
        <v>0</v>
      </c>
      <c r="CE91" s="176">
        <f ca="1">IFERROR(BZ91/BZ62, 0)</f>
        <v>0</v>
      </c>
      <c r="CF91" s="176">
        <f ca="1">IFERROR(CA91/CA62, 0)</f>
        <v>0</v>
      </c>
      <c r="CG91" s="176">
        <f ca="1">IFERROR(CB91/CB62, 0)</f>
        <v>0</v>
      </c>
      <c r="CH91" s="177">
        <f ca="1">IFERROR(CC91/CC62, 0)</f>
        <v>0</v>
      </c>
      <c r="CO91" s="246">
        <f ca="1">SUM(CO87:CO90)</f>
        <v>0</v>
      </c>
      <c r="CP91" s="247">
        <f ca="1">SUM(CP87:CP90)</f>
        <v>0</v>
      </c>
      <c r="CQ91" s="247">
        <f ca="1">SUM(CQ87:CQ90)</f>
        <v>0</v>
      </c>
      <c r="CR91" s="359">
        <f ca="1">IFERROR(CO91/CO62, 0)</f>
        <v>0</v>
      </c>
      <c r="CS91" s="360">
        <f t="shared" ca="1" si="82"/>
        <v>0</v>
      </c>
      <c r="CT91" s="360">
        <f t="shared" ca="1" si="82"/>
        <v>0</v>
      </c>
    </row>
    <row r="92" spans="1:123" ht="15" thickBot="1" x14ac:dyDescent="0.4">
      <c r="CO92" s="252"/>
      <c r="CP92" s="252"/>
    </row>
    <row r="93" spans="1:123" ht="15" thickBot="1" x14ac:dyDescent="0.4">
      <c r="I93" s="21" t="s">
        <v>39</v>
      </c>
      <c r="J93" s="22"/>
      <c r="K93" s="22"/>
      <c r="L93" s="22"/>
      <c r="M93" s="22"/>
      <c r="N93" s="22"/>
      <c r="O93" s="22"/>
      <c r="P93" s="22"/>
      <c r="Q93" s="22"/>
      <c r="R93" s="23"/>
      <c r="Z93" s="24" t="s">
        <v>39</v>
      </c>
      <c r="AA93" s="25"/>
      <c r="AB93" s="25"/>
      <c r="AC93" s="25"/>
      <c r="AD93" s="25"/>
      <c r="AE93" s="25"/>
      <c r="AF93" s="25"/>
      <c r="AG93" s="25"/>
      <c r="AH93" s="25"/>
      <c r="AI93" s="26"/>
      <c r="AQ93" s="354" t="s">
        <v>39</v>
      </c>
      <c r="AR93" s="29"/>
      <c r="AS93" s="29"/>
      <c r="AT93" s="29"/>
      <c r="AU93" s="29"/>
      <c r="AV93" s="29"/>
      <c r="AW93" s="29"/>
      <c r="AX93" s="29"/>
      <c r="AY93" s="29"/>
      <c r="AZ93" s="355"/>
      <c r="BA93" s="355"/>
      <c r="BB93" s="355"/>
      <c r="BC93" s="355"/>
      <c r="BD93" s="355"/>
      <c r="BE93" s="355"/>
      <c r="BH93" s="31" t="s">
        <v>39</v>
      </c>
      <c r="BI93" s="32"/>
      <c r="BJ93" s="32"/>
      <c r="BK93" s="32"/>
      <c r="BL93" s="32"/>
      <c r="BM93" s="32"/>
      <c r="BN93" s="32"/>
      <c r="BO93" s="32"/>
      <c r="BP93" s="32"/>
      <c r="BQ93" s="33"/>
      <c r="BY93" s="34" t="s">
        <v>39</v>
      </c>
      <c r="BZ93" s="35"/>
      <c r="CA93" s="35"/>
      <c r="CB93" s="35"/>
      <c r="CC93" s="35"/>
      <c r="CD93" s="35"/>
      <c r="CE93" s="35"/>
      <c r="CF93" s="35"/>
      <c r="CG93" s="35"/>
      <c r="CH93" s="36"/>
      <c r="DC93" s="34" t="s">
        <v>45</v>
      </c>
      <c r="DD93" s="35"/>
      <c r="DE93" s="35"/>
      <c r="DF93" s="35"/>
      <c r="DG93" s="36"/>
      <c r="DI93" s="34" t="s">
        <v>46</v>
      </c>
      <c r="DJ93" s="35"/>
      <c r="DK93" s="35"/>
      <c r="DL93" s="35"/>
      <c r="DM93" s="36"/>
    </row>
    <row r="94" spans="1:123" ht="15" thickBot="1" x14ac:dyDescent="0.4">
      <c r="H94" s="37"/>
      <c r="I94" s="302" t="s">
        <v>42</v>
      </c>
      <c r="J94" s="303"/>
      <c r="K94" s="303"/>
      <c r="L94" s="303"/>
      <c r="M94" s="304"/>
      <c r="N94" s="302" t="s">
        <v>43</v>
      </c>
      <c r="O94" s="303"/>
      <c r="P94" s="303"/>
      <c r="Q94" s="303"/>
      <c r="R94" s="304"/>
      <c r="Z94" s="41" t="s">
        <v>42</v>
      </c>
      <c r="AA94" s="42"/>
      <c r="AB94" s="42"/>
      <c r="AC94" s="42"/>
      <c r="AD94" s="43"/>
      <c r="AE94" s="41" t="s">
        <v>43</v>
      </c>
      <c r="AF94" s="42"/>
      <c r="AG94" s="42"/>
      <c r="AH94" s="42"/>
      <c r="AI94" s="43"/>
      <c r="AQ94" s="44" t="s">
        <v>42</v>
      </c>
      <c r="AR94" s="45"/>
      <c r="AS94" s="45"/>
      <c r="AT94" s="45"/>
      <c r="AU94" s="46"/>
      <c r="AV94" s="44" t="s">
        <v>43</v>
      </c>
      <c r="AW94" s="45"/>
      <c r="AX94" s="45"/>
      <c r="AY94" s="45"/>
      <c r="AZ94" s="46"/>
      <c r="BA94" s="44" t="s">
        <v>47</v>
      </c>
      <c r="BB94" s="45"/>
      <c r="BC94" s="45"/>
      <c r="BD94" s="45"/>
      <c r="BE94" s="46"/>
      <c r="BH94" s="305" t="s">
        <v>42</v>
      </c>
      <c r="BI94" s="306"/>
      <c r="BJ94" s="306"/>
      <c r="BK94" s="306"/>
      <c r="BL94" s="307"/>
      <c r="BM94" s="305" t="s">
        <v>43</v>
      </c>
      <c r="BN94" s="306"/>
      <c r="BO94" s="306"/>
      <c r="BP94" s="306"/>
      <c r="BQ94" s="307"/>
      <c r="BY94" s="305" t="s">
        <v>42</v>
      </c>
      <c r="BZ94" s="306"/>
      <c r="CA94" s="306"/>
      <c r="CB94" s="306"/>
      <c r="CC94" s="307"/>
      <c r="CD94" s="305" t="s">
        <v>43</v>
      </c>
      <c r="CE94" s="306"/>
      <c r="CF94" s="306"/>
      <c r="CG94" s="306"/>
      <c r="CH94" s="307"/>
      <c r="DC94" s="52" t="s">
        <v>5</v>
      </c>
      <c r="DD94" s="50"/>
      <c r="DE94" s="50"/>
      <c r="DF94" s="50"/>
      <c r="DG94" s="51"/>
      <c r="DI94" s="305" t="s">
        <v>48</v>
      </c>
      <c r="DJ94" s="306"/>
      <c r="DK94" s="306"/>
      <c r="DL94" s="306"/>
      <c r="DM94" s="307"/>
    </row>
    <row r="95" spans="1:123" ht="15" thickBot="1" x14ac:dyDescent="0.4">
      <c r="H95" s="55"/>
      <c r="I95" s="56" t="str">
        <f>[1]Tables!$AA$4</f>
        <v>07/27 - 06/28</v>
      </c>
      <c r="J95" s="55" t="str">
        <f>[1]Tables!$AA$5</f>
        <v>07/28 - 06/29</v>
      </c>
      <c r="K95" s="55" t="str">
        <f>[1]Tables!$AA$6</f>
        <v>07/29 - 06/30</v>
      </c>
      <c r="L95" s="55" t="str">
        <f>[1]Tables!$AA$7</f>
        <v>07/30 - 06/31</v>
      </c>
      <c r="M95" s="57" t="str">
        <f>[1]Tables!$AA$8</f>
        <v>07/31 - 06/32</v>
      </c>
      <c r="N95" s="56" t="str">
        <f>[1]Tables!$AA$4</f>
        <v>07/27 - 06/28</v>
      </c>
      <c r="O95" s="55" t="str">
        <f>[1]Tables!$AA$5</f>
        <v>07/28 - 06/29</v>
      </c>
      <c r="P95" s="55" t="str">
        <f>[1]Tables!$AA$6</f>
        <v>07/29 - 06/30</v>
      </c>
      <c r="Q95" s="55" t="str">
        <f>[1]Tables!$AA$7</f>
        <v>07/30 - 06/31</v>
      </c>
      <c r="R95" s="57" t="str">
        <f>[1]Tables!$AA$8</f>
        <v>07/31 - 06/32</v>
      </c>
      <c r="Y95" s="58"/>
      <c r="Z95" s="59" t="str">
        <f>[1]Tables!$AA$4</f>
        <v>07/27 - 06/28</v>
      </c>
      <c r="AA95" s="60" t="str">
        <f>[1]Tables!$AA$5</f>
        <v>07/28 - 06/29</v>
      </c>
      <c r="AB95" s="60" t="str">
        <f>[1]Tables!$AA$6</f>
        <v>07/29 - 06/30</v>
      </c>
      <c r="AC95" s="60" t="str">
        <f>[1]Tables!$AA$7</f>
        <v>07/30 - 06/31</v>
      </c>
      <c r="AD95" s="61" t="str">
        <f>[1]Tables!$AA$8</f>
        <v>07/31 - 06/32</v>
      </c>
      <c r="AE95" s="59" t="str">
        <f>[1]Tables!$AA$4</f>
        <v>07/27 - 06/28</v>
      </c>
      <c r="AF95" s="60" t="str">
        <f>[1]Tables!$AA$5</f>
        <v>07/28 - 06/29</v>
      </c>
      <c r="AG95" s="60" t="str">
        <f>[1]Tables!$AA$6</f>
        <v>07/29 - 06/30</v>
      </c>
      <c r="AH95" s="60" t="str">
        <f>[1]Tables!$AA$7</f>
        <v>07/30 - 06/31</v>
      </c>
      <c r="AI95" s="61" t="str">
        <f>[1]Tables!$AA$8</f>
        <v>07/31 - 06/32</v>
      </c>
      <c r="AP95" s="58"/>
      <c r="AQ95" s="62" t="str">
        <f>[1]Tables!$AA$4</f>
        <v>07/27 - 06/28</v>
      </c>
      <c r="AR95" s="63" t="str">
        <f>[1]Tables!$AA$5</f>
        <v>07/28 - 06/29</v>
      </c>
      <c r="AS95" s="63" t="str">
        <f>[1]Tables!$AA$6</f>
        <v>07/29 - 06/30</v>
      </c>
      <c r="AT95" s="63" t="str">
        <f>[1]Tables!$AA$7</f>
        <v>07/30 - 06/31</v>
      </c>
      <c r="AU95" s="64" t="str">
        <f>[1]Tables!$AA$8</f>
        <v>07/31 - 06/32</v>
      </c>
      <c r="AV95" s="62" t="str">
        <f>[1]Tables!$AA$4</f>
        <v>07/27 - 06/28</v>
      </c>
      <c r="AW95" s="63" t="str">
        <f>[1]Tables!$AA$5</f>
        <v>07/28 - 06/29</v>
      </c>
      <c r="AX95" s="63" t="str">
        <f>[1]Tables!$AA$6</f>
        <v>07/29 - 06/30</v>
      </c>
      <c r="AY95" s="63" t="str">
        <f>[1]Tables!$AA$7</f>
        <v>07/30 - 06/31</v>
      </c>
      <c r="AZ95" s="64" t="str">
        <f>[1]Tables!$AA$8</f>
        <v>07/31 - 06/32</v>
      </c>
      <c r="BA95" s="62" t="str">
        <f>[1]Tables!$AA$4</f>
        <v>07/27 - 06/28</v>
      </c>
      <c r="BB95" s="63" t="str">
        <f>[1]Tables!$AA$5</f>
        <v>07/28 - 06/29</v>
      </c>
      <c r="BC95" s="63" t="str">
        <f>[1]Tables!$AA$6</f>
        <v>07/29 - 06/30</v>
      </c>
      <c r="BD95" s="63" t="str">
        <f>[1]Tables!$AA$7</f>
        <v>07/30 - 06/31</v>
      </c>
      <c r="BE95" s="64" t="str">
        <f>[1]Tables!$AA$8</f>
        <v>07/31 - 06/32</v>
      </c>
      <c r="BG95" s="58"/>
      <c r="BH95" s="65" t="str">
        <f>[1]Tables!$AA$4</f>
        <v>07/27 - 06/28</v>
      </c>
      <c r="BI95" s="66" t="str">
        <f>[1]Tables!$AA$5</f>
        <v>07/28 - 06/29</v>
      </c>
      <c r="BJ95" s="66" t="str">
        <f>[1]Tables!$AA$6</f>
        <v>07/29 - 06/30</v>
      </c>
      <c r="BK95" s="66" t="str">
        <f>[1]Tables!$AA$7</f>
        <v>07/30 - 06/31</v>
      </c>
      <c r="BL95" s="67" t="str">
        <f>[1]Tables!$AA$8</f>
        <v>07/31 - 06/32</v>
      </c>
      <c r="BM95" s="65" t="str">
        <f>[1]Tables!$AA$4</f>
        <v>07/27 - 06/28</v>
      </c>
      <c r="BN95" s="66" t="str">
        <f>[1]Tables!$AA$5</f>
        <v>07/28 - 06/29</v>
      </c>
      <c r="BO95" s="66" t="str">
        <f>[1]Tables!$AA$6</f>
        <v>07/29 - 06/30</v>
      </c>
      <c r="BP95" s="66" t="str">
        <f>[1]Tables!$AA$7</f>
        <v>07/30 - 06/31</v>
      </c>
      <c r="BQ95" s="67" t="str">
        <f>[1]Tables!$AA$8</f>
        <v>07/31 - 06/32</v>
      </c>
      <c r="BX95" s="58"/>
      <c r="BY95" s="65" t="str">
        <f>[1]Tables!$AA$4</f>
        <v>07/27 - 06/28</v>
      </c>
      <c r="BZ95" s="66" t="str">
        <f>[1]Tables!$AA$5</f>
        <v>07/28 - 06/29</v>
      </c>
      <c r="CA95" s="66" t="str">
        <f>[1]Tables!$AA$6</f>
        <v>07/29 - 06/30</v>
      </c>
      <c r="CB95" s="66" t="str">
        <f>[1]Tables!$AA$7</f>
        <v>07/30 - 06/31</v>
      </c>
      <c r="CC95" s="67" t="str">
        <f>[1]Tables!$AA$8</f>
        <v>07/31 - 06/32</v>
      </c>
      <c r="CD95" s="65" t="str">
        <f>[1]Tables!$AA$4</f>
        <v>07/27 - 06/28</v>
      </c>
      <c r="CE95" s="66" t="str">
        <f>[1]Tables!$AA$5</f>
        <v>07/28 - 06/29</v>
      </c>
      <c r="CF95" s="66" t="str">
        <f>[1]Tables!$AA$6</f>
        <v>07/29 - 06/30</v>
      </c>
      <c r="CG95" s="66" t="str">
        <f>[1]Tables!$AA$7</f>
        <v>07/30 - 06/31</v>
      </c>
      <c r="CH95" s="67" t="str">
        <f>[1]Tables!$AA$8</f>
        <v>07/31 - 06/32</v>
      </c>
      <c r="DC95" s="65" t="str">
        <f>[1]Tables!$AA$4</f>
        <v>07/27 - 06/28</v>
      </c>
      <c r="DD95" s="66" t="str">
        <f>[1]Tables!$AA$5</f>
        <v>07/28 - 06/29</v>
      </c>
      <c r="DE95" s="66" t="str">
        <f>[1]Tables!$AA$6</f>
        <v>07/29 - 06/30</v>
      </c>
      <c r="DF95" s="66" t="str">
        <f>[1]Tables!$AA$7</f>
        <v>07/30 - 06/31</v>
      </c>
      <c r="DG95" s="67" t="str">
        <f>[1]Tables!$AA$8</f>
        <v>07/31 - 06/32</v>
      </c>
      <c r="DI95" s="65" t="str">
        <f>[1]Tables!$AA$4</f>
        <v>07/27 - 06/28</v>
      </c>
      <c r="DJ95" s="66" t="str">
        <f>[1]Tables!$AA$5</f>
        <v>07/28 - 06/29</v>
      </c>
      <c r="DK95" s="66" t="str">
        <f>[1]Tables!$AA$6</f>
        <v>07/29 - 06/30</v>
      </c>
      <c r="DL95" s="66" t="str">
        <f>[1]Tables!$AA$7</f>
        <v>07/30 - 06/31</v>
      </c>
      <c r="DM95" s="67" t="str">
        <f>[1]Tables!$AA$8</f>
        <v>07/31 - 06/32</v>
      </c>
    </row>
    <row r="96" spans="1:123" x14ac:dyDescent="0.35">
      <c r="B96" s="68" t="s">
        <v>11</v>
      </c>
      <c r="C96" s="69">
        <v>30</v>
      </c>
      <c r="D96" s="69" t="s">
        <v>12</v>
      </c>
      <c r="E96" s="70" t="s">
        <v>12</v>
      </c>
      <c r="F96" s="106"/>
      <c r="H96" s="71" t="s">
        <v>14</v>
      </c>
      <c r="I96" s="72" t="e" cm="1">
        <f t="array" aca="1" ref="I96" ca="1">SUMIFS(rng_out_awp_pre_yr1, rng_out_sel_G_ind, "B", rng_out_mail_ind, $B96, rng_out_ds, $C96, rng_out_sel_sp_ind, $D96)- I146</f>
        <v>#VALUE!</v>
      </c>
      <c r="J96" s="5" t="e" cm="1">
        <f t="array" aca="1" ref="J96" ca="1">SUMIFS(rng_out_awp_pre_yr2, rng_out_sel_G_ind, "B", rng_out_mail_ind, $B96, rng_out_ds, $C96, rng_out_sel_sp_ind, $D96)- J146</f>
        <v>#VALUE!</v>
      </c>
      <c r="K96" s="5" t="e" cm="1">
        <f t="array" aca="1" ref="K96" ca="1">SUMIFS(rng_out_awp_pre_yr3, rng_out_sel_G_ind, "B", rng_out_mail_ind, $B96, rng_out_ds, $C96, rng_out_sel_sp_ind, $D96)- K146</f>
        <v>#VALUE!</v>
      </c>
      <c r="L96" s="5" t="e" cm="1">
        <f t="array" aca="1" ref="L96" ca="1">SUMIFS(rng_out_awp_pre_yr4, rng_out_sel_G_ind, "B", rng_out_mail_ind, $B96, rng_out_ds, $C96, rng_out_sel_sp_ind, $D96)- L146</f>
        <v>#VALUE!</v>
      </c>
      <c r="M96" s="73" t="e" cm="1">
        <f t="array" aca="1" ref="M96" ca="1">SUMIFS(rng_out_awp_pre_yr5, rng_out_sel_G_ind, "B", rng_out_mail_ind, $B96, rng_out_ds, $C96, rng_out_sel_sp_ind, $D96)- M146</f>
        <v>#VALUE!</v>
      </c>
      <c r="N96" s="74">
        <f t="shared" ref="N96:R100" ca="1" si="83">IFERROR(I96/N58, 0)</f>
        <v>0</v>
      </c>
      <c r="O96" s="75">
        <f t="shared" ca="1" si="83"/>
        <v>0</v>
      </c>
      <c r="P96" s="75">
        <f t="shared" ca="1" si="83"/>
        <v>0</v>
      </c>
      <c r="Q96" s="75">
        <f t="shared" ca="1" si="83"/>
        <v>0</v>
      </c>
      <c r="R96" s="76">
        <f t="shared" ca="1" si="83"/>
        <v>0</v>
      </c>
      <c r="Y96" s="77" t="s">
        <v>14</v>
      </c>
      <c r="Z96" s="78">
        <f ca="1">IFERROR(I96/[1]Tables!$AT$4, 0)</f>
        <v>0</v>
      </c>
      <c r="AA96" s="79">
        <f ca="1">IFERROR(J96/[1]Tables!$AT$4, 0)</f>
        <v>0</v>
      </c>
      <c r="AB96" s="79">
        <f ca="1">IFERROR(K96/[1]Tables!$AT$4, 0)</f>
        <v>0</v>
      </c>
      <c r="AC96" s="79">
        <f ca="1">IFERROR(L96/[1]Tables!$AT$4, 0)</f>
        <v>0</v>
      </c>
      <c r="AD96" s="80">
        <f ca="1">IFERROR(M96/[1]Tables!$AT$4, 0)</f>
        <v>0</v>
      </c>
      <c r="AE96" s="81">
        <f t="shared" ref="AE96:AI100" ca="1" si="84">IFERROR(Z96/AE58, 0)</f>
        <v>0</v>
      </c>
      <c r="AF96" s="75">
        <f t="shared" ca="1" si="84"/>
        <v>0</v>
      </c>
      <c r="AG96" s="75">
        <f t="shared" ca="1" si="84"/>
        <v>0</v>
      </c>
      <c r="AH96" s="75">
        <f t="shared" ca="1" si="84"/>
        <v>0</v>
      </c>
      <c r="AI96" s="82">
        <f t="shared" ca="1" si="84"/>
        <v>0</v>
      </c>
      <c r="AP96" s="83" t="s">
        <v>14</v>
      </c>
      <c r="AQ96" s="356" t="e" cm="1">
        <f t="array" aca="1" ref="AQ96" ca="1">SUMIFS(rng_out_awp_post_yr1, rng_out_sel_G_ind, "B", rng_out_mail_ind, $B96, rng_out_ds, $C96, rng_out_sel_sp_ind, $D96)/[1]Tables!$AT$4 - AQ146</f>
        <v>#VALUE!</v>
      </c>
      <c r="AR96" s="5" t="e" cm="1">
        <f t="array" aca="1" ref="AR96" ca="1">SUMIFS(rng_out_awp_post_yr2, rng_out_sel_G_ind, "B", rng_out_mail_ind, $B96, rng_out_ds, $C96, rng_out_sel_sp_ind, $D96)/[1]Tables!$AT$4 - AR146</f>
        <v>#VALUE!</v>
      </c>
      <c r="AS96" s="5" t="e" cm="1">
        <f t="array" aca="1" ref="AS96" ca="1">SUMIFS(rng_out_awp_post_yr3, rng_out_sel_G_ind, "B", rng_out_mail_ind, $B96, rng_out_ds, $C96, rng_out_sel_sp_ind, $D96)/[1]Tables!$AT$4 - AS146</f>
        <v>#VALUE!</v>
      </c>
      <c r="AT96" s="5" t="e" cm="1">
        <f t="array" aca="1" ref="AT96" ca="1">SUMIFS(rng_out_awp_post_yr4, rng_out_sel_G_ind, "B", rng_out_mail_ind, $B96, rng_out_ds, $C96, rng_out_sel_sp_ind, $D96)/[1]Tables!$AT$4 - AT146</f>
        <v>#VALUE!</v>
      </c>
      <c r="AU96" s="85" t="e" cm="1">
        <f t="array" aca="1" ref="AU96" ca="1">SUMIFS(rng_out_awp_post_yr5, rng_out_sel_G_ind, "B", rng_out_mail_ind, $B96, rng_out_ds, $C96, rng_out_sel_sp_ind, $D96)/[1]Tables!$AT$4 - AU146</f>
        <v>#VALUE!</v>
      </c>
      <c r="AV96" s="86">
        <f t="shared" ref="AV96:AZ100" ca="1" si="85">IFERROR(AQ96/AV58, 0)</f>
        <v>0</v>
      </c>
      <c r="AW96" s="75">
        <f t="shared" ca="1" si="85"/>
        <v>0</v>
      </c>
      <c r="AX96" s="75">
        <f t="shared" ca="1" si="85"/>
        <v>0</v>
      </c>
      <c r="AY96" s="75">
        <f t="shared" ca="1" si="85"/>
        <v>0</v>
      </c>
      <c r="AZ96" s="87">
        <f t="shared" ca="1" si="85"/>
        <v>0</v>
      </c>
      <c r="BA96" s="84" cm="1">
        <f t="array" aca="1" ref="BA96" ca="1">IFERROR(IF($F$100="N", SUMIFS(rng_out_awp_post_yr1, rng_out_sel_G_ind, "B", rng_out_mail_ind, 'Rate Build-up'!$B96, rng_out_ds, 'Rate Build-up'!$C96, rng_out_sel_sp_ind, 'Rate Build-up'!$D96, rng_out_sel_excl_ind,$E96)/[1]Tables!$AT$4,
SUMIFS(rng_out_awp_post_yr1, rng_out_sel_G_ind, "B", rng_out_mail_ind, 'Rate Build-up'!$B96, rng_out_ds, 'Rate Build-up'!$C96, rng_out_sel_sp_ind, 'Rate Build-up'!$D96, rng_out_sel_excl_ind,$E96, rng_out_post_reb_ind_yr1, 1)/[1]Tables!$AT$4), 0)</f>
        <v>0</v>
      </c>
      <c r="BB96" s="79" cm="1">
        <f t="array" aca="1" ref="BB96" ca="1">IFERROR(IF($F$100="N", SUMIFS(rng_out_awp_post_yr2, rng_out_sel_G_ind, "B", rng_out_mail_ind, 'Rate Build-up'!$B96, rng_out_ds, 'Rate Build-up'!$C96, rng_out_sel_sp_ind, 'Rate Build-up'!$D96, rng_out_sel_excl_ind,$E96)/[1]Tables!$AT$4,
SUMIFS(rng_out_awp_post_yr2, rng_out_sel_G_ind, "B", rng_out_mail_ind, 'Rate Build-up'!$B96, rng_out_ds, 'Rate Build-up'!$C96, rng_out_sel_sp_ind, 'Rate Build-up'!$D96, rng_out_sel_excl_ind,$E96, rng_out_post_reb_ind_yr2, 1)/[1]Tables!$AT$4), 0)</f>
        <v>0</v>
      </c>
      <c r="BC96" s="79" cm="1">
        <f t="array" aca="1" ref="BC96" ca="1">IFERROR(IF($F$100="N", SUMIFS(rng_out_awp_post_yr3, rng_out_sel_G_ind, "B", rng_out_mail_ind, 'Rate Build-up'!$B96, rng_out_ds, 'Rate Build-up'!$C96, rng_out_sel_sp_ind, 'Rate Build-up'!$D96, rng_out_sel_excl_ind,$E96)/[1]Tables!$AT$4,
SUMIFS(rng_out_awp_post_yr3, rng_out_sel_G_ind, "B", rng_out_mail_ind, 'Rate Build-up'!$B96, rng_out_ds, 'Rate Build-up'!$C96, rng_out_sel_sp_ind, 'Rate Build-up'!$D96, rng_out_sel_excl_ind,$E96, rng_out_post_reb_ind_yr3, 1)/[1]Tables!$AT$4), 0)</f>
        <v>0</v>
      </c>
      <c r="BD96" s="79" cm="1">
        <f t="array" aca="1" ref="BD96" ca="1">IFERROR(IF($F$100="N", SUMIFS(rng_out_awp_post_yr4, rng_out_sel_G_ind, "B", rng_out_mail_ind, 'Rate Build-up'!$B96, rng_out_ds, 'Rate Build-up'!$C96, rng_out_sel_sp_ind, 'Rate Build-up'!$D96, rng_out_sel_excl_ind,$E96)/[1]Tables!$AT$4,
SUMIFS(rng_out_awp_post_yr4, rng_out_sel_G_ind, "B", rng_out_mail_ind, 'Rate Build-up'!$B96, rng_out_ds, 'Rate Build-up'!$C96, rng_out_sel_sp_ind, 'Rate Build-up'!$D96, rng_out_sel_excl_ind,$E96, rng_out_post_reb_ind_yr4, 1)/[1]Tables!$AT$4), 0)</f>
        <v>0</v>
      </c>
      <c r="BE96" s="189" cm="1">
        <f t="array" aca="1" ref="BE96" ca="1">IFERROR(IF($F$100="N", SUMIFS(rng_out_awp_post_yr5, rng_out_sel_G_ind, "B", rng_out_mail_ind, 'Rate Build-up'!$B96, rng_out_ds, 'Rate Build-up'!$C96, rng_out_sel_sp_ind, 'Rate Build-up'!$D96, rng_out_sel_excl_ind,$E96)/[1]Tables!$AT$4,
SUMIFS(rng_out_awp_post_yr5, rng_out_sel_G_ind, "B", rng_out_mail_ind, 'Rate Build-up'!$B96, rng_out_ds, 'Rate Build-up'!$C96, rng_out_sel_sp_ind, 'Rate Build-up'!$D96, rng_out_sel_excl_ind,$E96, rng_out_post_reb_ind_yr5, 1)/[1]Tables!$AT$4), 0)</f>
        <v>0</v>
      </c>
      <c r="BG96" s="88" t="s">
        <v>14</v>
      </c>
      <c r="BH96" s="97" t="e">
        <f t="shared" ref="BH96:BL99" ca="1" si="86">AQ96</f>
        <v>#VALUE!</v>
      </c>
      <c r="BI96" s="79" t="e">
        <f t="shared" ca="1" si="86"/>
        <v>#VALUE!</v>
      </c>
      <c r="BJ96" s="79" t="e">
        <f t="shared" ca="1" si="86"/>
        <v>#VALUE!</v>
      </c>
      <c r="BK96" s="79" t="e">
        <f t="shared" ca="1" si="86"/>
        <v>#VALUE!</v>
      </c>
      <c r="BL96" s="98" t="e">
        <f t="shared" ca="1" si="86"/>
        <v>#VALUE!</v>
      </c>
      <c r="BM96" s="92">
        <f t="shared" ref="BM96:BQ100" ca="1" si="87">IFERROR(BH96/BM58, 0)</f>
        <v>0</v>
      </c>
      <c r="BN96" s="75">
        <f t="shared" ca="1" si="87"/>
        <v>0</v>
      </c>
      <c r="BO96" s="75">
        <f t="shared" ca="1" si="87"/>
        <v>0</v>
      </c>
      <c r="BP96" s="75">
        <f t="shared" ca="1" si="87"/>
        <v>0</v>
      </c>
      <c r="BQ96" s="93">
        <f t="shared" ca="1" si="87"/>
        <v>0</v>
      </c>
      <c r="BX96" s="88" t="s">
        <v>14</v>
      </c>
      <c r="BY96" s="97" t="e">
        <f t="shared" ref="BY96:CC99" ca="1" si="88">CD96*CD58</f>
        <v>#VALUE!</v>
      </c>
      <c r="BZ96" s="79" t="e">
        <f t="shared" ca="1" si="88"/>
        <v>#VALUE!</v>
      </c>
      <c r="CA96" s="79" t="e">
        <f t="shared" ca="1" si="88"/>
        <v>#VALUE!</v>
      </c>
      <c r="CB96" s="79" t="e">
        <f t="shared" ca="1" si="88"/>
        <v>#VALUE!</v>
      </c>
      <c r="CC96" s="98" t="e">
        <f t="shared" ca="1" si="88"/>
        <v>#VALUE!</v>
      </c>
      <c r="CD96" s="92">
        <f t="shared" ref="CD96:CH99" ca="1" si="89">BM96</f>
        <v>0</v>
      </c>
      <c r="CE96" s="75">
        <f t="shared" ca="1" si="89"/>
        <v>0</v>
      </c>
      <c r="CF96" s="75">
        <f t="shared" ca="1" si="89"/>
        <v>0</v>
      </c>
      <c r="CG96" s="75">
        <f t="shared" ca="1" si="89"/>
        <v>0</v>
      </c>
      <c r="CH96" s="93">
        <f t="shared" ca="1" si="89"/>
        <v>0</v>
      </c>
      <c r="DC96" s="361">
        <v>0</v>
      </c>
      <c r="DD96" s="362">
        <v>0</v>
      </c>
      <c r="DE96" s="362">
        <v>0</v>
      </c>
      <c r="DF96" s="362">
        <v>0</v>
      </c>
      <c r="DG96" s="363">
        <v>0</v>
      </c>
      <c r="DI96" s="97" cm="1">
        <f t="array" aca="1" ref="DI96" ca="1">IFERROR(SUMPRODUCT((rng_out_mail_ind = $B96) * (rng_out_ds = $C96) * (rng_out_sel_sp_ind = $D96) * (rng_out_post_reb_ind_yr1 = 1) * (rng_out_Rwac_post_yr1*(1-rng_out_340B)) *
(1-INDEX([1]Tables!$EA$4:$EE$60,MATCH([1]Tables!$C$22&amp;$BX96,[1]Tables!$EA$4:$EA$60,0),[1]Tables!$EE$1))) * ((BM58+BM67+BM108+BM117)/(BM58+BM108)), 0)</f>
        <v>0</v>
      </c>
      <c r="DJ96" s="79" cm="1">
        <f t="array" aca="1" ref="DJ96" ca="1">IFERROR(SUMPRODUCT((rng_out_mail_ind = $B96) * (rng_out_ds = $C96) * (rng_out_sel_sp_ind = $D96) * (rng_out_post_reb_ind_yr2 = 1) * (rng_out_Rwac_post_yr2*(1-rng_out_340B)) *
(1-INDEX([1]Tables!$EA$4:$EE$60,MATCH([1]Tables!$C$22&amp;$BX96,[1]Tables!$EA$4:$EA$60,0),[1]Tables!$EE$1))) * ((BN58+BN67+BN108+BN117)/(BN58+BN108)), 0)</f>
        <v>0</v>
      </c>
      <c r="DK96" s="79" cm="1">
        <f t="array" aca="1" ref="DK96" ca="1">IFERROR(SUMPRODUCT((rng_out_mail_ind = $B96) * (rng_out_ds = $C96) * (rng_out_sel_sp_ind = $D96) * (rng_out_post_reb_ind_yr3 = 1) * (rng_out_Rwac_post_yr3*(1-rng_out_340B)) *
(1-INDEX([1]Tables!$EA$4:$EE$60,MATCH([1]Tables!$C$22&amp;$BX96,[1]Tables!$EA$4:$EA$60,0),[1]Tables!$EE$1))) * ((BO58+BO67+BO108+BO117)/(BO58+BO108)), 0)</f>
        <v>0</v>
      </c>
      <c r="DL96" s="79" cm="1">
        <f t="array" aca="1" ref="DL96" ca="1">IFERROR(SUMPRODUCT((rng_out_mail_ind = $B96) * (rng_out_ds = $C96) * (rng_out_sel_sp_ind = $D96) * (rng_out_post_reb_ind_yr4 = 1) * (rng_out_Rwac_post_yr4*(1-rng_out_340B)) *
(1-INDEX([1]Tables!$EA$4:$EE$60,MATCH([1]Tables!$C$22&amp;$BX96,[1]Tables!$EA$4:$EA$60,0),[1]Tables!$EE$1))) * ((BP58+BP67+BP108+BP117)/(BP58+BP108)), 0)</f>
        <v>0</v>
      </c>
      <c r="DM96" s="98" cm="1">
        <f t="array" aca="1" ref="DM96" ca="1">IFERROR(SUMPRODUCT((rng_out_mail_ind = $B96) * (rng_out_ds = $C96) * (rng_out_sel_sp_ind = $D96) * (rng_out_post_reb_ind_yr5 = 1) * (rng_out_Rwac_post_yr5*(1-rng_out_340B)) *
(1-INDEX([1]Tables!$EA$4:$EE$60,MATCH([1]Tables!$C$22&amp;$BX96,[1]Tables!$EA$4:$EA$60,0),[1]Tables!$EE$1))) * ((BQ58+BQ67+BQ108+BQ117)/(BQ58+BQ108)), 0)</f>
        <v>0</v>
      </c>
      <c r="DO96" s="5"/>
      <c r="DP96" s="5"/>
      <c r="DQ96" s="5"/>
      <c r="DR96" s="5"/>
      <c r="DS96" s="5"/>
    </row>
    <row r="97" spans="1:123" x14ac:dyDescent="0.35">
      <c r="B97" s="105" t="s">
        <v>11</v>
      </c>
      <c r="C97" s="106">
        <v>90</v>
      </c>
      <c r="D97" s="106" t="s">
        <v>12</v>
      </c>
      <c r="E97" s="107" t="s">
        <v>12</v>
      </c>
      <c r="F97" s="106"/>
      <c r="H97" s="108" t="s">
        <v>15</v>
      </c>
      <c r="I97" s="72" t="e" cm="1">
        <f t="array" aca="1" ref="I97" ca="1">SUMIFS(rng_out_awp_pre_yr1, rng_out_sel_G_ind, "B", rng_out_mail_ind, $B97, rng_out_ds, $C97, rng_out_sel_sp_ind, $D97)- I147</f>
        <v>#VALUE!</v>
      </c>
      <c r="J97" s="5" t="e" cm="1">
        <f t="array" aca="1" ref="J97" ca="1">SUMIFS(rng_out_awp_pre_yr2, rng_out_sel_G_ind, "B", rng_out_mail_ind, $B97, rng_out_ds, $C97, rng_out_sel_sp_ind, $D97)- J147</f>
        <v>#VALUE!</v>
      </c>
      <c r="K97" s="5" t="e" cm="1">
        <f t="array" aca="1" ref="K97" ca="1">SUMIFS(rng_out_awp_pre_yr3, rng_out_sel_G_ind, "B", rng_out_mail_ind, $B97, rng_out_ds, $C97, rng_out_sel_sp_ind, $D97)- K147</f>
        <v>#VALUE!</v>
      </c>
      <c r="L97" s="5" t="e" cm="1">
        <f t="array" aca="1" ref="L97" ca="1">SUMIFS(rng_out_awp_pre_yr4, rng_out_sel_G_ind, "B", rng_out_mail_ind, $B97, rng_out_ds, $C97, rng_out_sel_sp_ind, $D97)- L147</f>
        <v>#VALUE!</v>
      </c>
      <c r="M97" s="73" t="e" cm="1">
        <f t="array" aca="1" ref="M97" ca="1">SUMIFS(rng_out_awp_pre_yr5, rng_out_sel_G_ind, "B", rng_out_mail_ind, $B97, rng_out_ds, $C97, rng_out_sel_sp_ind, $D97)- M147</f>
        <v>#VALUE!</v>
      </c>
      <c r="N97" s="74">
        <f t="shared" ca="1" si="83"/>
        <v>0</v>
      </c>
      <c r="O97" s="75">
        <f t="shared" ca="1" si="83"/>
        <v>0</v>
      </c>
      <c r="P97" s="75">
        <f t="shared" ca="1" si="83"/>
        <v>0</v>
      </c>
      <c r="Q97" s="75">
        <f t="shared" ca="1" si="83"/>
        <v>0</v>
      </c>
      <c r="R97" s="76">
        <f t="shared" ca="1" si="83"/>
        <v>0</v>
      </c>
      <c r="Y97" s="109" t="s">
        <v>15</v>
      </c>
      <c r="Z97" s="78">
        <f ca="1">IFERROR(I97/[1]Tables!$AT$4, 0)</f>
        <v>0</v>
      </c>
      <c r="AA97" s="79">
        <f ca="1">IFERROR(J97/[1]Tables!$AT$4, 0)</f>
        <v>0</v>
      </c>
      <c r="AB97" s="79">
        <f ca="1">IFERROR(K97/[1]Tables!$AT$4, 0)</f>
        <v>0</v>
      </c>
      <c r="AC97" s="79">
        <f ca="1">IFERROR(L97/[1]Tables!$AT$4, 0)</f>
        <v>0</v>
      </c>
      <c r="AD97" s="80">
        <f ca="1">IFERROR(M97/[1]Tables!$AT$4, 0)</f>
        <v>0</v>
      </c>
      <c r="AE97" s="81">
        <f t="shared" ca="1" si="84"/>
        <v>0</v>
      </c>
      <c r="AF97" s="75">
        <f t="shared" ca="1" si="84"/>
        <v>0</v>
      </c>
      <c r="AG97" s="75">
        <f t="shared" ca="1" si="84"/>
        <v>0</v>
      </c>
      <c r="AH97" s="75">
        <f t="shared" ca="1" si="84"/>
        <v>0</v>
      </c>
      <c r="AI97" s="82">
        <f t="shared" ca="1" si="84"/>
        <v>0</v>
      </c>
      <c r="AP97" s="110" t="s">
        <v>15</v>
      </c>
      <c r="AQ97" s="356" t="e" cm="1">
        <f t="array" aca="1" ref="AQ97" ca="1">SUMIFS(rng_out_awp_post_yr1, rng_out_sel_G_ind, "B", rng_out_mail_ind, $B97, rng_out_ds, $C97, rng_out_sel_sp_ind, $D97)/[1]Tables!$AT$4 - AQ147</f>
        <v>#VALUE!</v>
      </c>
      <c r="AR97" s="5" t="e" cm="1">
        <f t="array" aca="1" ref="AR97" ca="1">SUMIFS(rng_out_awp_post_yr2, rng_out_sel_G_ind, "B", rng_out_mail_ind, $B97, rng_out_ds, $C97, rng_out_sel_sp_ind, $D97)/[1]Tables!$AT$4 - AR147</f>
        <v>#VALUE!</v>
      </c>
      <c r="AS97" s="5" t="e" cm="1">
        <f t="array" aca="1" ref="AS97" ca="1">SUMIFS(rng_out_awp_post_yr3, rng_out_sel_G_ind, "B", rng_out_mail_ind, $B97, rng_out_ds, $C97, rng_out_sel_sp_ind, $D97)/[1]Tables!$AT$4 - AS147</f>
        <v>#VALUE!</v>
      </c>
      <c r="AT97" s="5" t="e" cm="1">
        <f t="array" aca="1" ref="AT97" ca="1">SUMIFS(rng_out_awp_post_yr4, rng_out_sel_G_ind, "B", rng_out_mail_ind, $B97, rng_out_ds, $C97, rng_out_sel_sp_ind, $D97)/[1]Tables!$AT$4 - AT147</f>
        <v>#VALUE!</v>
      </c>
      <c r="AU97" s="85" t="e" cm="1">
        <f t="array" aca="1" ref="AU97" ca="1">SUMIFS(rng_out_awp_post_yr5, rng_out_sel_G_ind, "B", rng_out_mail_ind, $B97, rng_out_ds, $C97, rng_out_sel_sp_ind, $D97)/[1]Tables!$AT$4 - AU147</f>
        <v>#VALUE!</v>
      </c>
      <c r="AV97" s="86">
        <f t="shared" ca="1" si="85"/>
        <v>0</v>
      </c>
      <c r="AW97" s="75">
        <f t="shared" ca="1" si="85"/>
        <v>0</v>
      </c>
      <c r="AX97" s="75">
        <f t="shared" ca="1" si="85"/>
        <v>0</v>
      </c>
      <c r="AY97" s="75">
        <f t="shared" ca="1" si="85"/>
        <v>0</v>
      </c>
      <c r="AZ97" s="87">
        <f t="shared" ca="1" si="85"/>
        <v>0</v>
      </c>
      <c r="BA97" s="84" cm="1">
        <f t="array" aca="1" ref="BA97" ca="1">IFERROR(IF($F$100="N", SUMIFS(rng_out_awp_post_yr1, rng_out_sel_G_ind, "B", rng_out_mail_ind, 'Rate Build-up'!$B97, rng_out_ds, 'Rate Build-up'!$C97, rng_out_sel_sp_ind, 'Rate Build-up'!$D97, rng_out_sel_excl_ind,$E97)/[1]Tables!$AT$4,
SUMIFS(rng_out_awp_post_yr1, rng_out_sel_G_ind, "B", rng_out_mail_ind, 'Rate Build-up'!$B97, rng_out_ds, 'Rate Build-up'!$C97, rng_out_sel_sp_ind, 'Rate Build-up'!$D97, rng_out_sel_excl_ind,$E97, rng_out_post_reb_ind_yr1, 1)/[1]Tables!$AT$4), 0)</f>
        <v>0</v>
      </c>
      <c r="BB97" s="79" cm="1">
        <f t="array" aca="1" ref="BB97" ca="1">IFERROR(IF($F$100="N", SUMIFS(rng_out_awp_post_yr2, rng_out_sel_G_ind, "B", rng_out_mail_ind, 'Rate Build-up'!$B97, rng_out_ds, 'Rate Build-up'!$C97, rng_out_sel_sp_ind, 'Rate Build-up'!$D97, rng_out_sel_excl_ind,$E97)/[1]Tables!$AT$4,
SUMIFS(rng_out_awp_post_yr2, rng_out_sel_G_ind, "B", rng_out_mail_ind, 'Rate Build-up'!$B97, rng_out_ds, 'Rate Build-up'!$C97, rng_out_sel_sp_ind, 'Rate Build-up'!$D97, rng_out_sel_excl_ind,$E97, rng_out_post_reb_ind_yr2, 1)/[1]Tables!$AT$4), 0)</f>
        <v>0</v>
      </c>
      <c r="BC97" s="79" cm="1">
        <f t="array" aca="1" ref="BC97" ca="1">IFERROR(IF($F$100="N", SUMIFS(rng_out_awp_post_yr3, rng_out_sel_G_ind, "B", rng_out_mail_ind, 'Rate Build-up'!$B97, rng_out_ds, 'Rate Build-up'!$C97, rng_out_sel_sp_ind, 'Rate Build-up'!$D97, rng_out_sel_excl_ind,$E97)/[1]Tables!$AT$4,
SUMIFS(rng_out_awp_post_yr3, rng_out_sel_G_ind, "B", rng_out_mail_ind, 'Rate Build-up'!$B97, rng_out_ds, 'Rate Build-up'!$C97, rng_out_sel_sp_ind, 'Rate Build-up'!$D97, rng_out_sel_excl_ind,$E97, rng_out_post_reb_ind_yr3, 1)/[1]Tables!$AT$4), 0)</f>
        <v>0</v>
      </c>
      <c r="BD97" s="79" cm="1">
        <f t="array" aca="1" ref="BD97" ca="1">IFERROR(IF($F$100="N", SUMIFS(rng_out_awp_post_yr4, rng_out_sel_G_ind, "B", rng_out_mail_ind, 'Rate Build-up'!$B97, rng_out_ds, 'Rate Build-up'!$C97, rng_out_sel_sp_ind, 'Rate Build-up'!$D97, rng_out_sel_excl_ind,$E97)/[1]Tables!$AT$4,
SUMIFS(rng_out_awp_post_yr4, rng_out_sel_G_ind, "B", rng_out_mail_ind, 'Rate Build-up'!$B97, rng_out_ds, 'Rate Build-up'!$C97, rng_out_sel_sp_ind, 'Rate Build-up'!$D97, rng_out_sel_excl_ind,$E97, rng_out_post_reb_ind_yr4, 1)/[1]Tables!$AT$4), 0)</f>
        <v>0</v>
      </c>
      <c r="BE97" s="189" cm="1">
        <f t="array" aca="1" ref="BE97" ca="1">IFERROR(IF($F$100="N", SUMIFS(rng_out_awp_post_yr5, rng_out_sel_G_ind, "B", rng_out_mail_ind, 'Rate Build-up'!$B97, rng_out_ds, 'Rate Build-up'!$C97, rng_out_sel_sp_ind, 'Rate Build-up'!$D97, rng_out_sel_excl_ind,$E97)/[1]Tables!$AT$4,
SUMIFS(rng_out_awp_post_yr5, rng_out_sel_G_ind, "B", rng_out_mail_ind, 'Rate Build-up'!$B97, rng_out_ds, 'Rate Build-up'!$C97, rng_out_sel_sp_ind, 'Rate Build-up'!$D97, rng_out_sel_excl_ind,$E97, rng_out_post_reb_ind_yr5, 1)/[1]Tables!$AT$4), 0)</f>
        <v>0</v>
      </c>
      <c r="BG97" s="111" t="s">
        <v>15</v>
      </c>
      <c r="BH97" s="97" t="e">
        <f t="shared" ca="1" si="86"/>
        <v>#VALUE!</v>
      </c>
      <c r="BI97" s="79" t="e">
        <f t="shared" ca="1" si="86"/>
        <v>#VALUE!</v>
      </c>
      <c r="BJ97" s="79" t="e">
        <f t="shared" ca="1" si="86"/>
        <v>#VALUE!</v>
      </c>
      <c r="BK97" s="79" t="e">
        <f t="shared" ca="1" si="86"/>
        <v>#VALUE!</v>
      </c>
      <c r="BL97" s="98" t="e">
        <f t="shared" ca="1" si="86"/>
        <v>#VALUE!</v>
      </c>
      <c r="BM97" s="92">
        <f t="shared" ca="1" si="87"/>
        <v>0</v>
      </c>
      <c r="BN97" s="75">
        <f t="shared" ca="1" si="87"/>
        <v>0</v>
      </c>
      <c r="BO97" s="75">
        <f t="shared" ca="1" si="87"/>
        <v>0</v>
      </c>
      <c r="BP97" s="75">
        <f t="shared" ca="1" si="87"/>
        <v>0</v>
      </c>
      <c r="BQ97" s="93">
        <f t="shared" ca="1" si="87"/>
        <v>0</v>
      </c>
      <c r="BX97" s="111" t="s">
        <v>15</v>
      </c>
      <c r="BY97" s="97" t="e">
        <f t="shared" ca="1" si="88"/>
        <v>#VALUE!</v>
      </c>
      <c r="BZ97" s="79" t="e">
        <f t="shared" ca="1" si="88"/>
        <v>#VALUE!</v>
      </c>
      <c r="CA97" s="79" t="e">
        <f t="shared" ca="1" si="88"/>
        <v>#VALUE!</v>
      </c>
      <c r="CB97" s="79" t="e">
        <f t="shared" ca="1" si="88"/>
        <v>#VALUE!</v>
      </c>
      <c r="CC97" s="98" t="e">
        <f t="shared" ca="1" si="88"/>
        <v>#VALUE!</v>
      </c>
      <c r="CD97" s="92">
        <f t="shared" ca="1" si="89"/>
        <v>0</v>
      </c>
      <c r="CE97" s="75">
        <f t="shared" ca="1" si="89"/>
        <v>0</v>
      </c>
      <c r="CF97" s="75">
        <f t="shared" ca="1" si="89"/>
        <v>0</v>
      </c>
      <c r="CG97" s="75">
        <f t="shared" ca="1" si="89"/>
        <v>0</v>
      </c>
      <c r="CH97" s="93">
        <f t="shared" ca="1" si="89"/>
        <v>0</v>
      </c>
      <c r="DC97" s="97">
        <v>0</v>
      </c>
      <c r="DD97" s="79">
        <v>0</v>
      </c>
      <c r="DE97" s="79">
        <v>0</v>
      </c>
      <c r="DF97" s="79">
        <v>0</v>
      </c>
      <c r="DG97" s="98">
        <v>0</v>
      </c>
      <c r="DI97" s="97" cm="1">
        <f t="array" aca="1" ref="DI97" ca="1">IFERROR(SUMPRODUCT((rng_out_mail_ind = $B97) * (rng_out_ds = $C97) * (rng_out_sel_sp_ind = $D97) * (rng_out_post_reb_ind_yr1 = 1)  * (rng_out_Rwac_post_yr1*(1-rng_out_340B) *
(1-INDEX([1]Tables!$EA$4:$EE$60,MATCH([1]Tables!$C$22&amp;$BX97,[1]Tables!$EA$4:$EA$60,0),[1]Tables!$EE$1)))) * ((BM59+BM68+BM109+BM118)/(BM59+BM109)), 0)</f>
        <v>0</v>
      </c>
      <c r="DJ97" s="79" cm="1">
        <f t="array" aca="1" ref="DJ97" ca="1">IFERROR(SUMPRODUCT((rng_out_mail_ind = $B97) * (rng_out_ds = $C97) * (rng_out_sel_sp_ind = $D97) * (rng_out_post_reb_ind_yr2 = 1)  * (rng_out_Rwac_post_yr2*(1-rng_out_340B) *
(1-INDEX([1]Tables!$EA$4:$EE$60,MATCH([1]Tables!$C$22&amp;$BX97,[1]Tables!$EA$4:$EA$60,0),[1]Tables!$EE$1)))) * ((BN59+BN68+BN109+BN118)/(BN59+BN109)), 0)</f>
        <v>0</v>
      </c>
      <c r="DK97" s="79" cm="1">
        <f t="array" aca="1" ref="DK97" ca="1">IFERROR(SUMPRODUCT((rng_out_mail_ind = $B97) * (rng_out_ds = $C97) * (rng_out_sel_sp_ind = $D97) * (rng_out_post_reb_ind_yr3 = 1)  * (rng_out_Rwac_post_yr3*(1-rng_out_340B) *
(1-INDEX([1]Tables!$EA$4:$EE$60,MATCH([1]Tables!$C$22&amp;$BX97,[1]Tables!$EA$4:$EA$60,0),[1]Tables!$EE$1)))) * ((BO59+BO68+BO109+BO118)/(BO59+BO109)), 0)</f>
        <v>0</v>
      </c>
      <c r="DL97" s="79" cm="1">
        <f t="array" aca="1" ref="DL97" ca="1">IFERROR(SUMPRODUCT((rng_out_mail_ind = $B97) * (rng_out_ds = $C97) * (rng_out_sel_sp_ind = $D97) * (rng_out_post_reb_ind_yr4 = 1)  * (rng_out_Rwac_post_yr4*(1-rng_out_340B) *
(1-INDEX([1]Tables!$EA$4:$EE$60,MATCH([1]Tables!$C$22&amp;$BX97,[1]Tables!$EA$4:$EA$60,0),[1]Tables!$EE$1)))) * ((BP59+BP68+BP109+BP118)/(BP59+BP109)), 0)</f>
        <v>0</v>
      </c>
      <c r="DM97" s="98" cm="1">
        <f t="array" aca="1" ref="DM97" ca="1">IFERROR(SUMPRODUCT((rng_out_mail_ind = $B97) * (rng_out_ds = $C97) * (rng_out_sel_sp_ind = $D97) * (rng_out_post_reb_ind_yr5 = 1)  * (rng_out_Rwac_post_yr5*(1-rng_out_340B) *
(1-INDEX([1]Tables!$EA$4:$EE$60,MATCH([1]Tables!$C$22&amp;$BX97,[1]Tables!$EA$4:$EA$60,0),[1]Tables!$EE$1)))) * ((BQ59+BQ68+BQ109+BQ118)/(BQ59+BQ109)), 0)</f>
        <v>0</v>
      </c>
      <c r="DO97" s="5"/>
      <c r="DP97" s="5"/>
      <c r="DQ97" s="5"/>
      <c r="DR97" s="5"/>
      <c r="DS97" s="5"/>
    </row>
    <row r="98" spans="1:123" x14ac:dyDescent="0.35">
      <c r="B98" s="105" t="s">
        <v>16</v>
      </c>
      <c r="C98" s="106"/>
      <c r="D98" s="106" t="s">
        <v>12</v>
      </c>
      <c r="E98" s="107" t="s">
        <v>12</v>
      </c>
      <c r="F98" s="106"/>
      <c r="H98" s="118" t="s">
        <v>7</v>
      </c>
      <c r="I98" s="72" t="e" cm="1">
        <f t="array" aca="1" ref="I98" ca="1">SUMIFS(rng_out_awp_pre_yr1, rng_out_sel_G_ind, "B", rng_out_mail_ind, $B98, rng_out_sel_sp_ind, $D98)- I148</f>
        <v>#VALUE!</v>
      </c>
      <c r="J98" s="5" t="e" cm="1">
        <f t="array" aca="1" ref="J98" ca="1">SUMIFS(rng_out_awp_pre_yr2, rng_out_sel_G_ind, "B", rng_out_mail_ind, $B98, rng_out_sel_sp_ind, $D98)- J148</f>
        <v>#VALUE!</v>
      </c>
      <c r="K98" s="5" t="e" cm="1">
        <f t="array" aca="1" ref="K98" ca="1">SUMIFS(rng_out_awp_pre_yr3, rng_out_sel_G_ind, "B", rng_out_mail_ind, $B98, rng_out_sel_sp_ind, $D98)- K148</f>
        <v>#VALUE!</v>
      </c>
      <c r="L98" s="5" t="e" cm="1">
        <f t="array" aca="1" ref="L98" ca="1">SUMIFS(rng_out_awp_pre_yr4, rng_out_sel_G_ind, "B", rng_out_mail_ind, $B98, rng_out_sel_sp_ind, $D98)- L148</f>
        <v>#VALUE!</v>
      </c>
      <c r="M98" s="73" t="e" cm="1">
        <f t="array" aca="1" ref="M98" ca="1">SUMIFS(rng_out_awp_pre_yr5, rng_out_sel_G_ind, "B", rng_out_mail_ind, $B98, rng_out_sel_sp_ind, $D98)- M148</f>
        <v>#VALUE!</v>
      </c>
      <c r="N98" s="74">
        <f t="shared" ca="1" si="83"/>
        <v>0</v>
      </c>
      <c r="O98" s="75">
        <f t="shared" ca="1" si="83"/>
        <v>0</v>
      </c>
      <c r="P98" s="75">
        <f t="shared" ca="1" si="83"/>
        <v>0</v>
      </c>
      <c r="Q98" s="75">
        <f t="shared" ca="1" si="83"/>
        <v>0</v>
      </c>
      <c r="R98" s="76">
        <f t="shared" ca="1" si="83"/>
        <v>0</v>
      </c>
      <c r="Y98" s="119" t="s">
        <v>7</v>
      </c>
      <c r="Z98" s="78">
        <f ca="1">IFERROR(I98/[1]Tables!$AT$4, 0)</f>
        <v>0</v>
      </c>
      <c r="AA98" s="79">
        <f ca="1">IFERROR(J98/[1]Tables!$AT$4, 0)</f>
        <v>0</v>
      </c>
      <c r="AB98" s="79">
        <f ca="1">IFERROR(K98/[1]Tables!$AT$4, 0)</f>
        <v>0</v>
      </c>
      <c r="AC98" s="79">
        <f ca="1">IFERROR(L98/[1]Tables!$AT$4, 0)</f>
        <v>0</v>
      </c>
      <c r="AD98" s="80">
        <f ca="1">IFERROR(M98/[1]Tables!$AT$4, 0)</f>
        <v>0</v>
      </c>
      <c r="AE98" s="81">
        <f t="shared" ca="1" si="84"/>
        <v>0</v>
      </c>
      <c r="AF98" s="75">
        <f t="shared" ca="1" si="84"/>
        <v>0</v>
      </c>
      <c r="AG98" s="75">
        <f t="shared" ca="1" si="84"/>
        <v>0</v>
      </c>
      <c r="AH98" s="75">
        <f t="shared" ca="1" si="84"/>
        <v>0</v>
      </c>
      <c r="AI98" s="82">
        <f t="shared" ca="1" si="84"/>
        <v>0</v>
      </c>
      <c r="AP98" s="120" t="s">
        <v>7</v>
      </c>
      <c r="AQ98" s="356" t="e" cm="1">
        <f t="array" aca="1" ref="AQ98" ca="1">SUMIFS(rng_out_awp_post_yr1, rng_out_sel_G_ind, "B", rng_out_mail_ind, $B98, rng_out_sel_sp_ind, $D98)/[1]Tables!$AT$4 - AQ148</f>
        <v>#VALUE!</v>
      </c>
      <c r="AR98" s="5" t="e" cm="1">
        <f t="array" aca="1" ref="AR98" ca="1">SUMIFS(rng_out_awp_post_yr2, rng_out_sel_G_ind, "B", rng_out_mail_ind, $B98, rng_out_sel_sp_ind, $D98)/[1]Tables!$AT$4 - AR148</f>
        <v>#VALUE!</v>
      </c>
      <c r="AS98" s="5" t="e" cm="1">
        <f t="array" aca="1" ref="AS98" ca="1">SUMIFS(rng_out_awp_post_yr3, rng_out_sel_G_ind, "B", rng_out_mail_ind, $B98, rng_out_sel_sp_ind, $D98)/[1]Tables!$AT$4 - AS148</f>
        <v>#VALUE!</v>
      </c>
      <c r="AT98" s="5" t="e" cm="1">
        <f t="array" aca="1" ref="AT98" ca="1">SUMIFS(rng_out_awp_post_yr4, rng_out_sel_G_ind, "B", rng_out_mail_ind, $B98, rng_out_sel_sp_ind, $D98)/[1]Tables!$AT$4 - AT148</f>
        <v>#VALUE!</v>
      </c>
      <c r="AU98" s="85" t="e" cm="1">
        <f t="array" aca="1" ref="AU98" ca="1">SUMIFS(rng_out_awp_post_yr5, rng_out_sel_G_ind, "B", rng_out_mail_ind, $B98, rng_out_sel_sp_ind, $D98)/[1]Tables!$AT$4 - AU148</f>
        <v>#VALUE!</v>
      </c>
      <c r="AV98" s="86">
        <f t="shared" ca="1" si="85"/>
        <v>0</v>
      </c>
      <c r="AW98" s="75">
        <f t="shared" ca="1" si="85"/>
        <v>0</v>
      </c>
      <c r="AX98" s="75">
        <f t="shared" ca="1" si="85"/>
        <v>0</v>
      </c>
      <c r="AY98" s="75">
        <f t="shared" ca="1" si="85"/>
        <v>0</v>
      </c>
      <c r="AZ98" s="87">
        <f t="shared" ca="1" si="85"/>
        <v>0</v>
      </c>
      <c r="BA98" s="84" cm="1">
        <f t="array" aca="1" ref="BA98" ca="1">IFERROR(IF($F$100="N", SUMIFS(rng_out_awp_post_yr1, rng_out_sel_G_ind, "B", rng_out_mail_ind, 'Rate Build-up'!$B98, rng_out_sel_sp_ind, 'Rate Build-up'!$D98, rng_out_sel_excl_ind,$E98)/[1]Tables!$AT$4,
SUMIFS(rng_out_awp_post_yr1, rng_out_sel_G_ind, "B", rng_out_mail_ind, 'Rate Build-up'!$B98, rng_out_sel_sp_ind, 'Rate Build-up'!$D98, rng_out_sel_excl_ind,$E98, rng_out_post_reb_ind_yr1, 1)/[1]Tables!$AT$4), 0)</f>
        <v>0</v>
      </c>
      <c r="BB98" s="79" cm="1">
        <f t="array" aca="1" ref="BB98" ca="1">IFERROR(IF($F$100="N", SUMIFS(rng_out_awp_post_yr2, rng_out_sel_G_ind, "B", rng_out_mail_ind, 'Rate Build-up'!$B98, rng_out_sel_sp_ind, 'Rate Build-up'!$D98, rng_out_sel_excl_ind,$E98)/[1]Tables!$AT$4,
SUMIFS(rng_out_awp_post_yr2, rng_out_sel_G_ind, "B", rng_out_mail_ind, 'Rate Build-up'!$B98, rng_out_sel_sp_ind, 'Rate Build-up'!$D98, rng_out_sel_excl_ind,$E98, rng_out_post_reb_ind_yr2, 1)/[1]Tables!$AT$4), 0)</f>
        <v>0</v>
      </c>
      <c r="BC98" s="79" cm="1">
        <f t="array" aca="1" ref="BC98" ca="1">IFERROR(IF($F$100="N", SUMIFS(rng_out_awp_post_yr3, rng_out_sel_G_ind, "B", rng_out_mail_ind, 'Rate Build-up'!$B98, rng_out_sel_sp_ind, 'Rate Build-up'!$D98, rng_out_sel_excl_ind,$E98)/[1]Tables!$AT$4,
SUMIFS(rng_out_awp_post_yr3, rng_out_sel_G_ind, "B", rng_out_mail_ind, 'Rate Build-up'!$B98, rng_out_sel_sp_ind, 'Rate Build-up'!$D98, rng_out_sel_excl_ind,$E98, rng_out_post_reb_ind_yr3, 1)/[1]Tables!$AT$4), 0)</f>
        <v>0</v>
      </c>
      <c r="BD98" s="79" cm="1">
        <f t="array" aca="1" ref="BD98" ca="1">IFERROR(IF($F$100="N", SUMIFS(rng_out_awp_post_yr4, rng_out_sel_G_ind, "B", rng_out_mail_ind, 'Rate Build-up'!$B98, rng_out_sel_sp_ind, 'Rate Build-up'!$D98, rng_out_sel_excl_ind,$E98)/[1]Tables!$AT$4,
SUMIFS(rng_out_awp_post_yr4, rng_out_sel_G_ind, "B", rng_out_mail_ind, 'Rate Build-up'!$B98, rng_out_sel_sp_ind, 'Rate Build-up'!$D98, rng_out_sel_excl_ind,$E98, rng_out_post_reb_ind_yr4, 1)/[1]Tables!$AT$4), 0)</f>
        <v>0</v>
      </c>
      <c r="BE98" s="189" cm="1">
        <f t="array" aca="1" ref="BE98" ca="1">IFERROR(IF($F$100="N", SUMIFS(rng_out_awp_post_yr5, rng_out_sel_G_ind, "B", rng_out_mail_ind, 'Rate Build-up'!$B98, rng_out_sel_sp_ind, 'Rate Build-up'!$D98, rng_out_sel_excl_ind,$E98)/[1]Tables!$AT$4,
SUMIFS(rng_out_awp_post_yr5, rng_out_sel_G_ind, "B", rng_out_mail_ind, 'Rate Build-up'!$B98, rng_out_sel_sp_ind, 'Rate Build-up'!$D98, rng_out_sel_excl_ind,$E98, rng_out_post_reb_ind_yr5, 1)/[1]Tables!$AT$4), 0)</f>
        <v>0</v>
      </c>
      <c r="BG98" s="121" t="s">
        <v>7</v>
      </c>
      <c r="BH98" s="97" t="e">
        <f t="shared" ca="1" si="86"/>
        <v>#VALUE!</v>
      </c>
      <c r="BI98" s="79" t="e">
        <f t="shared" ca="1" si="86"/>
        <v>#VALUE!</v>
      </c>
      <c r="BJ98" s="79" t="e">
        <f t="shared" ca="1" si="86"/>
        <v>#VALUE!</v>
      </c>
      <c r="BK98" s="79" t="e">
        <f t="shared" ca="1" si="86"/>
        <v>#VALUE!</v>
      </c>
      <c r="BL98" s="98" t="e">
        <f t="shared" ca="1" si="86"/>
        <v>#VALUE!</v>
      </c>
      <c r="BM98" s="92">
        <f t="shared" ca="1" si="87"/>
        <v>0</v>
      </c>
      <c r="BN98" s="75">
        <f t="shared" ca="1" si="87"/>
        <v>0</v>
      </c>
      <c r="BO98" s="75">
        <f t="shared" ca="1" si="87"/>
        <v>0</v>
      </c>
      <c r="BP98" s="75">
        <f t="shared" ca="1" si="87"/>
        <v>0</v>
      </c>
      <c r="BQ98" s="93">
        <f t="shared" ca="1" si="87"/>
        <v>0</v>
      </c>
      <c r="BX98" s="121" t="s">
        <v>7</v>
      </c>
      <c r="BY98" s="97" t="e">
        <f t="shared" ca="1" si="88"/>
        <v>#VALUE!</v>
      </c>
      <c r="BZ98" s="79" t="e">
        <f t="shared" ca="1" si="88"/>
        <v>#VALUE!</v>
      </c>
      <c r="CA98" s="79" t="e">
        <f t="shared" ca="1" si="88"/>
        <v>#VALUE!</v>
      </c>
      <c r="CB98" s="79" t="e">
        <f t="shared" ca="1" si="88"/>
        <v>#VALUE!</v>
      </c>
      <c r="CC98" s="98" t="e">
        <f t="shared" ca="1" si="88"/>
        <v>#VALUE!</v>
      </c>
      <c r="CD98" s="92">
        <f t="shared" ca="1" si="89"/>
        <v>0</v>
      </c>
      <c r="CE98" s="75">
        <f t="shared" ca="1" si="89"/>
        <v>0</v>
      </c>
      <c r="CF98" s="75">
        <f t="shared" ca="1" si="89"/>
        <v>0</v>
      </c>
      <c r="CG98" s="75">
        <f t="shared" ca="1" si="89"/>
        <v>0</v>
      </c>
      <c r="CH98" s="93">
        <f t="shared" ca="1" si="89"/>
        <v>0</v>
      </c>
      <c r="DC98" s="97">
        <v>0</v>
      </c>
      <c r="DD98" s="79">
        <v>0</v>
      </c>
      <c r="DE98" s="79">
        <v>0</v>
      </c>
      <c r="DF98" s="79">
        <v>0</v>
      </c>
      <c r="DG98" s="98">
        <v>0</v>
      </c>
      <c r="DI98" s="97" cm="1">
        <f t="array" aca="1" ref="DI98" ca="1">IFERROR(SUMPRODUCT((rng_out_mail_ind = $B98) * (rng_out_sel_sp_ind = $D98) * (rng_out_post_reb_ind_yr1 = 1) * (rng_out_Rwac_post_yr1* (1-rng_out_340B) *
(1-INDEX([1]Tables!$EA$4:$EE$60,MATCH([1]Tables!$C$22&amp;$BX98,[1]Tables!$EA$4:$EA$60,0),[1]Tables!$EE$1)))) * ((BM60+BM69+BM110+BM119)/(BM60+BM110)), 0)</f>
        <v>0</v>
      </c>
      <c r="DJ98" s="79" cm="1">
        <f t="array" aca="1" ref="DJ98" ca="1">IFERROR(SUMPRODUCT((rng_out_mail_ind = $B98) * (rng_out_sel_sp_ind = $D98) * (rng_out_post_reb_ind_yr2 = 1) * (rng_out_Rwac_post_yr2* (1-rng_out_340B) *
(1-INDEX([1]Tables!$EA$4:$EE$60,MATCH([1]Tables!$C$22&amp;$BX98,[1]Tables!$EA$4:$EA$60,0),[1]Tables!$EE$1)))) * ((BN60+BN69+BN110+BN119)/(BN60+BN110)), 0)</f>
        <v>0</v>
      </c>
      <c r="DK98" s="79" cm="1">
        <f t="array" aca="1" ref="DK98" ca="1">IFERROR(SUMPRODUCT((rng_out_mail_ind = $B98) * (rng_out_sel_sp_ind = $D98) * (rng_out_post_reb_ind_yr3 = 1) * (rng_out_Rwac_post_yr3* (1-rng_out_340B) *
(1-INDEX([1]Tables!$EA$4:$EE$60,MATCH([1]Tables!$C$22&amp;$BX98,[1]Tables!$EA$4:$EA$60,0),[1]Tables!$EE$1)))) * ((BO60+BO69+BO110+BO119)/(BO60+BO110)), 0)</f>
        <v>0</v>
      </c>
      <c r="DL98" s="79" cm="1">
        <f t="array" aca="1" ref="DL98" ca="1">IFERROR(SUMPRODUCT((rng_out_mail_ind = $B98) * (rng_out_sel_sp_ind = $D98) * (rng_out_post_reb_ind_yr4 = 1) * (rng_out_Rwac_post_yr4* (1-rng_out_340B) *
(1-INDEX([1]Tables!$EA$4:$EE$60,MATCH([1]Tables!$C$22&amp;$BX98,[1]Tables!$EA$4:$EA$60,0),[1]Tables!$EE$1)))) * ((BP60+BP69+BP110+BP119)/(BP60+BP110)), 0)</f>
        <v>0</v>
      </c>
      <c r="DM98" s="98" cm="1">
        <f t="array" aca="1" ref="DM98" ca="1">IFERROR(SUMPRODUCT((rng_out_mail_ind = $B98) * (rng_out_sel_sp_ind = $D98) * (rng_out_post_reb_ind_yr5 = 1) * (rng_out_Rwac_post_yr5* (1-rng_out_340B) *
(1-INDEX([1]Tables!$EA$4:$EE$60,MATCH([1]Tables!$C$22&amp;$BX98,[1]Tables!$EA$4:$EA$60,0),[1]Tables!$EE$1)))) * ((BQ60+BQ69+BQ110+BQ119)/(BQ60+BQ110)), 0)</f>
        <v>0</v>
      </c>
      <c r="DO98" s="5"/>
      <c r="DP98" s="5"/>
      <c r="DQ98" s="5"/>
      <c r="DR98" s="5"/>
      <c r="DS98" s="5"/>
    </row>
    <row r="99" spans="1:123" ht="15" thickBot="1" x14ac:dyDescent="0.4">
      <c r="B99" s="122"/>
      <c r="C99" s="123"/>
      <c r="D99" s="123" t="s">
        <v>13</v>
      </c>
      <c r="E99" s="124" t="s">
        <v>12</v>
      </c>
      <c r="F99" s="106"/>
      <c r="H99" s="118" t="s">
        <v>17</v>
      </c>
      <c r="I99" s="72" t="e" cm="1">
        <f t="array" aca="1" ref="I99" ca="1">SUMIFS(rng_out_awp_pre_yr1, rng_out_sel_G_ind, "B", rng_out_sel_sp_ind, $D99)- I149</f>
        <v>#VALUE!</v>
      </c>
      <c r="J99" s="5" t="e" cm="1">
        <f t="array" aca="1" ref="J99" ca="1">SUMIFS(rng_out_awp_pre_yr2, rng_out_sel_G_ind, "B", rng_out_sel_sp_ind, $D99)- J149</f>
        <v>#VALUE!</v>
      </c>
      <c r="K99" s="5" t="e" cm="1">
        <f t="array" aca="1" ref="K99" ca="1">SUMIFS(rng_out_awp_pre_yr3, rng_out_sel_G_ind, "B", rng_out_sel_sp_ind, $D99)- K149</f>
        <v>#VALUE!</v>
      </c>
      <c r="L99" s="5" t="e" cm="1">
        <f t="array" aca="1" ref="L99" ca="1">SUMIFS(rng_out_awp_pre_yr4, rng_out_sel_G_ind, "B", rng_out_sel_sp_ind, $D99)- L149</f>
        <v>#VALUE!</v>
      </c>
      <c r="M99" s="125" t="e" cm="1">
        <f t="array" aca="1" ref="M99" ca="1">SUMIFS(rng_out_awp_pre_yr5, rng_out_sel_G_ind, "B", rng_out_sel_sp_ind, $D99)- M149</f>
        <v>#VALUE!</v>
      </c>
      <c r="N99" s="74">
        <f t="shared" ca="1" si="83"/>
        <v>0</v>
      </c>
      <c r="O99" s="75">
        <f t="shared" ca="1" si="83"/>
        <v>0</v>
      </c>
      <c r="P99" s="75">
        <f t="shared" ca="1" si="83"/>
        <v>0</v>
      </c>
      <c r="Q99" s="75">
        <f t="shared" ca="1" si="83"/>
        <v>0</v>
      </c>
      <c r="R99" s="126">
        <f t="shared" ca="1" si="83"/>
        <v>0</v>
      </c>
      <c r="Y99" s="119" t="s">
        <v>17</v>
      </c>
      <c r="Z99" s="127">
        <f ca="1">IFERROR(I99/[1]Tables!$AT$4, 0)</f>
        <v>0</v>
      </c>
      <c r="AA99" s="128">
        <f ca="1">IFERROR(J99/[1]Tables!$AT$4, 0)</f>
        <v>0</v>
      </c>
      <c r="AB99" s="128">
        <f ca="1">IFERROR(K99/[1]Tables!$AT$4, 0)</f>
        <v>0</v>
      </c>
      <c r="AC99" s="128">
        <f ca="1">IFERROR(L99/[1]Tables!$AT$4, 0)</f>
        <v>0</v>
      </c>
      <c r="AD99" s="129">
        <f ca="1">IFERROR(M99/[1]Tables!$AT$4, 0)</f>
        <v>0</v>
      </c>
      <c r="AE99" s="130">
        <f t="shared" ca="1" si="84"/>
        <v>0</v>
      </c>
      <c r="AF99" s="131">
        <f t="shared" ca="1" si="84"/>
        <v>0</v>
      </c>
      <c r="AG99" s="131">
        <f t="shared" ca="1" si="84"/>
        <v>0</v>
      </c>
      <c r="AH99" s="131">
        <f t="shared" ca="1" si="84"/>
        <v>0</v>
      </c>
      <c r="AI99" s="132">
        <f t="shared" ca="1" si="84"/>
        <v>0</v>
      </c>
      <c r="AP99" s="120" t="s">
        <v>17</v>
      </c>
      <c r="AQ99" s="167" t="e" cm="1">
        <f t="array" aca="1" ref="AQ99" ca="1">SUMIFS(rng_out_awp_post_yr1, rng_out_sel_G_ind, "B", rng_out_sel_sp_ind, $D99)/[1]Tables!$AT$4 - AQ149</f>
        <v>#VALUE!</v>
      </c>
      <c r="AR99" s="134" t="e" cm="1">
        <f t="array" aca="1" ref="AR99" ca="1">SUMIFS(rng_out_awp_post_yr2, rng_out_sel_G_ind, "B", rng_out_sel_sp_ind, $D99)/[1]Tables!$AT$4 - AR149</f>
        <v>#VALUE!</v>
      </c>
      <c r="AS99" s="134" t="e" cm="1">
        <f t="array" aca="1" ref="AS99" ca="1">SUMIFS(rng_out_awp_post_yr3, rng_out_sel_G_ind, "B", rng_out_sel_sp_ind, $D99)/[1]Tables!$AT$4 - AS149</f>
        <v>#VALUE!</v>
      </c>
      <c r="AT99" s="134" t="e" cm="1">
        <f t="array" aca="1" ref="AT99" ca="1">SUMIFS(rng_out_awp_post_yr4, rng_out_sel_G_ind, "B", rng_out_sel_sp_ind, $D99)/[1]Tables!$AT$4 - AT149</f>
        <v>#VALUE!</v>
      </c>
      <c r="AU99" s="135" t="e" cm="1">
        <f t="array" aca="1" ref="AU99" ca="1">SUMIFS(rng_out_awp_post_yr5, rng_out_sel_G_ind, "B", rng_out_sel_sp_ind, $D99)/[1]Tables!$AT$4 - AU149</f>
        <v>#VALUE!</v>
      </c>
      <c r="AV99" s="136">
        <f t="shared" ca="1" si="85"/>
        <v>0</v>
      </c>
      <c r="AW99" s="137">
        <f t="shared" ca="1" si="85"/>
        <v>0</v>
      </c>
      <c r="AX99" s="137">
        <f t="shared" ca="1" si="85"/>
        <v>0</v>
      </c>
      <c r="AY99" s="137">
        <f t="shared" ca="1" si="85"/>
        <v>0</v>
      </c>
      <c r="AZ99" s="138">
        <f t="shared" ca="1" si="85"/>
        <v>0</v>
      </c>
      <c r="BA99" s="133" cm="1">
        <f t="array" aca="1" ref="BA99" ca="1">IFERROR(IF($F$100="N", SUMIFS(rng_out_awp_post_yr1, rng_out_sel_G_ind, "B", rng_out_sel_sp_ind, 'Rate Build-up'!$D99, rng_out_sel_excl_ind,$E99)/[1]Tables!$AT$4,
SUMIFS(rng_out_awp_post_yr1, rng_out_sel_G_ind, "B", rng_out_sel_sp_ind, 'Rate Build-up'!$D99, rng_out_sel_excl_ind,$E99, rng_out_post_reb_ind_yr1, 1)/[1]Tables!$AT$4), 0)</f>
        <v>0</v>
      </c>
      <c r="BB99" s="191" cm="1">
        <f t="array" aca="1" ref="BB99" ca="1">IFERROR(IF($F$100="N", SUMIFS(rng_out_awp_post_yr2, rng_out_sel_G_ind, "B", rng_out_sel_sp_ind, 'Rate Build-up'!$D99, rng_out_sel_excl_ind,$E99)/[1]Tables!$AT$4,
SUMIFS(rng_out_awp_post_yr2, rng_out_sel_G_ind, "B", rng_out_sel_sp_ind, 'Rate Build-up'!$D99, rng_out_sel_excl_ind,$E99, rng_out_post_reb_ind_yr2, 1)/[1]Tables!$AT$4), 0)</f>
        <v>0</v>
      </c>
      <c r="BC99" s="191" cm="1">
        <f t="array" aca="1" ref="BC99" ca="1">IFERROR(IF($F$100="N", SUMIFS(rng_out_awp_post_yr3, rng_out_sel_G_ind, "B", rng_out_sel_sp_ind, 'Rate Build-up'!$D99, rng_out_sel_excl_ind,$E99)/[1]Tables!$AT$4,
SUMIFS(rng_out_awp_post_yr3, rng_out_sel_G_ind, "B", rng_out_sel_sp_ind, 'Rate Build-up'!$D99, rng_out_sel_excl_ind,$E99, rng_out_post_reb_ind_yr3, 1)/[1]Tables!$AT$4), 0)</f>
        <v>0</v>
      </c>
      <c r="BD99" s="191" cm="1">
        <f t="array" aca="1" ref="BD99" ca="1">IFERROR(IF($F$100="N", SUMIFS(rng_out_awp_post_yr4, rng_out_sel_G_ind, "B", rng_out_sel_sp_ind, 'Rate Build-up'!$D99, rng_out_sel_excl_ind,$E99)/[1]Tables!$AT$4,
SUMIFS(rng_out_awp_post_yr4, rng_out_sel_G_ind, "B", rng_out_sel_sp_ind, 'Rate Build-up'!$D99, rng_out_sel_excl_ind,$E99, rng_out_post_reb_ind_yr4, 1)/[1]Tables!$AT$4), 0)</f>
        <v>0</v>
      </c>
      <c r="BE99" s="192" cm="1">
        <f t="array" aca="1" ref="BE99" ca="1">IFERROR(IF($F$100="N", SUMIFS(rng_out_awp_post_yr5, rng_out_sel_G_ind, "B", rng_out_sel_sp_ind, 'Rate Build-up'!$D99, rng_out_sel_excl_ind,$E99)/[1]Tables!$AT$4,
SUMIFS(rng_out_awp_post_yr5, rng_out_sel_G_ind, "B", rng_out_sel_sp_ind, 'Rate Build-up'!$D99, rng_out_sel_excl_ind,$E99, rng_out_post_reb_ind_yr5, 1)/[1]Tables!$AT$4), 0)</f>
        <v>0</v>
      </c>
      <c r="BG99" s="121" t="s">
        <v>17</v>
      </c>
      <c r="BH99" s="145" t="e">
        <f t="shared" ca="1" si="86"/>
        <v>#VALUE!</v>
      </c>
      <c r="BI99" s="146" t="e">
        <f t="shared" ca="1" si="86"/>
        <v>#VALUE!</v>
      </c>
      <c r="BJ99" s="146" t="e">
        <f t="shared" ca="1" si="86"/>
        <v>#VALUE!</v>
      </c>
      <c r="BK99" s="146" t="e">
        <f t="shared" ca="1" si="86"/>
        <v>#VALUE!</v>
      </c>
      <c r="BL99" s="147" t="e">
        <f t="shared" ca="1" si="86"/>
        <v>#VALUE!</v>
      </c>
      <c r="BM99" s="142">
        <f t="shared" ca="1" si="87"/>
        <v>0</v>
      </c>
      <c r="BN99" s="143">
        <f t="shared" ca="1" si="87"/>
        <v>0</v>
      </c>
      <c r="BO99" s="143">
        <f t="shared" ca="1" si="87"/>
        <v>0</v>
      </c>
      <c r="BP99" s="143">
        <f t="shared" ca="1" si="87"/>
        <v>0</v>
      </c>
      <c r="BQ99" s="144">
        <f t="shared" ca="1" si="87"/>
        <v>0</v>
      </c>
      <c r="BX99" s="121" t="s">
        <v>17</v>
      </c>
      <c r="BY99" s="145" t="e">
        <f t="shared" ca="1" si="88"/>
        <v>#VALUE!</v>
      </c>
      <c r="BZ99" s="146" t="e">
        <f t="shared" ca="1" si="88"/>
        <v>#VALUE!</v>
      </c>
      <c r="CA99" s="146" t="e">
        <f t="shared" ca="1" si="88"/>
        <v>#VALUE!</v>
      </c>
      <c r="CB99" s="146" t="e">
        <f t="shared" ca="1" si="88"/>
        <v>#VALUE!</v>
      </c>
      <c r="CC99" s="147" t="e">
        <f t="shared" ca="1" si="88"/>
        <v>#VALUE!</v>
      </c>
      <c r="CD99" s="142">
        <f t="shared" ca="1" si="89"/>
        <v>0</v>
      </c>
      <c r="CE99" s="143">
        <f t="shared" ca="1" si="89"/>
        <v>0</v>
      </c>
      <c r="CF99" s="143">
        <f t="shared" ca="1" si="89"/>
        <v>0</v>
      </c>
      <c r="CG99" s="143">
        <f t="shared" ca="1" si="89"/>
        <v>0</v>
      </c>
      <c r="CH99" s="144">
        <f t="shared" ca="1" si="89"/>
        <v>0</v>
      </c>
      <c r="DC99" s="145">
        <v>0</v>
      </c>
      <c r="DD99" s="146">
        <v>0</v>
      </c>
      <c r="DE99" s="146">
        <v>0</v>
      </c>
      <c r="DF99" s="146">
        <v>0</v>
      </c>
      <c r="DG99" s="147">
        <v>0</v>
      </c>
      <c r="DI99" s="145" cm="1">
        <f t="array" aca="1" ref="DI99" ca="1">IFERROR(SUMPRODUCT((rng_out_sel_sp_ind = $D99) * (rng_out_post_reb_ind_yr1 = 1) * (rng_out_Rwac_post_yr1* (1-rng_out_340B) *
(1-INDEX([1]Tables!$EA$4:$EE$60,MATCH([1]Tables!$C$22&amp;$BX99,[1]Tables!$EA$4:$EA$60,0),[1]Tables!$EE$1)))) * ((BM61+BM70+BM111+BM120)/(BM61+BM111)), 0)</f>
        <v>0</v>
      </c>
      <c r="DJ99" s="146" cm="1">
        <f t="array" aca="1" ref="DJ99" ca="1">IFERROR(SUMPRODUCT((rng_out_sel_sp_ind = $D99) * (rng_out_post_reb_ind_yr2 = 1) * (rng_out_Rwac_post_yr2* (1-rng_out_340B) *
(1-INDEX([1]Tables!$EA$4:$EE$60,MATCH([1]Tables!$C$22&amp;$BX99,[1]Tables!$EA$4:$EA$60,0),[1]Tables!$EE$1)))) * ((BN61+BN70+BN111+BN120)/(BN61+BN111)), 0)</f>
        <v>0</v>
      </c>
      <c r="DK99" s="146" cm="1">
        <f t="array" aca="1" ref="DK99" ca="1">IFERROR(SUMPRODUCT((rng_out_sel_sp_ind = $D99) * (rng_out_post_reb_ind_yr3 = 1) * (rng_out_Rwac_post_yr3* (1-rng_out_340B) *
(1-INDEX([1]Tables!$EA$4:$EE$60,MATCH([1]Tables!$C$22&amp;$BX99,[1]Tables!$EA$4:$EA$60,0),[1]Tables!$EE$1)))) * ((BO61+BO70+BO111+BO120)/(BO61+BO111)), 0)</f>
        <v>0</v>
      </c>
      <c r="DL99" s="146" cm="1">
        <f t="array" aca="1" ref="DL99" ca="1">IFERROR(SUMPRODUCT((rng_out_sel_sp_ind = $D99) * (rng_out_post_reb_ind_yr4 = 1) * (rng_out_Rwac_post_yr4* (1-rng_out_340B) *
(1-INDEX([1]Tables!$EA$4:$EE$60,MATCH([1]Tables!$C$22&amp;$BX99,[1]Tables!$EA$4:$EA$60,0),[1]Tables!$EE$1)))) * ((BP61+BP70+BP111+BP120)/(BP61+BP111)), 0)</f>
        <v>0</v>
      </c>
      <c r="DM99" s="147" cm="1">
        <f t="array" aca="1" ref="DM99" ca="1">IFERROR(SUMPRODUCT((rng_out_sel_sp_ind = $D99) * (rng_out_post_reb_ind_yr5 = 1) * (rng_out_Rwac_post_yr5* (1-rng_out_340B) *
(1-INDEX([1]Tables!$EA$4:$EE$60,MATCH([1]Tables!$C$22&amp;$BX99,[1]Tables!$EA$4:$EA$60,0),[1]Tables!$EE$1)))) * ((BQ61+BQ70+BQ111+BQ120)/(BQ61+BQ111)), 0)</f>
        <v>0</v>
      </c>
      <c r="DO99" s="5"/>
      <c r="DP99" s="5"/>
      <c r="DQ99" s="5"/>
      <c r="DR99" s="5"/>
      <c r="DS99" s="5"/>
    </row>
    <row r="100" spans="1:123" ht="15" thickBot="1" x14ac:dyDescent="0.4">
      <c r="B100" s="106"/>
      <c r="C100" s="236"/>
      <c r="D100" s="236" t="s">
        <v>29</v>
      </c>
      <c r="E100" s="237" t="str">
        <f>IF(sel_excl_nonRebatable=1, "Y", "N")</f>
        <v>N</v>
      </c>
      <c r="F100" s="106" t="s">
        <v>13</v>
      </c>
      <c r="H100" s="154" t="s">
        <v>18</v>
      </c>
      <c r="I100" s="155" t="e">
        <f ca="1">SUM(I96:I99)</f>
        <v>#VALUE!</v>
      </c>
      <c r="J100" s="155" t="e">
        <f ca="1">SUM(J96:J99)</f>
        <v>#VALUE!</v>
      </c>
      <c r="K100" s="155" t="e">
        <f ca="1">SUM(K96:K99)</f>
        <v>#VALUE!</v>
      </c>
      <c r="L100" s="155" t="e">
        <f ca="1">SUM(L96:L99)</f>
        <v>#VALUE!</v>
      </c>
      <c r="M100" s="156" t="e">
        <f ca="1">SUM(M96:M99)</f>
        <v>#VALUE!</v>
      </c>
      <c r="N100" s="157">
        <f t="shared" ca="1" si="83"/>
        <v>0</v>
      </c>
      <c r="O100" s="157">
        <f t="shared" ca="1" si="83"/>
        <v>0</v>
      </c>
      <c r="P100" s="157">
        <f t="shared" ca="1" si="83"/>
        <v>0</v>
      </c>
      <c r="Q100" s="157">
        <f t="shared" ca="1" si="83"/>
        <v>0</v>
      </c>
      <c r="R100" s="158">
        <f t="shared" ca="1" si="83"/>
        <v>0</v>
      </c>
      <c r="Y100" s="159" t="s">
        <v>18</v>
      </c>
      <c r="Z100" s="160">
        <f ca="1">SUM(Z96:Z99)</f>
        <v>0</v>
      </c>
      <c r="AA100" s="161">
        <f ca="1">SUM(AA96:AA99)</f>
        <v>0</v>
      </c>
      <c r="AB100" s="161">
        <f ca="1">SUM(AB96:AB99)</f>
        <v>0</v>
      </c>
      <c r="AC100" s="161">
        <f ca="1">SUM(AC96:AC99)</f>
        <v>0</v>
      </c>
      <c r="AD100" s="162">
        <f ca="1">SUM(AD96:AD99)</f>
        <v>0</v>
      </c>
      <c r="AE100" s="163">
        <f t="shared" ca="1" si="84"/>
        <v>0</v>
      </c>
      <c r="AF100" s="164">
        <f t="shared" ca="1" si="84"/>
        <v>0</v>
      </c>
      <c r="AG100" s="164">
        <f t="shared" ca="1" si="84"/>
        <v>0</v>
      </c>
      <c r="AH100" s="164">
        <f t="shared" ca="1" si="84"/>
        <v>0</v>
      </c>
      <c r="AI100" s="165">
        <f t="shared" ca="1" si="84"/>
        <v>0</v>
      </c>
      <c r="AP100" s="166" t="s">
        <v>18</v>
      </c>
      <c r="AQ100" s="167" t="e">
        <f ca="1">SUM(AQ96:AQ99)</f>
        <v>#VALUE!</v>
      </c>
      <c r="AR100" s="134" t="e">
        <f ca="1">SUM(AR96:AR99)</f>
        <v>#VALUE!</v>
      </c>
      <c r="AS100" s="134" t="e">
        <f ca="1">SUM(AS96:AS99)</f>
        <v>#VALUE!</v>
      </c>
      <c r="AT100" s="134" t="e">
        <f ca="1">SUM(AT96:AT99)</f>
        <v>#VALUE!</v>
      </c>
      <c r="AU100" s="135" t="e">
        <f ca="1">SUM(AU96:AU99)</f>
        <v>#VALUE!</v>
      </c>
      <c r="AV100" s="168">
        <f t="shared" ca="1" si="85"/>
        <v>0</v>
      </c>
      <c r="AW100" s="169">
        <f t="shared" ca="1" si="85"/>
        <v>0</v>
      </c>
      <c r="AX100" s="169">
        <f t="shared" ca="1" si="85"/>
        <v>0</v>
      </c>
      <c r="AY100" s="169">
        <f t="shared" ca="1" si="85"/>
        <v>0</v>
      </c>
      <c r="AZ100" s="170">
        <f t="shared" ca="1" si="85"/>
        <v>0</v>
      </c>
      <c r="BA100" s="167">
        <f ca="1">SUM(BA96:BA99)</f>
        <v>0</v>
      </c>
      <c r="BB100" s="134">
        <f ca="1">SUM(BB96:BB99)</f>
        <v>0</v>
      </c>
      <c r="BC100" s="134">
        <f ca="1">SUM(BC96:BC99)</f>
        <v>0</v>
      </c>
      <c r="BD100" s="134">
        <f ca="1">SUM(BD96:BD99)</f>
        <v>0</v>
      </c>
      <c r="BE100" s="135">
        <f ca="1">SUM(BE96:BE99)</f>
        <v>0</v>
      </c>
      <c r="BG100" s="171" t="s">
        <v>18</v>
      </c>
      <c r="BH100" s="172" t="e">
        <f ca="1">SUM(BH96:BH99)</f>
        <v>#VALUE!</v>
      </c>
      <c r="BI100" s="173" t="e">
        <f ca="1">SUM(BI96:BI99)</f>
        <v>#VALUE!</v>
      </c>
      <c r="BJ100" s="173" t="e">
        <f ca="1">SUM(BJ96:BJ99)</f>
        <v>#VALUE!</v>
      </c>
      <c r="BK100" s="173" t="e">
        <f ca="1">SUM(BK96:BK99)</f>
        <v>#VALUE!</v>
      </c>
      <c r="BL100" s="174" t="e">
        <f ca="1">SUM(BL96:BL99)</f>
        <v>#VALUE!</v>
      </c>
      <c r="BM100" s="175">
        <f t="shared" ca="1" si="87"/>
        <v>0</v>
      </c>
      <c r="BN100" s="176">
        <f t="shared" ca="1" si="87"/>
        <v>0</v>
      </c>
      <c r="BO100" s="176">
        <f t="shared" ca="1" si="87"/>
        <v>0</v>
      </c>
      <c r="BP100" s="176">
        <f t="shared" ca="1" si="87"/>
        <v>0</v>
      </c>
      <c r="BQ100" s="177">
        <f t="shared" ca="1" si="87"/>
        <v>0</v>
      </c>
      <c r="BX100" s="171" t="s">
        <v>18</v>
      </c>
      <c r="BY100" s="172" t="e">
        <f ca="1">SUM(BY96:BY99)</f>
        <v>#VALUE!</v>
      </c>
      <c r="BZ100" s="173" t="e">
        <f ca="1">SUM(BZ96:BZ99)</f>
        <v>#VALUE!</v>
      </c>
      <c r="CA100" s="173" t="e">
        <f ca="1">SUM(CA96:CA99)</f>
        <v>#VALUE!</v>
      </c>
      <c r="CB100" s="173" t="e">
        <f ca="1">SUM(CB96:CB99)</f>
        <v>#VALUE!</v>
      </c>
      <c r="CC100" s="174" t="e">
        <f ca="1">SUM(CC96:CC99)</f>
        <v>#VALUE!</v>
      </c>
      <c r="CD100" s="175">
        <f ca="1">IFERROR(BY100/CD62, 0)</f>
        <v>0</v>
      </c>
      <c r="CE100" s="176">
        <f ca="1">IFERROR(BZ100/CE62, 0)</f>
        <v>0</v>
      </c>
      <c r="CF100" s="176">
        <f ca="1">IFERROR(CA100/CF62, 0)</f>
        <v>0</v>
      </c>
      <c r="CG100" s="176">
        <f ca="1">IFERROR(CB100/CG62, 0)</f>
        <v>0</v>
      </c>
      <c r="CH100" s="177">
        <f ca="1">IFERROR(CC100/CH62, 0)</f>
        <v>0</v>
      </c>
      <c r="CI100" s="5"/>
      <c r="CJ100" s="5"/>
      <c r="DC100" s="145">
        <f>SUM(DC96:DC99)</f>
        <v>0</v>
      </c>
      <c r="DD100" s="146">
        <f>SUM(DD96:DD99)</f>
        <v>0</v>
      </c>
      <c r="DE100" s="146">
        <f>SUM(DE96:DE99)</f>
        <v>0</v>
      </c>
      <c r="DF100" s="146">
        <f>SUM(DF96:DF99)</f>
        <v>0</v>
      </c>
      <c r="DG100" s="147">
        <f>SUM(DG96:DG99)</f>
        <v>0</v>
      </c>
      <c r="DI100" s="172">
        <f ca="1">SUM(DI96:DI99)</f>
        <v>0</v>
      </c>
      <c r="DJ100" s="173">
        <f ca="1">SUM(DJ96:DJ99)</f>
        <v>0</v>
      </c>
      <c r="DK100" s="173">
        <f ca="1">SUM(DK96:DK99)</f>
        <v>0</v>
      </c>
      <c r="DL100" s="173">
        <f ca="1">SUM(DL96:DL99)</f>
        <v>0</v>
      </c>
      <c r="DM100" s="174">
        <f ca="1">SUM(DM96:DM99)</f>
        <v>0</v>
      </c>
      <c r="DO100" s="5"/>
      <c r="DP100" s="5"/>
      <c r="DQ100" s="5"/>
      <c r="DR100" s="5"/>
      <c r="DS100" s="5"/>
    </row>
    <row r="101" spans="1:123" x14ac:dyDescent="0.35">
      <c r="S101" s="301"/>
      <c r="CJ101" s="364"/>
      <c r="DO101" s="4"/>
      <c r="DP101" s="4"/>
      <c r="DQ101" s="4"/>
      <c r="DR101" s="4"/>
      <c r="DS101" s="4"/>
    </row>
    <row r="103" spans="1:123" ht="2" customHeight="1" x14ac:dyDescent="0.35">
      <c r="A103" s="194"/>
      <c r="B103" s="194"/>
      <c r="C103" s="194"/>
      <c r="D103" s="194"/>
      <c r="E103" s="194"/>
      <c r="F103" s="194"/>
      <c r="G103" s="194"/>
      <c r="H103" s="194"/>
      <c r="I103" s="194"/>
      <c r="J103" s="194"/>
      <c r="K103" s="194"/>
      <c r="L103" s="194"/>
      <c r="M103" s="194"/>
      <c r="N103" s="194"/>
      <c r="O103" s="194"/>
      <c r="P103" s="194"/>
      <c r="Q103" s="194"/>
      <c r="R103" s="194"/>
      <c r="S103" s="194"/>
      <c r="T103" s="194"/>
      <c r="U103" s="194"/>
      <c r="V103" s="194"/>
      <c r="W103" s="194"/>
      <c r="X103" s="194"/>
      <c r="Y103" s="194"/>
      <c r="Z103" s="194"/>
      <c r="AA103" s="194"/>
      <c r="AB103" s="194"/>
      <c r="AC103" s="194"/>
      <c r="AD103" s="194"/>
      <c r="AE103" s="194"/>
      <c r="AF103" s="194"/>
      <c r="AG103" s="194"/>
      <c r="AH103" s="194"/>
      <c r="AI103" s="194"/>
      <c r="AJ103" s="194"/>
      <c r="AK103" s="194"/>
      <c r="AL103" s="194"/>
      <c r="AM103" s="194"/>
      <c r="AN103" s="194"/>
      <c r="AO103" s="194"/>
      <c r="AP103" s="194"/>
      <c r="AQ103" s="194"/>
      <c r="AR103" s="194"/>
      <c r="AS103" s="194"/>
      <c r="AT103" s="194"/>
      <c r="AU103" s="194"/>
      <c r="AV103" s="194"/>
      <c r="AW103" s="194"/>
      <c r="AX103" s="194"/>
      <c r="AY103" s="194"/>
      <c r="AZ103" s="194"/>
      <c r="BA103" s="194"/>
      <c r="BB103" s="194"/>
      <c r="BC103" s="194"/>
      <c r="BD103" s="194"/>
      <c r="BE103" s="194"/>
      <c r="BF103" s="194"/>
      <c r="BG103" s="194"/>
      <c r="BH103" s="194"/>
      <c r="BI103" s="194"/>
      <c r="BJ103" s="194"/>
      <c r="BK103" s="194"/>
      <c r="BL103" s="194"/>
      <c r="BM103" s="194"/>
      <c r="BN103" s="194"/>
      <c r="BO103" s="194"/>
      <c r="BP103" s="194"/>
      <c r="BQ103" s="194"/>
      <c r="BR103" s="194"/>
      <c r="BS103" s="194"/>
      <c r="BT103" s="194"/>
      <c r="BU103" s="194"/>
      <c r="BV103" s="194"/>
      <c r="BW103" s="194"/>
      <c r="BX103" s="194"/>
      <c r="BY103" s="194"/>
      <c r="BZ103" s="194"/>
      <c r="CA103" s="194"/>
      <c r="CB103" s="194"/>
      <c r="CC103" s="194"/>
      <c r="CD103" s="194"/>
      <c r="CE103" s="194"/>
      <c r="CF103" s="194"/>
      <c r="CG103" s="194"/>
      <c r="CH103" s="194"/>
      <c r="CI103" s="194"/>
      <c r="CJ103" s="194"/>
      <c r="CK103" s="194"/>
      <c r="CL103" s="194"/>
      <c r="CM103" s="194"/>
    </row>
    <row r="104" spans="1:123" ht="15" thickBot="1" x14ac:dyDescent="0.4">
      <c r="M104" s="195"/>
      <c r="N104" s="195"/>
      <c r="O104" s="195"/>
      <c r="Q104" s="195"/>
    </row>
    <row r="105" spans="1:123" ht="15" thickBot="1" x14ac:dyDescent="0.4">
      <c r="I105" s="21" t="s">
        <v>49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3"/>
      <c r="Z105" s="24" t="s">
        <v>49</v>
      </c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6"/>
      <c r="AQ105" s="27" t="s">
        <v>49</v>
      </c>
      <c r="AR105" s="28"/>
      <c r="AS105" s="28"/>
      <c r="AT105" s="28"/>
      <c r="AU105" s="29"/>
      <c r="AV105" s="28"/>
      <c r="AW105" s="28"/>
      <c r="AX105" s="28"/>
      <c r="AY105" s="28"/>
      <c r="AZ105" s="28"/>
      <c r="BA105" s="28"/>
      <c r="BB105" s="28"/>
      <c r="BC105" s="28"/>
      <c r="BD105" s="28"/>
      <c r="BE105" s="30"/>
      <c r="BH105" s="31" t="s">
        <v>49</v>
      </c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3"/>
      <c r="BY105" s="34" t="s">
        <v>49</v>
      </c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6"/>
      <c r="CO105" s="196" t="str">
        <f>"Base Yr "&amp;IF(input_Annual="Yes", "Annualized", "")</f>
        <v>Base Yr Annualized</v>
      </c>
      <c r="CP105" s="197"/>
      <c r="CQ105" s="197"/>
      <c r="CR105" s="198"/>
      <c r="CS105" s="198"/>
      <c r="CT105" s="198"/>
      <c r="CU105" s="198"/>
      <c r="CV105" s="198"/>
      <c r="CW105" s="198"/>
      <c r="DC105" s="34" t="s">
        <v>23</v>
      </c>
      <c r="DD105" s="35"/>
      <c r="DE105" s="35"/>
      <c r="DF105" s="35"/>
      <c r="DG105" s="36"/>
    </row>
    <row r="106" spans="1:123" ht="15" thickBot="1" x14ac:dyDescent="0.4">
      <c r="H106" s="37"/>
      <c r="I106" s="38" t="s">
        <v>25</v>
      </c>
      <c r="J106" s="39"/>
      <c r="K106" s="39"/>
      <c r="L106" s="39"/>
      <c r="M106" s="40"/>
      <c r="N106" s="38" t="s">
        <v>26</v>
      </c>
      <c r="O106" s="39"/>
      <c r="P106" s="39"/>
      <c r="Q106" s="39"/>
      <c r="R106" s="40"/>
      <c r="S106" s="38" t="s">
        <v>18</v>
      </c>
      <c r="T106" s="39"/>
      <c r="U106" s="39"/>
      <c r="V106" s="39"/>
      <c r="W106" s="40"/>
      <c r="Z106" s="41" t="s">
        <v>25</v>
      </c>
      <c r="AA106" s="42"/>
      <c r="AB106" s="42"/>
      <c r="AC106" s="42"/>
      <c r="AD106" s="43"/>
      <c r="AE106" s="41" t="s">
        <v>26</v>
      </c>
      <c r="AF106" s="42"/>
      <c r="AG106" s="42"/>
      <c r="AH106" s="42"/>
      <c r="AI106" s="43"/>
      <c r="AJ106" s="41" t="s">
        <v>18</v>
      </c>
      <c r="AK106" s="42"/>
      <c r="AL106" s="42"/>
      <c r="AM106" s="42"/>
      <c r="AN106" s="43"/>
      <c r="AQ106" s="44" t="s">
        <v>25</v>
      </c>
      <c r="AR106" s="45"/>
      <c r="AS106" s="45"/>
      <c r="AT106" s="45"/>
      <c r="AU106" s="46"/>
      <c r="AV106" s="44" t="s">
        <v>26</v>
      </c>
      <c r="AW106" s="45"/>
      <c r="AX106" s="45"/>
      <c r="AY106" s="45"/>
      <c r="AZ106" s="46"/>
      <c r="BA106" s="45" t="s">
        <v>18</v>
      </c>
      <c r="BB106" s="45"/>
      <c r="BC106" s="45"/>
      <c r="BD106" s="45"/>
      <c r="BE106" s="46"/>
      <c r="BH106" s="47" t="s">
        <v>25</v>
      </c>
      <c r="BI106" s="48"/>
      <c r="BJ106" s="48"/>
      <c r="BK106" s="48"/>
      <c r="BL106" s="49"/>
      <c r="BM106" s="47" t="s">
        <v>26</v>
      </c>
      <c r="BN106" s="48"/>
      <c r="BO106" s="48"/>
      <c r="BP106" s="48"/>
      <c r="BQ106" s="49"/>
      <c r="BR106" s="50" t="s">
        <v>18</v>
      </c>
      <c r="BS106" s="50"/>
      <c r="BT106" s="50"/>
      <c r="BU106" s="50"/>
      <c r="BV106" s="51"/>
      <c r="BY106" s="47" t="s">
        <v>25</v>
      </c>
      <c r="BZ106" s="48"/>
      <c r="CA106" s="48"/>
      <c r="CB106" s="48"/>
      <c r="CC106" s="49"/>
      <c r="CD106" s="47" t="s">
        <v>26</v>
      </c>
      <c r="CE106" s="48"/>
      <c r="CF106" s="48"/>
      <c r="CG106" s="48"/>
      <c r="CH106" s="49"/>
      <c r="CI106" s="50" t="s">
        <v>18</v>
      </c>
      <c r="CJ106" s="50"/>
      <c r="CK106" s="50"/>
      <c r="CL106" s="50"/>
      <c r="CM106" s="51"/>
      <c r="CO106" s="199" t="s">
        <v>23</v>
      </c>
      <c r="CP106" s="200"/>
      <c r="CQ106" s="201"/>
      <c r="CR106" s="199" t="s">
        <v>27</v>
      </c>
      <c r="CS106" s="200"/>
      <c r="CT106" s="201"/>
      <c r="CU106" s="200" t="s">
        <v>8</v>
      </c>
      <c r="CV106" s="200"/>
      <c r="CW106" s="201"/>
      <c r="DC106" s="52" t="s">
        <v>5</v>
      </c>
      <c r="DD106" s="50"/>
      <c r="DE106" s="50"/>
      <c r="DF106" s="50"/>
      <c r="DG106" s="51"/>
    </row>
    <row r="107" spans="1:123" ht="15" thickBot="1" x14ac:dyDescent="0.4">
      <c r="H107" s="55"/>
      <c r="I107" s="56" t="str">
        <f>[1]Tables!$AA$4</f>
        <v>07/27 - 06/28</v>
      </c>
      <c r="J107" s="55" t="str">
        <f>[1]Tables!$AA$5</f>
        <v>07/28 - 06/29</v>
      </c>
      <c r="K107" s="55" t="str">
        <f>[1]Tables!$AA$6</f>
        <v>07/29 - 06/30</v>
      </c>
      <c r="L107" s="55" t="str">
        <f>[1]Tables!$AA$7</f>
        <v>07/30 - 06/31</v>
      </c>
      <c r="M107" s="57" t="str">
        <f>[1]Tables!$AA$8</f>
        <v>07/31 - 06/32</v>
      </c>
      <c r="N107" s="56" t="str">
        <f>[1]Tables!$AA$4</f>
        <v>07/27 - 06/28</v>
      </c>
      <c r="O107" s="55" t="str">
        <f>[1]Tables!$AA$5</f>
        <v>07/28 - 06/29</v>
      </c>
      <c r="P107" s="55" t="str">
        <f>[1]Tables!$AA$6</f>
        <v>07/29 - 06/30</v>
      </c>
      <c r="Q107" s="55" t="str">
        <f>[1]Tables!$AA$7</f>
        <v>07/30 - 06/31</v>
      </c>
      <c r="R107" s="57" t="str">
        <f>[1]Tables!$AA$8</f>
        <v>07/31 - 06/32</v>
      </c>
      <c r="S107" s="56" t="str">
        <f>[1]Tables!$AA$4</f>
        <v>07/27 - 06/28</v>
      </c>
      <c r="T107" s="55" t="str">
        <f>[1]Tables!$AA$5</f>
        <v>07/28 - 06/29</v>
      </c>
      <c r="U107" s="55" t="str">
        <f>[1]Tables!$AA$6</f>
        <v>07/29 - 06/30</v>
      </c>
      <c r="V107" s="55" t="str">
        <f>[1]Tables!$AA$7</f>
        <v>07/30 - 06/31</v>
      </c>
      <c r="W107" s="57" t="str">
        <f>[1]Tables!$AA$8</f>
        <v>07/31 - 06/32</v>
      </c>
      <c r="Y107" s="58"/>
      <c r="Z107" s="59" t="str">
        <f>[1]Tables!$AA$4</f>
        <v>07/27 - 06/28</v>
      </c>
      <c r="AA107" s="60" t="str">
        <f>[1]Tables!$AA$5</f>
        <v>07/28 - 06/29</v>
      </c>
      <c r="AB107" s="60" t="str">
        <f>[1]Tables!$AA$6</f>
        <v>07/29 - 06/30</v>
      </c>
      <c r="AC107" s="60" t="str">
        <f>[1]Tables!$AA$7</f>
        <v>07/30 - 06/31</v>
      </c>
      <c r="AD107" s="61" t="str">
        <f>[1]Tables!$AA$8</f>
        <v>07/31 - 06/32</v>
      </c>
      <c r="AE107" s="59" t="str">
        <f>[1]Tables!$AA$4</f>
        <v>07/27 - 06/28</v>
      </c>
      <c r="AF107" s="60" t="str">
        <f>[1]Tables!$AA$5</f>
        <v>07/28 - 06/29</v>
      </c>
      <c r="AG107" s="60" t="str">
        <f>[1]Tables!$AA$6</f>
        <v>07/29 - 06/30</v>
      </c>
      <c r="AH107" s="60" t="str">
        <f>[1]Tables!$AA$7</f>
        <v>07/30 - 06/31</v>
      </c>
      <c r="AI107" s="61" t="str">
        <f>[1]Tables!$AA$8</f>
        <v>07/31 - 06/32</v>
      </c>
      <c r="AJ107" s="59" t="str">
        <f>[1]Tables!$AA$4</f>
        <v>07/27 - 06/28</v>
      </c>
      <c r="AK107" s="60" t="str">
        <f>[1]Tables!$AA$5</f>
        <v>07/28 - 06/29</v>
      </c>
      <c r="AL107" s="60" t="str">
        <f>[1]Tables!$AA$6</f>
        <v>07/29 - 06/30</v>
      </c>
      <c r="AM107" s="60" t="str">
        <f>[1]Tables!$AA$7</f>
        <v>07/30 - 06/31</v>
      </c>
      <c r="AN107" s="61" t="str">
        <f>[1]Tables!$AA$8</f>
        <v>07/31 - 06/32</v>
      </c>
      <c r="AP107" s="58"/>
      <c r="AQ107" s="62" t="str">
        <f>[1]Tables!$AA$4</f>
        <v>07/27 - 06/28</v>
      </c>
      <c r="AR107" s="63" t="str">
        <f>[1]Tables!$AA$5</f>
        <v>07/28 - 06/29</v>
      </c>
      <c r="AS107" s="63" t="str">
        <f>[1]Tables!$AA$6</f>
        <v>07/29 - 06/30</v>
      </c>
      <c r="AT107" s="63" t="str">
        <f>[1]Tables!$AA$7</f>
        <v>07/30 - 06/31</v>
      </c>
      <c r="AU107" s="64" t="str">
        <f>[1]Tables!$AA$8</f>
        <v>07/31 - 06/32</v>
      </c>
      <c r="AV107" s="62" t="str">
        <f>[1]Tables!$AA$4</f>
        <v>07/27 - 06/28</v>
      </c>
      <c r="AW107" s="63" t="str">
        <f>[1]Tables!$AA$5</f>
        <v>07/28 - 06/29</v>
      </c>
      <c r="AX107" s="63" t="str">
        <f>[1]Tables!$AA$6</f>
        <v>07/29 - 06/30</v>
      </c>
      <c r="AY107" s="63" t="str">
        <f>[1]Tables!$AA$7</f>
        <v>07/30 - 06/31</v>
      </c>
      <c r="AZ107" s="64" t="str">
        <f>[1]Tables!$AA$8</f>
        <v>07/31 - 06/32</v>
      </c>
      <c r="BA107" s="63" t="str">
        <f>[1]Tables!$AA$4</f>
        <v>07/27 - 06/28</v>
      </c>
      <c r="BB107" s="63" t="str">
        <f>[1]Tables!$AA$5</f>
        <v>07/28 - 06/29</v>
      </c>
      <c r="BC107" s="63" t="str">
        <f>[1]Tables!$AA$6</f>
        <v>07/29 - 06/30</v>
      </c>
      <c r="BD107" s="63" t="str">
        <f>[1]Tables!$AA$7</f>
        <v>07/30 - 06/31</v>
      </c>
      <c r="BE107" s="64" t="str">
        <f>[1]Tables!$AA$8</f>
        <v>07/31 - 06/32</v>
      </c>
      <c r="BG107" s="58"/>
      <c r="BH107" s="65" t="str">
        <f>[1]Tables!$AA$4</f>
        <v>07/27 - 06/28</v>
      </c>
      <c r="BI107" s="66" t="str">
        <f>[1]Tables!$AA$5</f>
        <v>07/28 - 06/29</v>
      </c>
      <c r="BJ107" s="66" t="str">
        <f>[1]Tables!$AA$6</f>
        <v>07/29 - 06/30</v>
      </c>
      <c r="BK107" s="66" t="str">
        <f>[1]Tables!$AA$7</f>
        <v>07/30 - 06/31</v>
      </c>
      <c r="BL107" s="67" t="str">
        <f>[1]Tables!$AA$8</f>
        <v>07/31 - 06/32</v>
      </c>
      <c r="BM107" s="65" t="str">
        <f>[1]Tables!$AA$4</f>
        <v>07/27 - 06/28</v>
      </c>
      <c r="BN107" s="66" t="str">
        <f>[1]Tables!$AA$5</f>
        <v>07/28 - 06/29</v>
      </c>
      <c r="BO107" s="66" t="str">
        <f>[1]Tables!$AA$6</f>
        <v>07/29 - 06/30</v>
      </c>
      <c r="BP107" s="66" t="str">
        <f>[1]Tables!$AA$7</f>
        <v>07/30 - 06/31</v>
      </c>
      <c r="BQ107" s="67" t="str">
        <f>[1]Tables!$AA$8</f>
        <v>07/31 - 06/32</v>
      </c>
      <c r="BR107" s="66" t="str">
        <f>[1]Tables!$AA$4</f>
        <v>07/27 - 06/28</v>
      </c>
      <c r="BS107" s="66" t="str">
        <f>[1]Tables!$AA$5</f>
        <v>07/28 - 06/29</v>
      </c>
      <c r="BT107" s="66" t="str">
        <f>[1]Tables!$AA$6</f>
        <v>07/29 - 06/30</v>
      </c>
      <c r="BU107" s="66" t="str">
        <f>[1]Tables!$AA$7</f>
        <v>07/30 - 06/31</v>
      </c>
      <c r="BV107" s="67" t="str">
        <f>[1]Tables!$AA$8</f>
        <v>07/31 - 06/32</v>
      </c>
      <c r="BX107" s="58"/>
      <c r="BY107" s="65" t="str">
        <f>[1]Tables!$AA$4</f>
        <v>07/27 - 06/28</v>
      </c>
      <c r="BZ107" s="66" t="str">
        <f>[1]Tables!$AA$5</f>
        <v>07/28 - 06/29</v>
      </c>
      <c r="CA107" s="66" t="str">
        <f>[1]Tables!$AA$6</f>
        <v>07/29 - 06/30</v>
      </c>
      <c r="CB107" s="66" t="str">
        <f>[1]Tables!$AA$7</f>
        <v>07/30 - 06/31</v>
      </c>
      <c r="CC107" s="67" t="str">
        <f>[1]Tables!$AA$8</f>
        <v>07/31 - 06/32</v>
      </c>
      <c r="CD107" s="65" t="str">
        <f>[1]Tables!$AA$4</f>
        <v>07/27 - 06/28</v>
      </c>
      <c r="CE107" s="66" t="str">
        <f>[1]Tables!$AA$5</f>
        <v>07/28 - 06/29</v>
      </c>
      <c r="CF107" s="66" t="str">
        <f>[1]Tables!$AA$6</f>
        <v>07/29 - 06/30</v>
      </c>
      <c r="CG107" s="66" t="str">
        <f>[1]Tables!$AA$7</f>
        <v>07/30 - 06/31</v>
      </c>
      <c r="CH107" s="67" t="str">
        <f>[1]Tables!$AA$8</f>
        <v>07/31 - 06/32</v>
      </c>
      <c r="CI107" s="66" t="str">
        <f>[1]Tables!$AA$4</f>
        <v>07/27 - 06/28</v>
      </c>
      <c r="CJ107" s="66" t="str">
        <f>[1]Tables!$AA$5</f>
        <v>07/28 - 06/29</v>
      </c>
      <c r="CK107" s="66" t="str">
        <f>[1]Tables!$AA$6</f>
        <v>07/29 - 06/30</v>
      </c>
      <c r="CL107" s="66" t="str">
        <f>[1]Tables!$AA$7</f>
        <v>07/30 - 06/31</v>
      </c>
      <c r="CM107" s="67" t="str">
        <f>[1]Tables!$AA$8</f>
        <v>07/31 - 06/32</v>
      </c>
      <c r="CO107" s="65" t="s">
        <v>25</v>
      </c>
      <c r="CP107" s="66" t="s">
        <v>26</v>
      </c>
      <c r="CQ107" s="202" t="s">
        <v>18</v>
      </c>
      <c r="CR107" s="66" t="s">
        <v>25</v>
      </c>
      <c r="CS107" s="66" t="s">
        <v>26</v>
      </c>
      <c r="CT107" s="202" t="s">
        <v>18</v>
      </c>
      <c r="CU107" s="65" t="s">
        <v>25</v>
      </c>
      <c r="CV107" s="67" t="s">
        <v>26</v>
      </c>
      <c r="CW107" s="67" t="s">
        <v>18</v>
      </c>
      <c r="DC107" s="65" t="str">
        <f>[1]Tables!$AA$4</f>
        <v>07/27 - 06/28</v>
      </c>
      <c r="DD107" s="66" t="str">
        <f>[1]Tables!$AA$5</f>
        <v>07/28 - 06/29</v>
      </c>
      <c r="DE107" s="66" t="str">
        <f>[1]Tables!$AA$6</f>
        <v>07/29 - 06/30</v>
      </c>
      <c r="DF107" s="66" t="str">
        <f>[1]Tables!$AA$7</f>
        <v>07/30 - 06/31</v>
      </c>
      <c r="DG107" s="67" t="str">
        <f>[1]Tables!$AA$8</f>
        <v>07/31 - 06/32</v>
      </c>
    </row>
    <row r="108" spans="1:123" x14ac:dyDescent="0.35">
      <c r="B108" s="68" t="s">
        <v>11</v>
      </c>
      <c r="C108" s="69">
        <v>30</v>
      </c>
      <c r="D108" s="69" t="s">
        <v>12</v>
      </c>
      <c r="E108" s="70" t="s">
        <v>13</v>
      </c>
      <c r="F108" s="106">
        <v>1</v>
      </c>
      <c r="G108" s="106"/>
      <c r="H108" s="71" t="s">
        <v>14</v>
      </c>
      <c r="I108" s="365" t="e" cm="1">
        <f t="array" aca="1" ref="I108" ca="1">SUMIFS(rng_out_rx_pre_yr1,rng_out_sel_excl_yr_ind, "",rng_out_sel_G_ind,I$1,rng_out_mail_ind,$B108,rng_out_ds,$C108,rng_out_sel_sp_ind,$D108,rng_out_sel_excl_ind,$E108)+
SUMIFS(rng_out_rx_pre_yr1,rng_out_sel_excl_yr_ind, [1]Tables!$HN$4,rng_out_sel_G_ind,I$1,rng_out_mail_ind,$B108,rng_out_ds,$C108,rng_out_sel_sp_ind,$D108,rng_out_sel_excl_ind,$E108)* _xlfn.XLOOKUP([1]Tables!$HN$4,'[1]RA Output'!$AY$4:$AY$5,'[1]RA Output'!AZ$4:AZ$5,0)  +
SUMIFS(rng_out_rx_pre_yr1,rng_out_sel_excl_yr_ind, [1]Tables!$HN$5,rng_out_sel_G_ind,I$1,rng_out_mail_ind,$B108,rng_out_ds,$C108,rng_out_sel_sp_ind,$D108,rng_out_sel_excl_ind,$E108)* _xlfn.XLOOKUP([1]Tables!$HN$5,'[1]RA Output'!$AY$4:$AY$5,'[1]RA Output'!AZ$4:AZ$5,0) +
IF($E$112="N",0,SUMIFS(rng_out_rx_pre_yr1, rng_out_sel_G_ind, I$1, rng_out_mail_ind, $B108, rng_out_ds, $C108, rng_out_sel_sp_ind, $D108, rng_out_sel_excl_ind,"N", rng_out_post_reb_ind_yr1, 0))</f>
        <v>#VALUE!</v>
      </c>
      <c r="J108" s="195" t="e" cm="1">
        <f t="array" aca="1" ref="J108" ca="1">SUMIFS(rng_out_rx_pre_yr2,rng_out_sel_excl_yr_ind, "",rng_out_sel_G_ind,J$1,rng_out_mail_ind,$B108,rng_out_ds,$C108,rng_out_sel_sp_ind,$D108,rng_out_sel_excl_ind,$E108)+
SUMIFS(rng_out_rx_pre_yr2,rng_out_sel_excl_yr_ind, [1]Tables!$HN$4,rng_out_sel_G_ind,J$1,rng_out_mail_ind,$B108,rng_out_ds,$C108,rng_out_sel_sp_ind,$D108,rng_out_sel_excl_ind,$E108)* _xlfn.XLOOKUP([1]Tables!$HN$4,'[1]RA Output'!$AY$4:$AY$5,'[1]RA Output'!BA$4:BA$5,0)  +
SUMIFS(rng_out_rx_pre_yr2,rng_out_sel_excl_yr_ind, [1]Tables!$HN$5,rng_out_sel_G_ind,J$1,rng_out_mail_ind,$B108,rng_out_ds,$C108,rng_out_sel_sp_ind,$D108,rng_out_sel_excl_ind,$E108)* _xlfn.XLOOKUP([1]Tables!$HN$5,'[1]RA Output'!$AY$4:$AY$5,'[1]RA Output'!BA$4:BA$5,0) +
IF($E$112="N",0,SUMIFS(rng_out_rx_pre_yr2, rng_out_sel_G_ind, J$1, rng_out_mail_ind, $B108, rng_out_ds, $C108, rng_out_sel_sp_ind, $D108, rng_out_sel_excl_ind,"N", rng_out_post_reb_ind_yr2, 0))</f>
        <v>#VALUE!</v>
      </c>
      <c r="K108" s="195" t="e" cm="1">
        <f t="array" aca="1" ref="K108" ca="1">SUMIFS(rng_out_rx_pre_yr3,rng_out_sel_excl_yr_ind, "",rng_out_sel_G_ind,K$1,rng_out_mail_ind,$B108,rng_out_ds,$C108,rng_out_sel_sp_ind,$D108,rng_out_sel_excl_ind,$E108)+
SUMIFS(rng_out_rx_pre_yr3,rng_out_sel_excl_yr_ind, [1]Tables!$HN$4,rng_out_sel_G_ind,K$1,rng_out_mail_ind,$B108,rng_out_ds,$C108,rng_out_sel_sp_ind,$D108,rng_out_sel_excl_ind,$E108)* _xlfn.XLOOKUP([1]Tables!$HN$4,'[1]RA Output'!$AY$4:$AY$5,'[1]RA Output'!BB$4:BB$5,0)  +
SUMIFS(rng_out_rx_pre_yr3,rng_out_sel_excl_yr_ind, [1]Tables!$HN$5,rng_out_sel_G_ind,K$1,rng_out_mail_ind,$B108,rng_out_ds,$C108,rng_out_sel_sp_ind,$D108,rng_out_sel_excl_ind,$E108)* _xlfn.XLOOKUP([1]Tables!$HN$5,'[1]RA Output'!$AY$4:$AY$5,'[1]RA Output'!BB$4:BB$5,0) +
IF($E$112="N",0,SUMIFS(rng_out_rx_pre_yr3, rng_out_sel_G_ind, K$1, rng_out_mail_ind, $B108, rng_out_ds, $C108, rng_out_sel_sp_ind, $D108, rng_out_sel_excl_ind,"N", rng_out_post_reb_ind_yr3, 0))</f>
        <v>#VALUE!</v>
      </c>
      <c r="L108" s="195" t="e" cm="1">
        <f t="array" aca="1" ref="L108" ca="1">SUMIFS(rng_out_rx_pre_yr4,rng_out_sel_excl_yr_ind, "",rng_out_sel_G_ind,L$1,rng_out_mail_ind,$B108,rng_out_ds,$C108,rng_out_sel_sp_ind,$D108,rng_out_sel_excl_ind,$E108)+
SUMIFS(rng_out_rx_pre_yr4,rng_out_sel_excl_yr_ind, [1]Tables!$HN$4,rng_out_sel_G_ind,L$1,rng_out_mail_ind,$B108,rng_out_ds,$C108,rng_out_sel_sp_ind,$D108,rng_out_sel_excl_ind,$E108)* _xlfn.XLOOKUP([1]Tables!$HN$4,'[1]RA Output'!$AY$4:$AY$5,'[1]RA Output'!BC$4:BC$5,0)  +
SUMIFS(rng_out_rx_pre_yr4,rng_out_sel_excl_yr_ind, [1]Tables!$HN$5,rng_out_sel_G_ind,L$1,rng_out_mail_ind,$B108,rng_out_ds,$C108,rng_out_sel_sp_ind,$D108,rng_out_sel_excl_ind,$E108)* _xlfn.XLOOKUP([1]Tables!$HN$5,'[1]RA Output'!$AY$4:$AY$5,'[1]RA Output'!BC$4:BC$5,0) +
IF($E$112="N",0,SUMIFS(rng_out_rx_pre_yr4, rng_out_sel_G_ind, L$1, rng_out_mail_ind, $B108, rng_out_ds, $C108, rng_out_sel_sp_ind, $D108, rng_out_sel_excl_ind,"N", rng_out_post_reb_ind_yr4, 0))</f>
        <v>#VALUE!</v>
      </c>
      <c r="M108" s="204" t="e" cm="1">
        <f t="array" aca="1" ref="M108" ca="1">SUMIFS(rng_out_rx_pre_yr5,rng_out_sel_excl_yr_ind, "",rng_out_sel_G_ind,M$1,rng_out_mail_ind,$B108,rng_out_ds,$C108,rng_out_sel_sp_ind,$D108,rng_out_sel_excl_ind,$E108)+
SUMIFS(rng_out_rx_pre_yr5,rng_out_sel_excl_yr_ind, [1]Tables!$HN$4,rng_out_sel_G_ind,M$1,rng_out_mail_ind,$B108,rng_out_ds,$C108,rng_out_sel_sp_ind,$D108,rng_out_sel_excl_ind,$E108)* _xlfn.XLOOKUP([1]Tables!$HN$4,'[1]RA Output'!$AY$4:$AY$5,'[1]RA Output'!BD$4:BD$5,0)  +
SUMIFS(rng_out_rx_pre_yr5,rng_out_sel_excl_yr_ind, [1]Tables!$HN$5,rng_out_sel_G_ind,M$1,rng_out_mail_ind,$B108,rng_out_ds,$C108,rng_out_sel_sp_ind,$D108,rng_out_sel_excl_ind,$E108)* _xlfn.XLOOKUP([1]Tables!$HN$5,'[1]RA Output'!$AY$4:$AY$5,'[1]RA Output'!BD$4:BD$5,0) +
IF($E$112="N",0,SUMIFS(rng_out_rx_pre_yr5, rng_out_sel_G_ind, M$1, rng_out_mail_ind, $B108, rng_out_ds, $C108, rng_out_sel_sp_ind, $D108, rng_out_sel_excl_ind,"N", rng_out_post_reb_ind_yr5, 0))</f>
        <v>#VALUE!</v>
      </c>
      <c r="N108" s="203" t="e" cm="1">
        <f t="array" aca="1" ref="N108" ca="1">SUMIFS(rng_out_rx_pre_yr1,rng_out_sel_excl_yr_ind, "",rng_out_sel_G_ind,N$1,rng_out_mail_ind,$B108,rng_out_ds,$C108,rng_out_sel_sp_ind,$D108,rng_out_sel_excl_ind,$E108)+
SUMIFS(rng_out_rx_pre_yr1,rng_out_sel_excl_yr_ind, [1]Tables!$HN$4,rng_out_sel_G_ind,N$1,rng_out_mail_ind,$B108,rng_out_ds,$C108,rng_out_sel_sp_ind,$D108,rng_out_sel_excl_ind,$E108)* _xlfn.XLOOKUP([1]Tables!$HN$4,'[1]RA Output'!$AY$4:$AY$5,'[1]RA Output'!AZ$4:AZ$5,0)  +
SUMIFS(rng_out_rx_pre_yr1,rng_out_sel_excl_yr_ind, [1]Tables!$HN$5,rng_out_sel_G_ind,N$1,rng_out_mail_ind,$B108,rng_out_ds,$C108,rng_out_sel_sp_ind,$D108,rng_out_sel_excl_ind,$E108)* _xlfn.XLOOKUP([1]Tables!$HN$5,'[1]RA Output'!$AY$4:$AY$5,'[1]RA Output'!AZ$4:AZ$5,0) +
IF($E$112="N",0,SUMIFS(rng_out_rx_pre_yr1, rng_out_sel_G_ind, N$1, rng_out_mail_ind, $B108, rng_out_ds, $C108, rng_out_sel_sp_ind, $D108, rng_out_sel_excl_ind,"N", rng_out_post_reb_ind_yr1, 0))</f>
        <v>#VALUE!</v>
      </c>
      <c r="O108" s="195" t="e" cm="1">
        <f t="array" aca="1" ref="O108" ca="1">SUMIFS(rng_out_rx_pre_yr2,rng_out_sel_excl_yr_ind, "",rng_out_sel_G_ind,O$1,rng_out_mail_ind,$B108,rng_out_ds,$C108,rng_out_sel_sp_ind,$D108,rng_out_sel_excl_ind,$E108)+
SUMIFS(rng_out_rx_pre_yr2,rng_out_sel_excl_yr_ind, [1]Tables!$HN$4,rng_out_sel_G_ind,O$1,rng_out_mail_ind,$B108,rng_out_ds,$C108,rng_out_sel_sp_ind,$D108,rng_out_sel_excl_ind,$E108)* _xlfn.XLOOKUP([1]Tables!$HN$4,'[1]RA Output'!$AY$4:$AY$5,'[1]RA Output'!BA$4:BA$5,0)  +
SUMIFS(rng_out_rx_pre_yr2,rng_out_sel_excl_yr_ind, [1]Tables!$HN$5,rng_out_sel_G_ind,O$1,rng_out_mail_ind,$B108,rng_out_ds,$C108,rng_out_sel_sp_ind,$D108,rng_out_sel_excl_ind,$E108)* _xlfn.XLOOKUP([1]Tables!$HN$5,'[1]RA Output'!$AY$4:$AY$5,'[1]RA Output'!BA$4:BA$5,0) +
IF($E$112="N",0,SUMIFS(rng_out_rx_pre_yr2, rng_out_sel_G_ind, O$1, rng_out_mail_ind, $B108, rng_out_ds, $C108, rng_out_sel_sp_ind, $D108, rng_out_sel_excl_ind,"N", rng_out_post_reb_ind_yr2, 0))</f>
        <v>#VALUE!</v>
      </c>
      <c r="P108" s="195" t="e" cm="1">
        <f t="array" aca="1" ref="P108" ca="1">SUMIFS(rng_out_rx_pre_yr3,rng_out_sel_excl_yr_ind, "",rng_out_sel_G_ind,P$1,rng_out_mail_ind,$B108,rng_out_ds,$C108,rng_out_sel_sp_ind,$D108,rng_out_sel_excl_ind,$E108)+
SUMIFS(rng_out_rx_pre_yr3,rng_out_sel_excl_yr_ind, [1]Tables!$HN$4,rng_out_sel_G_ind,P$1,rng_out_mail_ind,$B108,rng_out_ds,$C108,rng_out_sel_sp_ind,$D108,rng_out_sel_excl_ind,$E108)* _xlfn.XLOOKUP([1]Tables!$HN$4,'[1]RA Output'!$AY$4:$AY$5,'[1]RA Output'!BB$4:BB$5,0)  +
SUMIFS(rng_out_rx_pre_yr3,rng_out_sel_excl_yr_ind, [1]Tables!$HN$5,rng_out_sel_G_ind,P$1,rng_out_mail_ind,$B108,rng_out_ds,$C108,rng_out_sel_sp_ind,$D108,rng_out_sel_excl_ind,$E108)* _xlfn.XLOOKUP([1]Tables!$HN$5,'[1]RA Output'!$AY$4:$AY$5,'[1]RA Output'!BB$4:BB$5,0) +
IF($E$112="N",0,SUMIFS(rng_out_rx_pre_yr3, rng_out_sel_G_ind, P$1, rng_out_mail_ind, $B108, rng_out_ds, $C108, rng_out_sel_sp_ind, $D108, rng_out_sel_excl_ind,"N", rng_out_post_reb_ind_yr3, 0))</f>
        <v>#VALUE!</v>
      </c>
      <c r="Q108" s="195" t="e" cm="1">
        <f t="array" aca="1" ref="Q108" ca="1">SUMIFS(rng_out_rx_pre_yr4,rng_out_sel_excl_yr_ind, "",rng_out_sel_G_ind,Q$1,rng_out_mail_ind,$B108,rng_out_ds,$C108,rng_out_sel_sp_ind,$D108,rng_out_sel_excl_ind,$E108)+
SUMIFS(rng_out_rx_pre_yr4,rng_out_sel_excl_yr_ind, [1]Tables!$HN$4,rng_out_sel_G_ind,Q$1,rng_out_mail_ind,$B108,rng_out_ds,$C108,rng_out_sel_sp_ind,$D108,rng_out_sel_excl_ind,$E108)* _xlfn.XLOOKUP([1]Tables!$HN$4,'[1]RA Output'!$AY$4:$AY$5,'[1]RA Output'!BC$4:BC$5,0)  +
SUMIFS(rng_out_rx_pre_yr4,rng_out_sel_excl_yr_ind, [1]Tables!$HN$5,rng_out_sel_G_ind,Q$1,rng_out_mail_ind,$B108,rng_out_ds,$C108,rng_out_sel_sp_ind,$D108,rng_out_sel_excl_ind,$E108)* _xlfn.XLOOKUP([1]Tables!$HN$5,'[1]RA Output'!$AY$4:$AY$5,'[1]RA Output'!BC$4:BC$5,0) +
IF($E$112="N",0,SUMIFS(rng_out_rx_pre_yr4, rng_out_sel_G_ind, Q$1, rng_out_mail_ind, $B108, rng_out_ds, $C108, rng_out_sel_sp_ind, $D108, rng_out_sel_excl_ind,"N", rng_out_post_reb_ind_yr4, 0))</f>
        <v>#VALUE!</v>
      </c>
      <c r="R108" s="204" t="e" cm="1">
        <f t="array" aca="1" ref="R108" ca="1">SUMIFS(rng_out_rx_pre_yr5,rng_out_sel_excl_yr_ind, "",rng_out_sel_G_ind,R$1,rng_out_mail_ind,$B108,rng_out_ds,$C108,rng_out_sel_sp_ind,$D108,rng_out_sel_excl_ind,$E108)+
SUMIFS(rng_out_rx_pre_yr5,rng_out_sel_excl_yr_ind, [1]Tables!$HN$4,rng_out_sel_G_ind,R$1,rng_out_mail_ind,$B108,rng_out_ds,$C108,rng_out_sel_sp_ind,$D108,rng_out_sel_excl_ind,$E108)* _xlfn.XLOOKUP([1]Tables!$HN$4,'[1]RA Output'!$AY$4:$AY$5,'[1]RA Output'!BD$4:BD$5,0)  +
SUMIFS(rng_out_rx_pre_yr5,rng_out_sel_excl_yr_ind, [1]Tables!$HN$5,rng_out_sel_G_ind,R$1,rng_out_mail_ind,$B108,rng_out_ds,$C108,rng_out_sel_sp_ind,$D108,rng_out_sel_excl_ind,$E108)* _xlfn.XLOOKUP([1]Tables!$HN$5,'[1]RA Output'!$AY$4:$AY$5,'[1]RA Output'!BD$4:BD$5,0) +
IF($E$112="N",0,SUMIFS(rng_out_rx_pre_yr5, rng_out_sel_G_ind, R$1, rng_out_mail_ind, $B108, rng_out_ds, $C108, rng_out_sel_sp_ind, $D108, rng_out_sel_excl_ind,"N", rng_out_post_reb_ind_yr5, 0))</f>
        <v>#VALUE!</v>
      </c>
      <c r="S108" s="205" t="e">
        <f t="shared" ref="S108:W111" ca="1" si="90">I108+N108</f>
        <v>#VALUE!</v>
      </c>
      <c r="T108" s="206" t="e">
        <f t="shared" ca="1" si="90"/>
        <v>#VALUE!</v>
      </c>
      <c r="U108" s="206" t="e">
        <f t="shared" ca="1" si="90"/>
        <v>#VALUE!</v>
      </c>
      <c r="V108" s="206" t="e">
        <f t="shared" ca="1" si="90"/>
        <v>#VALUE!</v>
      </c>
      <c r="W108" s="207" t="e">
        <f t="shared" ca="1" si="90"/>
        <v>#VALUE!</v>
      </c>
      <c r="Y108" s="77" t="s">
        <v>14</v>
      </c>
      <c r="Z108" s="208">
        <f ca="1">IFERROR(I108/[1]Tables!$AT$4, 0)</f>
        <v>0</v>
      </c>
      <c r="AA108" s="206">
        <f ca="1">IFERROR(J108/[1]Tables!$AT$4, 0)</f>
        <v>0</v>
      </c>
      <c r="AB108" s="206">
        <f ca="1">IFERROR(K108/[1]Tables!$AT$4, 0)</f>
        <v>0</v>
      </c>
      <c r="AC108" s="206">
        <f ca="1">IFERROR(L108/[1]Tables!$AT$4, 0)</f>
        <v>0</v>
      </c>
      <c r="AD108" s="209">
        <f ca="1">IFERROR(M108/[1]Tables!$AT$4, 0)</f>
        <v>0</v>
      </c>
      <c r="AE108" s="208">
        <f ca="1">IFERROR(N108/[1]Tables!$AT$4, 0)</f>
        <v>0</v>
      </c>
      <c r="AF108" s="206">
        <f ca="1">IFERROR(O108/[1]Tables!$AT$4, 0)</f>
        <v>0</v>
      </c>
      <c r="AG108" s="206">
        <f ca="1">IFERROR(P108/[1]Tables!$AT$4, 0)</f>
        <v>0</v>
      </c>
      <c r="AH108" s="206">
        <f ca="1">IFERROR(Q108/[1]Tables!$AT$4, 0)</f>
        <v>0</v>
      </c>
      <c r="AI108" s="209">
        <f ca="1">IFERROR(R108/[1]Tables!$AT$4, 0)</f>
        <v>0</v>
      </c>
      <c r="AJ108" s="208">
        <f t="shared" ref="AJ108:AN111" ca="1" si="91">Z108+AE108</f>
        <v>0</v>
      </c>
      <c r="AK108" s="206">
        <f t="shared" ca="1" si="91"/>
        <v>0</v>
      </c>
      <c r="AL108" s="206">
        <f t="shared" ca="1" si="91"/>
        <v>0</v>
      </c>
      <c r="AM108" s="206">
        <f t="shared" ca="1" si="91"/>
        <v>0</v>
      </c>
      <c r="AN108" s="209">
        <f t="shared" ca="1" si="91"/>
        <v>0</v>
      </c>
      <c r="AP108" s="83" t="s">
        <v>14</v>
      </c>
      <c r="AQ108" s="210" t="e" cm="1">
        <f t="array" aca="1" ref="AQ108" ca="1">IF($E$112="N",
IFERROR(IF(OR(input_Shift="No", [1]Tables!$BN$4=1), 0, (SUMIFS(rng_out_rx_post_yr1,rng_out_sel_excl_yr_ind, "",rng_out_sel_G_ind,N$1,rng_out_mail_ind,$B108,rng_out_ds,$C108,rng_out_sel_sp_ind,$D108,rng_out_sel_excl_ind,$E108, rng_out_MSB_excl, $F108)+SUMIFS(rng_out_rx_post_yr1,rng_out_sel_excl_yr_ind, [1]Tables!$HN$4,rng_out_sel_G_ind,N$1,rng_out_mail_ind,$B108,rng_out_ds,$C108,rng_out_sel_sp_ind,$D108,rng_out_sel_excl_ind,$E108, rng_out_MSB_excl, $F108)* _xlfn.XLOOKUP([1]Tables!$HN$4,'[1]RA Output'!$AY$4:$AY$5,'[1]RA Output'!AZ$4:AZ$5,0)  +SUMIFS(rng_out_rx_post_yr1,rng_out_sel_excl_yr_ind, [1]Tables!$HN$5,rng_out_sel_G_ind,N$1,rng_out_mail_ind,$B108,rng_out_ds,$C108,rng_out_sel_sp_ind,$D108,rng_out_sel_excl_ind,$E108, rng_out_MSB_excl, $F108)* _xlfn.XLOOKUP([1]Tables!$HN$5,'[1]RA Output'!$AY$4:$AY$5,'[1]RA Output'!AZ$4:AZ$5,0))/[1]Tables!$BN$4*(1-[1]Tables!$BN$4)), 0) +
SUMIFS(rng_out_rx_post_yr1,rng_out_sel_excl_yr_ind, "",rng_out_sel_G_ind,I$1,rng_out_mail_ind,$B108,rng_out_ds,$C108,rng_out_sel_sp_ind,$D108,rng_out_sel_excl_ind,$E108)+SUMIFS(rng_out_rx_post_yr1,rng_out_sel_excl_yr_ind, [1]Tables!$HN$4,rng_out_sel_G_ind,I$1,rng_out_mail_ind,$B108,rng_out_ds,$C108,rng_out_sel_sp_ind,$D108,rng_out_sel_excl_ind,$E108)* _xlfn.XLOOKUP([1]Tables!$HN$4,'[1]RA Output'!$AY$4:$AY$5,'[1]RA Output'!AZ$4:AZ$5,0)  +SUMIFS(rng_out_rx_post_yr1,rng_out_sel_excl_yr_ind, [1]Tables!$HN$5,rng_out_sel_G_ind,I$1,rng_out_mail_ind,$B108,rng_out_ds,$C108,rng_out_sel_sp_ind,$D108,rng_out_sel_excl_ind,$E108)* _xlfn.XLOOKUP([1]Tables!$HN$5,'[1]RA Output'!$AY$4:$AY$5,'[1]RA Output'!AZ$4:AZ$5,0),
IFERROR(IF(OR(input_Shift="No", [1]Tables!$BN$4=1), 0, (SUMIFS(rng_out_rx_post_yr1,rng_out_sel_excl_yr_ind, "",rng_out_sel_G_ind,N$1,rng_out_mail_ind,$B108,rng_out_ds,$C108,rng_out_sel_sp_ind,$D108,rng_out_sel_excl_ind,$E108, rng_out_MSB_excl, $F108)+SUMIFS(rng_out_rx_post_yr1,rng_out_sel_excl_yr_ind, [1]Tables!$HN$4,rng_out_sel_G_ind,N$1,rng_out_mail_ind,$B108,rng_out_ds,$C108,rng_out_sel_sp_ind,$D108,rng_out_sel_excl_ind,$E108, rng_out_MSB_excl, $F108)* _xlfn.XLOOKUP([1]Tables!$HN$4,'[1]RA Output'!$AY$4:$AY$5,'[1]RA Output'!AZ$4:AZ$5,0)  +SUMIFS(rng_out_rx_post_yr1,rng_out_sel_excl_yr_ind, [1]Tables!$HN$5,rng_out_sel_G_ind,N$1,rng_out_mail_ind,$B108,rng_out_ds,$C108,rng_out_sel_sp_ind,$D108,rng_out_sel_excl_ind,$E108, rng_out_MSB_excl, $F108)* _xlfn.XLOOKUP([1]Tables!$HN$5,'[1]RA Output'!$AY$4:$AY$5,'[1]RA Output'!AZ$4:AZ$5,0) + SUMIFS(rng_out_rx_post_yr1, rng_out_mail_ind, $B108, rng_out_sel_G_ind,"B", rng_out_ds, $C108, rng_out_sel_sp_ind, $D108, rng_out_sel_excl_ind,"N", rng_out_MSB_excl, $F108, rng_out_post_reb_ind_yr1, 0))/[1]Tables!$BN$4*(1-[1]Tables!$BN$4)), 0) +
IFERROR(SUMIFS(rng_out_rx_post_yr1, rng_out_sel_G_ind, "G", rng_out_mail_ind, $B108, rng_out_ds, $C108, rng_out_sel_sp_ind, $D108, rng_out_sel_excl_ind,"N", rng_out_post_reb_ind_yr1, 0) +
SUMIFS(rng_out_rx_post_yr1,rng_out_sel_excl_yr_ind, "",rng_out_sel_G_ind,I$1,rng_out_mail_ind,$B108,rng_out_ds,$C108,rng_out_sel_sp_ind,$D108,rng_out_sel_excl_ind,$E108)+SUMIFS(rng_out_rx_post_yr1,rng_out_sel_excl_yr_ind, [1]Tables!$HN$4,rng_out_sel_G_ind,I$1,rng_out_mail_ind,$B108,rng_out_ds,$C108,rng_out_sel_sp_ind,$D108,rng_out_sel_excl_ind,$E108)* _xlfn.XLOOKUP([1]Tables!$HN$4,'[1]RA Output'!$AY$4:$AY$5,'[1]RA Output'!AZ$4:AZ$5,0)  +SUMIFS(rng_out_rx_post_yr1,rng_out_sel_excl_yr_ind, [1]Tables!$HN$5,rng_out_sel_G_ind,I$1,rng_out_mail_ind,$B108,rng_out_ds,$C108,rng_out_sel_sp_ind,$D108,rng_out_sel_excl_ind,$E108)* _xlfn.XLOOKUP([1]Tables!$HN$5,'[1]RA Output'!$AY$4:$AY$5,'[1]RA Output'!AZ$4:AZ$5,0), 0))/[1]Tables!$AT$4</f>
        <v>#VALUE!</v>
      </c>
      <c r="AR108" s="195" t="e" cm="1">
        <f t="array" aca="1" ref="AR108" ca="1">IF($E$112="N",
IFERROR(IF(OR(input_Shift="No", [1]Tables!$BN$4=1), 0, (SUMIFS(rng_out_rx_post_yr2,rng_out_sel_excl_yr_ind, "",rng_out_sel_G_ind,O$1,rng_out_mail_ind,$B108,rng_out_ds,$C108,rng_out_sel_sp_ind,$D108,rng_out_sel_excl_ind,$E108, rng_out_MSB_excl, $F108)+SUMIFS(rng_out_rx_post_yr2,rng_out_sel_excl_yr_ind, [1]Tables!$HN$4,rng_out_sel_G_ind,O$1,rng_out_mail_ind,$B108,rng_out_ds,$C108,rng_out_sel_sp_ind,$D108,rng_out_sel_excl_ind,$E108, rng_out_MSB_excl, $F108)* _xlfn.XLOOKUP([1]Tables!$HN$4,'[1]RA Output'!$AY$4:$AY$5,'[1]RA Output'!BA$4:BA$5,0)  +SUMIFS(rng_out_rx_post_yr2,rng_out_sel_excl_yr_ind, [1]Tables!$HN$5,rng_out_sel_G_ind,O$1,rng_out_mail_ind,$B108,rng_out_ds,$C108,rng_out_sel_sp_ind,$D108,rng_out_sel_excl_ind,$E108, rng_out_MSB_excl, $F108)* _xlfn.XLOOKUP([1]Tables!$HN$5,'[1]RA Output'!$AY$4:$AY$5,'[1]RA Output'!BA$4:BA$5,0))/[1]Tables!$BN$4*(1-[1]Tables!$BN$4)), 0) +
SUMIFS(rng_out_rx_post_yr2,rng_out_sel_excl_yr_ind, "",rng_out_sel_G_ind,J$1,rng_out_mail_ind,$B108,rng_out_ds,$C108,rng_out_sel_sp_ind,$D108,rng_out_sel_excl_ind,$E108)+SUMIFS(rng_out_rx_post_yr2,rng_out_sel_excl_yr_ind, [1]Tables!$HN$4,rng_out_sel_G_ind,J$1,rng_out_mail_ind,$B108,rng_out_ds,$C108,rng_out_sel_sp_ind,$D108,rng_out_sel_excl_ind,$E108)* _xlfn.XLOOKUP([1]Tables!$HN$4,'[1]RA Output'!$AY$4:$AY$5,'[1]RA Output'!BA$4:BA$5,0)  +SUMIFS(rng_out_rx_post_yr2,rng_out_sel_excl_yr_ind, [1]Tables!$HN$5,rng_out_sel_G_ind,J$1,rng_out_mail_ind,$B108,rng_out_ds,$C108,rng_out_sel_sp_ind,$D108,rng_out_sel_excl_ind,$E108)* _xlfn.XLOOKUP([1]Tables!$HN$5,'[1]RA Output'!$AY$4:$AY$5,'[1]RA Output'!BA$4:BA$5,0),
IFERROR(IF(OR(input_Shift="No", [1]Tables!$BN$4=1), 0, (SUMIFS(rng_out_rx_post_yr2,rng_out_sel_excl_yr_ind, "",rng_out_sel_G_ind,O$1,rng_out_mail_ind,$B108,rng_out_ds,$C108,rng_out_sel_sp_ind,$D108,rng_out_sel_excl_ind,$E108, rng_out_MSB_excl, $F108)+SUMIFS(rng_out_rx_post_yr2,rng_out_sel_excl_yr_ind, [1]Tables!$HN$4,rng_out_sel_G_ind,O$1,rng_out_mail_ind,$B108,rng_out_ds,$C108,rng_out_sel_sp_ind,$D108,rng_out_sel_excl_ind,$E108, rng_out_MSB_excl, $F108)* _xlfn.XLOOKUP([1]Tables!$HN$4,'[1]RA Output'!$AY$4:$AY$5,'[1]RA Output'!BA$4:BA$5,0)  +SUMIFS(rng_out_rx_post_yr2,rng_out_sel_excl_yr_ind, [1]Tables!$HN$5,rng_out_sel_G_ind,O$1,rng_out_mail_ind,$B108,rng_out_ds,$C108,rng_out_sel_sp_ind,$D108,rng_out_sel_excl_ind,$E108, rng_out_MSB_excl, $F108)* _xlfn.XLOOKUP([1]Tables!$HN$5,'[1]RA Output'!$AY$4:$AY$5,'[1]RA Output'!BA$4:BA$5,0) + SUMIFS(rng_out_rx_post_yr2, rng_out_mail_ind, $B108, rng_out_sel_G_ind,"B", rng_out_ds, $C108, rng_out_sel_sp_ind, $D108, rng_out_sel_excl_ind,"N", rng_out_MSB_excl, $F108, rng_out_post_reb_ind_yr2, 0))/[1]Tables!$BN$4*(1-[1]Tables!$BN$4)), 0) +
IFERROR(SUMIFS(rng_out_rx_post_yr2, rng_out_sel_G_ind, "G", rng_out_mail_ind, $B108, rng_out_ds, $C108, rng_out_sel_sp_ind, $D108, rng_out_sel_excl_ind,"N", rng_out_post_reb_ind_yr2, 0) +
SUMIFS(rng_out_rx_post_yr2,rng_out_sel_excl_yr_ind, "",rng_out_sel_G_ind,J$1,rng_out_mail_ind,$B108,rng_out_ds,$C108,rng_out_sel_sp_ind,$D108,rng_out_sel_excl_ind,$E108)+SUMIFS(rng_out_rx_post_yr2,rng_out_sel_excl_yr_ind, [1]Tables!$HN$4,rng_out_sel_G_ind,J$1,rng_out_mail_ind,$B108,rng_out_ds,$C108,rng_out_sel_sp_ind,$D108,rng_out_sel_excl_ind,$E108)* _xlfn.XLOOKUP([1]Tables!$HN$4,'[1]RA Output'!$AY$4:$AY$5,'[1]RA Output'!BA$4:BA$5,0)  +SUMIFS(rng_out_rx_post_yr2,rng_out_sel_excl_yr_ind, [1]Tables!$HN$5,rng_out_sel_G_ind,J$1,rng_out_mail_ind,$B108,rng_out_ds,$C108,rng_out_sel_sp_ind,$D108,rng_out_sel_excl_ind,$E108)* _xlfn.XLOOKUP([1]Tables!$HN$5,'[1]RA Output'!$AY$4:$AY$5,'[1]RA Output'!BA$4:BA$5,0), 0))/[1]Tables!$AT$4</f>
        <v>#VALUE!</v>
      </c>
      <c r="AS108" s="195" t="e" cm="1">
        <f t="array" aca="1" ref="AS108" ca="1">IF($E$112="N",
IFERROR(IF(OR(input_Shift="No", [1]Tables!$BN$4=1), 0, (SUMIFS(rng_out_rx_post_yr3,rng_out_sel_excl_yr_ind, "",rng_out_sel_G_ind,P$1,rng_out_mail_ind,$B108,rng_out_ds,$C108,rng_out_sel_sp_ind,$D108,rng_out_sel_excl_ind,$E108, rng_out_MSB_excl, $F108)+SUMIFS(rng_out_rx_post_yr3,rng_out_sel_excl_yr_ind, [1]Tables!$HN$4,rng_out_sel_G_ind,P$1,rng_out_mail_ind,$B108,rng_out_ds,$C108,rng_out_sel_sp_ind,$D108,rng_out_sel_excl_ind,$E108, rng_out_MSB_excl, $F108)* _xlfn.XLOOKUP([1]Tables!$HN$4,'[1]RA Output'!$AY$4:$AY$5,'[1]RA Output'!BB$4:BB$5,0)  +SUMIFS(rng_out_rx_post_yr3,rng_out_sel_excl_yr_ind, [1]Tables!$HN$5,rng_out_sel_G_ind,P$1,rng_out_mail_ind,$B108,rng_out_ds,$C108,rng_out_sel_sp_ind,$D108,rng_out_sel_excl_ind,$E108, rng_out_MSB_excl, $F108)* _xlfn.XLOOKUP([1]Tables!$HN$5,'[1]RA Output'!$AY$4:$AY$5,'[1]RA Output'!BB$4:BB$5,0))/[1]Tables!$BN$4*(1-[1]Tables!$BN$4)), 0) +
SUMIFS(rng_out_rx_post_yr3,rng_out_sel_excl_yr_ind, "",rng_out_sel_G_ind,K$1,rng_out_mail_ind,$B108,rng_out_ds,$C108,rng_out_sel_sp_ind,$D108,rng_out_sel_excl_ind,$E108)+SUMIFS(rng_out_rx_post_yr3,rng_out_sel_excl_yr_ind, [1]Tables!$HN$4,rng_out_sel_G_ind,K$1,rng_out_mail_ind,$B108,rng_out_ds,$C108,rng_out_sel_sp_ind,$D108,rng_out_sel_excl_ind,$E108)* _xlfn.XLOOKUP([1]Tables!$HN$4,'[1]RA Output'!$AY$4:$AY$5,'[1]RA Output'!BB$4:BB$5,0)  +SUMIFS(rng_out_rx_post_yr3,rng_out_sel_excl_yr_ind, [1]Tables!$HN$5,rng_out_sel_G_ind,K$1,rng_out_mail_ind,$B108,rng_out_ds,$C108,rng_out_sel_sp_ind,$D108,rng_out_sel_excl_ind,$E108)* _xlfn.XLOOKUP([1]Tables!$HN$5,'[1]RA Output'!$AY$4:$AY$5,'[1]RA Output'!BB$4:BB$5,0),
IFERROR(IF(OR(input_Shift="No", [1]Tables!$BN$4=1), 0, (SUMIFS(rng_out_rx_post_yr3,rng_out_sel_excl_yr_ind, "",rng_out_sel_G_ind,P$1,rng_out_mail_ind,$B108,rng_out_ds,$C108,rng_out_sel_sp_ind,$D108,rng_out_sel_excl_ind,$E108, rng_out_MSB_excl, $F108)+SUMIFS(rng_out_rx_post_yr3,rng_out_sel_excl_yr_ind, [1]Tables!$HN$4,rng_out_sel_G_ind,P$1,rng_out_mail_ind,$B108,rng_out_ds,$C108,rng_out_sel_sp_ind,$D108,rng_out_sel_excl_ind,$E108, rng_out_MSB_excl, $F108)* _xlfn.XLOOKUP([1]Tables!$HN$4,'[1]RA Output'!$AY$4:$AY$5,'[1]RA Output'!BB$4:BB$5,0)  +SUMIFS(rng_out_rx_post_yr3,rng_out_sel_excl_yr_ind, [1]Tables!$HN$5,rng_out_sel_G_ind,P$1,rng_out_mail_ind,$B108,rng_out_ds,$C108,rng_out_sel_sp_ind,$D108,rng_out_sel_excl_ind,$E108, rng_out_MSB_excl, $F108)* _xlfn.XLOOKUP([1]Tables!$HN$5,'[1]RA Output'!$AY$4:$AY$5,'[1]RA Output'!BB$4:BB$5,0) + SUMIFS(rng_out_rx_post_yr3, rng_out_mail_ind, $B108, rng_out_sel_G_ind,"B", rng_out_ds, $C108, rng_out_sel_sp_ind, $D108, rng_out_sel_excl_ind,"N", rng_out_MSB_excl, $F108, rng_out_post_reb_ind_yr3, 0))/[1]Tables!$BN$4*(1-[1]Tables!$BN$4)), 0) +
IFERROR(SUMIFS(rng_out_rx_post_yr3, rng_out_sel_G_ind, "G", rng_out_mail_ind, $B108, rng_out_ds, $C108, rng_out_sel_sp_ind, $D108, rng_out_sel_excl_ind,"N", rng_out_post_reb_ind_yr3, 0) +
SUMIFS(rng_out_rx_post_yr3,rng_out_sel_excl_yr_ind, "",rng_out_sel_G_ind,K$1,rng_out_mail_ind,$B108,rng_out_ds,$C108,rng_out_sel_sp_ind,$D108,rng_out_sel_excl_ind,$E108)+SUMIFS(rng_out_rx_post_yr3,rng_out_sel_excl_yr_ind, [1]Tables!$HN$4,rng_out_sel_G_ind,K$1,rng_out_mail_ind,$B108,rng_out_ds,$C108,rng_out_sel_sp_ind,$D108,rng_out_sel_excl_ind,$E108)* _xlfn.XLOOKUP([1]Tables!$HN$4,'[1]RA Output'!$AY$4:$AY$5,'[1]RA Output'!BB$4:BB$5,0)  +SUMIFS(rng_out_rx_post_yr3,rng_out_sel_excl_yr_ind, [1]Tables!$HN$5,rng_out_sel_G_ind,K$1,rng_out_mail_ind,$B108,rng_out_ds,$C108,rng_out_sel_sp_ind,$D108,rng_out_sel_excl_ind,$E108)* _xlfn.XLOOKUP([1]Tables!$HN$5,'[1]RA Output'!$AY$4:$AY$5,'[1]RA Output'!BB$4:BB$5,0), 0))/[1]Tables!$AT$4</f>
        <v>#VALUE!</v>
      </c>
      <c r="AT108" s="195" t="e" cm="1">
        <f t="array" aca="1" ref="AT108" ca="1">IF($E$112="N",
IFERROR(IF(OR(input_Shift="No", [1]Tables!$BN$4=1), 0, (SUMIFS(rng_out_rx_post_yr4,rng_out_sel_excl_yr_ind, "",rng_out_sel_G_ind,Q$1,rng_out_mail_ind,$B108,rng_out_ds,$C108,rng_out_sel_sp_ind,$D108,rng_out_sel_excl_ind,$E108, rng_out_MSB_excl, $F108)+SUMIFS(rng_out_rx_post_yr4,rng_out_sel_excl_yr_ind, [1]Tables!$HN$4,rng_out_sel_G_ind,Q$1,rng_out_mail_ind,$B108,rng_out_ds,$C108,rng_out_sel_sp_ind,$D108,rng_out_sel_excl_ind,$E108, rng_out_MSB_excl, $F108)* _xlfn.XLOOKUP([1]Tables!$HN$4,'[1]RA Output'!$AY$4:$AY$5,'[1]RA Output'!BC$4:BC$5,0)  +SUMIFS(rng_out_rx_post_yr4,rng_out_sel_excl_yr_ind, [1]Tables!$HN$5,rng_out_sel_G_ind,Q$1,rng_out_mail_ind,$B108,rng_out_ds,$C108,rng_out_sel_sp_ind,$D108,rng_out_sel_excl_ind,$E108, rng_out_MSB_excl, $F108)* _xlfn.XLOOKUP([1]Tables!$HN$5,'[1]RA Output'!$AY$4:$AY$5,'[1]RA Output'!BC$4:BC$5,0))/[1]Tables!$BN$4*(1-[1]Tables!$BN$4)), 0) +
SUMIFS(rng_out_rx_post_yr4,rng_out_sel_excl_yr_ind, "",rng_out_sel_G_ind,L$1,rng_out_mail_ind,$B108,rng_out_ds,$C108,rng_out_sel_sp_ind,$D108,rng_out_sel_excl_ind,$E108)+SUMIFS(rng_out_rx_post_yr4,rng_out_sel_excl_yr_ind, [1]Tables!$HN$4,rng_out_sel_G_ind,L$1,rng_out_mail_ind,$B108,rng_out_ds,$C108,rng_out_sel_sp_ind,$D108,rng_out_sel_excl_ind,$E108)* _xlfn.XLOOKUP([1]Tables!$HN$4,'[1]RA Output'!$AY$4:$AY$5,'[1]RA Output'!BC$4:BC$5,0)  +SUMIFS(rng_out_rx_post_yr4,rng_out_sel_excl_yr_ind, [1]Tables!$HN$5,rng_out_sel_G_ind,L$1,rng_out_mail_ind,$B108,rng_out_ds,$C108,rng_out_sel_sp_ind,$D108,rng_out_sel_excl_ind,$E108)* _xlfn.XLOOKUP([1]Tables!$HN$5,'[1]RA Output'!$AY$4:$AY$5,'[1]RA Output'!BC$4:BC$5,0),
IFERROR(IF(OR(input_Shift="No", [1]Tables!$BN$4=1), 0, (SUMIFS(rng_out_rx_post_yr4,rng_out_sel_excl_yr_ind, "",rng_out_sel_G_ind,Q$1,rng_out_mail_ind,$B108,rng_out_ds,$C108,rng_out_sel_sp_ind,$D108,rng_out_sel_excl_ind,$E108, rng_out_MSB_excl, $F108)+SUMIFS(rng_out_rx_post_yr4,rng_out_sel_excl_yr_ind, [1]Tables!$HN$4,rng_out_sel_G_ind,Q$1,rng_out_mail_ind,$B108,rng_out_ds,$C108,rng_out_sel_sp_ind,$D108,rng_out_sel_excl_ind,$E108, rng_out_MSB_excl, $F108)* _xlfn.XLOOKUP([1]Tables!$HN$4,'[1]RA Output'!$AY$4:$AY$5,'[1]RA Output'!BC$4:BC$5,0)  +SUMIFS(rng_out_rx_post_yr4,rng_out_sel_excl_yr_ind, [1]Tables!$HN$5,rng_out_sel_G_ind,Q$1,rng_out_mail_ind,$B108,rng_out_ds,$C108,rng_out_sel_sp_ind,$D108,rng_out_sel_excl_ind,$E108, rng_out_MSB_excl, $F108)* _xlfn.XLOOKUP([1]Tables!$HN$5,'[1]RA Output'!$AY$4:$AY$5,'[1]RA Output'!BC$4:BC$5,0) + SUMIFS(rng_out_rx_post_yr4, rng_out_mail_ind, $B108, rng_out_sel_G_ind,"B", rng_out_ds, $C108, rng_out_sel_sp_ind, $D108, rng_out_sel_excl_ind,"N", rng_out_MSB_excl, $F108, rng_out_post_reb_ind_yr4, 0))/[1]Tables!$BN$4*(1-[1]Tables!$BN$4)), 0) +
IFERROR(SUMIFS(rng_out_rx_post_yr4, rng_out_sel_G_ind, "G", rng_out_mail_ind, $B108, rng_out_ds, $C108, rng_out_sel_sp_ind, $D108, rng_out_sel_excl_ind,"N", rng_out_post_reb_ind_yr4, 0) +
SUMIFS(rng_out_rx_post_yr4,rng_out_sel_excl_yr_ind, "",rng_out_sel_G_ind,L$1,rng_out_mail_ind,$B108,rng_out_ds,$C108,rng_out_sel_sp_ind,$D108,rng_out_sel_excl_ind,$E108)+SUMIFS(rng_out_rx_post_yr4,rng_out_sel_excl_yr_ind, [1]Tables!$HN$4,rng_out_sel_G_ind,L$1,rng_out_mail_ind,$B108,rng_out_ds,$C108,rng_out_sel_sp_ind,$D108,rng_out_sel_excl_ind,$E108)* _xlfn.XLOOKUP([1]Tables!$HN$4,'[1]RA Output'!$AY$4:$AY$5,'[1]RA Output'!BC$4:BC$5,0)  +SUMIFS(rng_out_rx_post_yr4,rng_out_sel_excl_yr_ind, [1]Tables!$HN$5,rng_out_sel_G_ind,L$1,rng_out_mail_ind,$B108,rng_out_ds,$C108,rng_out_sel_sp_ind,$D108,rng_out_sel_excl_ind,$E108)* _xlfn.XLOOKUP([1]Tables!$HN$5,'[1]RA Output'!$AY$4:$AY$5,'[1]RA Output'!BC$4:BC$5,0), 0))/[1]Tables!$AT$4</f>
        <v>#VALUE!</v>
      </c>
      <c r="AU108" s="211" t="e" cm="1">
        <f t="array" aca="1" ref="AU108" ca="1">IF($E$112="N",
IFERROR(IF(OR(input_Shift="No", [1]Tables!$BN$4=1), 0, (SUMIFS(rng_out_rx_post_yr5,rng_out_sel_excl_yr_ind, "",rng_out_sel_G_ind,R$1,rng_out_mail_ind,$B108,rng_out_ds,$C108,rng_out_sel_sp_ind,$D108,rng_out_sel_excl_ind,$E108, rng_out_MSB_excl, $F108)+SUMIFS(rng_out_rx_post_yr5,rng_out_sel_excl_yr_ind, [1]Tables!$HN$4,rng_out_sel_G_ind,R$1,rng_out_mail_ind,$B108,rng_out_ds,$C108,rng_out_sel_sp_ind,$D108,rng_out_sel_excl_ind,$E108, rng_out_MSB_excl, $F108)* _xlfn.XLOOKUP([1]Tables!$HN$4,'[1]RA Output'!$AY$4:$AY$5,'[1]RA Output'!BD$4:BD$5,0)  +SUMIFS(rng_out_rx_post_yr5,rng_out_sel_excl_yr_ind, [1]Tables!$HN$5,rng_out_sel_G_ind,R$1,rng_out_mail_ind,$B108,rng_out_ds,$C108,rng_out_sel_sp_ind,$D108,rng_out_sel_excl_ind,$E108, rng_out_MSB_excl, $F108)* _xlfn.XLOOKUP([1]Tables!$HN$5,'[1]RA Output'!$AY$4:$AY$5,'[1]RA Output'!BD$4:BD$5,0))/[1]Tables!$BN$4*(1-[1]Tables!$BN$4)), 0) +
SUMIFS(rng_out_rx_post_yr5,rng_out_sel_excl_yr_ind, "",rng_out_sel_G_ind,M$1,rng_out_mail_ind,$B108,rng_out_ds,$C108,rng_out_sel_sp_ind,$D108,rng_out_sel_excl_ind,$E108)+SUMIFS(rng_out_rx_post_yr5,rng_out_sel_excl_yr_ind, [1]Tables!$HN$4,rng_out_sel_G_ind,M$1,rng_out_mail_ind,$B108,rng_out_ds,$C108,rng_out_sel_sp_ind,$D108,rng_out_sel_excl_ind,$E108)* _xlfn.XLOOKUP([1]Tables!$HN$4,'[1]RA Output'!$AY$4:$AY$5,'[1]RA Output'!BD$4:BD$5,0)  +SUMIFS(rng_out_rx_post_yr5,rng_out_sel_excl_yr_ind, [1]Tables!$HN$5,rng_out_sel_G_ind,M$1,rng_out_mail_ind,$B108,rng_out_ds,$C108,rng_out_sel_sp_ind,$D108,rng_out_sel_excl_ind,$E108)* _xlfn.XLOOKUP([1]Tables!$HN$5,'[1]RA Output'!$AY$4:$AY$5,'[1]RA Output'!BD$4:BD$5,0),
IFERROR(IF(OR(input_Shift="No", [1]Tables!$BN$4=1), 0, (SUMIFS(rng_out_rx_post_yr5,rng_out_sel_excl_yr_ind, "",rng_out_sel_G_ind,R$1,rng_out_mail_ind,$B108,rng_out_ds,$C108,rng_out_sel_sp_ind,$D108,rng_out_sel_excl_ind,$E108, rng_out_MSB_excl, $F108)+SUMIFS(rng_out_rx_post_yr5,rng_out_sel_excl_yr_ind, [1]Tables!$HN$4,rng_out_sel_G_ind,R$1,rng_out_mail_ind,$B108,rng_out_ds,$C108,rng_out_sel_sp_ind,$D108,rng_out_sel_excl_ind,$E108, rng_out_MSB_excl, $F108)* _xlfn.XLOOKUP([1]Tables!$HN$4,'[1]RA Output'!$AY$4:$AY$5,'[1]RA Output'!BD$4:BD$5,0)  +SUMIFS(rng_out_rx_post_yr5,rng_out_sel_excl_yr_ind, [1]Tables!$HN$5,rng_out_sel_G_ind,R$1,rng_out_mail_ind,$B108,rng_out_ds,$C108,rng_out_sel_sp_ind,$D108,rng_out_sel_excl_ind,$E108, rng_out_MSB_excl, $F108)* _xlfn.XLOOKUP([1]Tables!$HN$5,'[1]RA Output'!$AY$4:$AY$5,'[1]RA Output'!BD$4:BD$5,0) + SUMIFS(rng_out_rx_post_yr5, rng_out_mail_ind, $B108, rng_out_sel_G_ind,"B", rng_out_ds, $C108, rng_out_sel_sp_ind, $D108, rng_out_sel_excl_ind,"N", rng_out_MSB_excl, $F108, rng_out_post_reb_ind_yr5, 0))/[1]Tables!$BN$4*(1-[1]Tables!$BN$4)), 0) +
IFERROR(SUMIFS(rng_out_rx_post_yr5, rng_out_sel_G_ind, "G", rng_out_mail_ind, $B108, rng_out_ds, $C108, rng_out_sel_sp_ind, $D108, rng_out_sel_excl_ind,"N", rng_out_post_reb_ind_yr5, 0) +
SUMIFS(rng_out_rx_post_yr5,rng_out_sel_excl_yr_ind, "",rng_out_sel_G_ind,M$1,rng_out_mail_ind,$B108,rng_out_ds,$C108,rng_out_sel_sp_ind,$D108,rng_out_sel_excl_ind,$E108)+SUMIFS(rng_out_rx_post_yr5,rng_out_sel_excl_yr_ind, [1]Tables!$HN$4,rng_out_sel_G_ind,M$1,rng_out_mail_ind,$B108,rng_out_ds,$C108,rng_out_sel_sp_ind,$D108,rng_out_sel_excl_ind,$E108)* _xlfn.XLOOKUP([1]Tables!$HN$4,'[1]RA Output'!$AY$4:$AY$5,'[1]RA Output'!BD$4:BD$5,0)  +SUMIFS(rng_out_rx_post_yr5,rng_out_sel_excl_yr_ind, [1]Tables!$HN$5,rng_out_sel_G_ind,M$1,rng_out_mail_ind,$B108,rng_out_ds,$C108,rng_out_sel_sp_ind,$D108,rng_out_sel_excl_ind,$E108)* _xlfn.XLOOKUP([1]Tables!$HN$5,'[1]RA Output'!$AY$4:$AY$5,'[1]RA Output'!BD$4:BD$5,0), 0))/[1]Tables!$AT$4</f>
        <v>#VALUE!</v>
      </c>
      <c r="AV108" s="210" t="e" cm="1">
        <f t="array" aca="1" ref="AV108" ca="1">(SUMIFS(rng_out_rx_post_yr1,rng_out_sel_excl_yr_ind, "",rng_out_sel_G_ind,N$1,rng_out_mail_ind,$B108,rng_out_ds,$C108,rng_out_sel_sp_ind,$D108,rng_out_sel_excl_ind,$E108)+
SUMIFS(rng_out_rx_post_yr1,rng_out_sel_excl_yr_ind, [1]Tables!$HN$4,rng_out_sel_G_ind,N$1,rng_out_mail_ind,$B108,rng_out_ds,$C108,rng_out_sel_sp_ind,$D108,rng_out_sel_excl_ind,$E108)* _xlfn.XLOOKUP([1]Tables!$HN$4,'[1]RA Output'!$AY$4:$AY$5,'[1]RA Output'!AZ$4:AZ$5,0)  +
SUMIFS(rng_out_rx_post_yr1,rng_out_sel_excl_yr_ind, [1]Tables!$HN$5,rng_out_sel_G_ind,N$1,rng_out_mail_ind,$B108,rng_out_ds,$C108,rng_out_sel_sp_ind,$D108,rng_out_sel_excl_ind,$E108)* _xlfn.XLOOKUP([1]Tables!$HN$5,'[1]RA Output'!$AY$4:$AY$5,'[1]RA Output'!AZ$4:AZ$5,0)+
IF($E$112="N",0,
SUMIFS(rng_out_rx_post_yr1, rng_out_sel_G_ind, "B", rng_out_mail_ind, $B108, rng_out_ds, $C108, rng_out_sel_sp_ind, $D108, rng_out_sel_excl_ind,"N", rng_out_post_reb_ind_yr1, 0)))/[1]Tables!$AT$4</f>
        <v>#VALUE!</v>
      </c>
      <c r="AW108" s="195" t="e" cm="1">
        <f t="array" aca="1" ref="AW108" ca="1">(SUMIFS(rng_out_rx_post_yr2,rng_out_sel_excl_yr_ind, "",rng_out_sel_G_ind,O$1,rng_out_mail_ind,$B108,rng_out_ds,$C108,rng_out_sel_sp_ind,$D108,rng_out_sel_excl_ind,$E108)+
SUMIFS(rng_out_rx_post_yr2,rng_out_sel_excl_yr_ind, [1]Tables!$HN$4,rng_out_sel_G_ind,O$1,rng_out_mail_ind,$B108,rng_out_ds,$C108,rng_out_sel_sp_ind,$D108,rng_out_sel_excl_ind,$E108)* _xlfn.XLOOKUP([1]Tables!$HN$4,'[1]RA Output'!$AY$4:$AY$5,'[1]RA Output'!BA$4:BA$5,0)  +
SUMIFS(rng_out_rx_post_yr2,rng_out_sel_excl_yr_ind, [1]Tables!$HN$5,rng_out_sel_G_ind,O$1,rng_out_mail_ind,$B108,rng_out_ds,$C108,rng_out_sel_sp_ind,$D108,rng_out_sel_excl_ind,$E108)* _xlfn.XLOOKUP([1]Tables!$HN$5,'[1]RA Output'!$AY$4:$AY$5,'[1]RA Output'!BA$4:BA$5,0)+
IF($E$112="N",0,
SUMIFS(rng_out_rx_post_yr2, rng_out_sel_G_ind, "B", rng_out_mail_ind, $B108, rng_out_ds, $C108, rng_out_sel_sp_ind, $D108, rng_out_sel_excl_ind,"N", rng_out_post_reb_ind_yr2, 0)))/[1]Tables!$AT$4</f>
        <v>#VALUE!</v>
      </c>
      <c r="AX108" s="195" t="e" cm="1">
        <f t="array" aca="1" ref="AX108" ca="1">(SUMIFS(rng_out_rx_post_yr3,rng_out_sel_excl_yr_ind, "",rng_out_sel_G_ind,P$1,rng_out_mail_ind,$B108,rng_out_ds,$C108,rng_out_sel_sp_ind,$D108,rng_out_sel_excl_ind,$E108)+
SUMIFS(rng_out_rx_post_yr3,rng_out_sel_excl_yr_ind, [1]Tables!$HN$4,rng_out_sel_G_ind,P$1,rng_out_mail_ind,$B108,rng_out_ds,$C108,rng_out_sel_sp_ind,$D108,rng_out_sel_excl_ind,$E108)* _xlfn.XLOOKUP([1]Tables!$HN$4,'[1]RA Output'!$AY$4:$AY$5,'[1]RA Output'!BB$4:BB$5,0)  +
SUMIFS(rng_out_rx_post_yr3,rng_out_sel_excl_yr_ind, [1]Tables!$HN$5,rng_out_sel_G_ind,P$1,rng_out_mail_ind,$B108,rng_out_ds,$C108,rng_out_sel_sp_ind,$D108,rng_out_sel_excl_ind,$E108)* _xlfn.XLOOKUP([1]Tables!$HN$5,'[1]RA Output'!$AY$4:$AY$5,'[1]RA Output'!BB$4:BB$5,0)+
IF($E$112="N",0,
SUMIFS(rng_out_rx_post_yr3, rng_out_sel_G_ind, "B", rng_out_mail_ind, $B108, rng_out_ds, $C108, rng_out_sel_sp_ind, $D108, rng_out_sel_excl_ind,"N", rng_out_post_reb_ind_yr3, 0)))/[1]Tables!$AT$4</f>
        <v>#VALUE!</v>
      </c>
      <c r="AY108" s="195" t="e" cm="1">
        <f t="array" aca="1" ref="AY108" ca="1">(SUMIFS(rng_out_rx_post_yr4,rng_out_sel_excl_yr_ind, "",rng_out_sel_G_ind,Q$1,rng_out_mail_ind,$B108,rng_out_ds,$C108,rng_out_sel_sp_ind,$D108,rng_out_sel_excl_ind,$E108)+
SUMIFS(rng_out_rx_post_yr4,rng_out_sel_excl_yr_ind, [1]Tables!$HN$4,rng_out_sel_G_ind,Q$1,rng_out_mail_ind,$B108,rng_out_ds,$C108,rng_out_sel_sp_ind,$D108,rng_out_sel_excl_ind,$E108)* _xlfn.XLOOKUP([1]Tables!$HN$4,'[1]RA Output'!$AY$4:$AY$5,'[1]RA Output'!BC$4:BC$5,0)  +
SUMIFS(rng_out_rx_post_yr4,rng_out_sel_excl_yr_ind, [1]Tables!$HN$5,rng_out_sel_G_ind,Q$1,rng_out_mail_ind,$B108,rng_out_ds,$C108,rng_out_sel_sp_ind,$D108,rng_out_sel_excl_ind,$E108)* _xlfn.XLOOKUP([1]Tables!$HN$5,'[1]RA Output'!$AY$4:$AY$5,'[1]RA Output'!BC$4:BC$5,0)+
IF($E$112="N",0,
SUMIFS(rng_out_rx_post_yr4, rng_out_sel_G_ind, "B", rng_out_mail_ind, $B108, rng_out_ds, $C108, rng_out_sel_sp_ind, $D108, rng_out_sel_excl_ind,"N", rng_out_post_reb_ind_yr4, 0)))/[1]Tables!$AT$4</f>
        <v>#VALUE!</v>
      </c>
      <c r="AZ108" s="211" t="e" cm="1">
        <f t="array" aca="1" ref="AZ108" ca="1">(SUMIFS(rng_out_rx_post_yr5,rng_out_sel_excl_yr_ind, "",rng_out_sel_G_ind,R$1,rng_out_mail_ind,$B108,rng_out_ds,$C108,rng_out_sel_sp_ind,$D108,rng_out_sel_excl_ind,$E108)+
SUMIFS(rng_out_rx_post_yr5,rng_out_sel_excl_yr_ind, [1]Tables!$HN$4,rng_out_sel_G_ind,R$1,rng_out_mail_ind,$B108,rng_out_ds,$C108,rng_out_sel_sp_ind,$D108,rng_out_sel_excl_ind,$E108)* _xlfn.XLOOKUP([1]Tables!$HN$4,'[1]RA Output'!$AY$4:$AY$5,'[1]RA Output'!BD$4:BD$5,0)  +
SUMIFS(rng_out_rx_post_yr5,rng_out_sel_excl_yr_ind, [1]Tables!$HN$5,rng_out_sel_G_ind,R$1,rng_out_mail_ind,$B108,rng_out_ds,$C108,rng_out_sel_sp_ind,$D108,rng_out_sel_excl_ind,$E108)* _xlfn.XLOOKUP([1]Tables!$HN$5,'[1]RA Output'!$AY$4:$AY$5,'[1]RA Output'!BD$4:BD$5,0)+
IF($E$112="N",0,
SUMIFS(rng_out_rx_post_yr5, rng_out_sel_G_ind, "B", rng_out_mail_ind, $B108, rng_out_ds, $C108, rng_out_sel_sp_ind, $D108, rng_out_sel_excl_ind,"N", rng_out_post_reb_ind_yr5, 0)))/[1]Tables!$AT$4</f>
        <v>#VALUE!</v>
      </c>
      <c r="BA108" s="206" t="e">
        <f t="shared" ref="BA108:BE111" ca="1" si="92">AQ108+AV108</f>
        <v>#VALUE!</v>
      </c>
      <c r="BB108" s="206" t="e">
        <f t="shared" ca="1" si="92"/>
        <v>#VALUE!</v>
      </c>
      <c r="BC108" s="206" t="e">
        <f t="shared" ca="1" si="92"/>
        <v>#VALUE!</v>
      </c>
      <c r="BD108" s="206" t="e">
        <f t="shared" ca="1" si="92"/>
        <v>#VALUE!</v>
      </c>
      <c r="BE108" s="212" t="e">
        <f t="shared" ca="1" si="92"/>
        <v>#VALUE!</v>
      </c>
      <c r="BG108" s="88" t="s">
        <v>14</v>
      </c>
      <c r="BH108" s="213" t="e">
        <f t="shared" ref="BH108:BQ111" ca="1" si="93">AQ108</f>
        <v>#VALUE!</v>
      </c>
      <c r="BI108" s="206" t="e">
        <f t="shared" ca="1" si="93"/>
        <v>#VALUE!</v>
      </c>
      <c r="BJ108" s="206" t="e">
        <f t="shared" ca="1" si="93"/>
        <v>#VALUE!</v>
      </c>
      <c r="BK108" s="206" t="e">
        <f t="shared" ca="1" si="93"/>
        <v>#VALUE!</v>
      </c>
      <c r="BL108" s="214" t="e">
        <f t="shared" ca="1" si="93"/>
        <v>#VALUE!</v>
      </c>
      <c r="BM108" s="213" t="e">
        <f t="shared" ca="1" si="93"/>
        <v>#VALUE!</v>
      </c>
      <c r="BN108" s="206" t="e">
        <f t="shared" ca="1" si="93"/>
        <v>#VALUE!</v>
      </c>
      <c r="BO108" s="206" t="e">
        <f t="shared" ca="1" si="93"/>
        <v>#VALUE!</v>
      </c>
      <c r="BP108" s="206" t="e">
        <f t="shared" ca="1" si="93"/>
        <v>#VALUE!</v>
      </c>
      <c r="BQ108" s="214" t="e">
        <f t="shared" ca="1" si="93"/>
        <v>#VALUE!</v>
      </c>
      <c r="BR108" s="215" t="e">
        <f t="shared" ref="BR108:BV111" ca="1" si="94">BH108+BM108</f>
        <v>#VALUE!</v>
      </c>
      <c r="BS108" s="216" t="e">
        <f t="shared" ca="1" si="94"/>
        <v>#VALUE!</v>
      </c>
      <c r="BT108" s="216" t="e">
        <f t="shared" ca="1" si="94"/>
        <v>#VALUE!</v>
      </c>
      <c r="BU108" s="216" t="e">
        <f t="shared" ca="1" si="94"/>
        <v>#VALUE!</v>
      </c>
      <c r="BV108" s="217" t="e">
        <f t="shared" ca="1" si="94"/>
        <v>#VALUE!</v>
      </c>
      <c r="BX108" s="88" t="s">
        <v>14</v>
      </c>
      <c r="BY108" s="213" t="e">
        <f t="shared" ref="BY108:CC111" ca="1" si="95">BH126</f>
        <v>#VALUE!</v>
      </c>
      <c r="BZ108" s="206" t="e">
        <f t="shared" ca="1" si="95"/>
        <v>#VALUE!</v>
      </c>
      <c r="CA108" s="206" t="e">
        <f t="shared" ca="1" si="95"/>
        <v>#VALUE!</v>
      </c>
      <c r="CB108" s="206" t="e">
        <f t="shared" ca="1" si="95"/>
        <v>#VALUE!</v>
      </c>
      <c r="CC108" s="214" t="e">
        <f t="shared" ca="1" si="95"/>
        <v>#VALUE!</v>
      </c>
      <c r="CD108" s="213" t="e">
        <f t="shared" ref="CD108:CH111" ca="1" si="96">BR117 + DC108</f>
        <v>#VALUE!</v>
      </c>
      <c r="CE108" s="206" t="e">
        <f t="shared" ca="1" si="96"/>
        <v>#VALUE!</v>
      </c>
      <c r="CF108" s="206" t="e">
        <f t="shared" ca="1" si="96"/>
        <v>#VALUE!</v>
      </c>
      <c r="CG108" s="206" t="e">
        <f t="shared" ca="1" si="96"/>
        <v>#VALUE!</v>
      </c>
      <c r="CH108" s="214" t="e">
        <f t="shared" ca="1" si="96"/>
        <v>#VALUE!</v>
      </c>
      <c r="CI108" s="215" t="e">
        <f t="shared" ref="CI108:CM111" ca="1" si="97">BY108+CD108</f>
        <v>#VALUE!</v>
      </c>
      <c r="CJ108" s="216" t="e">
        <f t="shared" ca="1" si="97"/>
        <v>#VALUE!</v>
      </c>
      <c r="CK108" s="216" t="e">
        <f t="shared" ca="1" si="97"/>
        <v>#VALUE!</v>
      </c>
      <c r="CL108" s="216" t="e">
        <f t="shared" ca="1" si="97"/>
        <v>#VALUE!</v>
      </c>
      <c r="CM108" s="217" t="e">
        <f t="shared" ca="1" si="97"/>
        <v>#VALUE!</v>
      </c>
      <c r="CO108" s="215" cm="1">
        <f t="array" aca="1" ref="CO108" ca="1">_xlfn.SINGLE(IFERROR(SUMIFS(rng_out_rx_base, rng_out_sel_G_ind, "G", rng_out_mail_ind, $B108, rng_out_ds, $C108, rng_out_sel_sp_ind, $D108, rng_out_sel_excl_ind,"Y")/[1]Tables!$AT$4, 0))</f>
        <v>0</v>
      </c>
      <c r="CP108" s="217" cm="1">
        <f t="array" aca="1" ref="CP108" ca="1">_xlfn.SINGLE(IFERROR(SUMIFS(rng_out_rx_base, rng_out_sel_G_ind, "B", rng_out_mail_ind, $B108, rng_out_ds, $C108, rng_out_sel_sp_ind, $D108, rng_out_sel_excl_ind,"Y")/[1]Tables!$AT$4, 0))</f>
        <v>0</v>
      </c>
      <c r="CQ108" s="218">
        <f ca="1">SUM(CO108:CP108)</f>
        <v>0</v>
      </c>
      <c r="CR108" s="215" cm="1">
        <f t="array" aca="1" ref="CR108" ca="1">_xlfn.SINGLE(IFERROR(SUMIFS(rng_out_qty_base, rng_out_sel_G_ind, "G", rng_out_mail_ind, $B108, rng_out_ds, $C108, rng_out_sel_sp_ind, $D108, rng_out_sel_excl_ind,"Y")/[1]Tables!$AT$4, 0))</f>
        <v>0</v>
      </c>
      <c r="CS108" s="216" cm="1">
        <f t="array" aca="1" ref="CS108" ca="1">_xlfn.SINGLE(IFERROR(SUMIFS(rng_out_qty_base, rng_out_sel_G_ind, "B", rng_out_mail_ind, $B108, rng_out_ds, $C108, rng_out_sel_sp_ind, $D108, rng_out_sel_excl_ind,"Y")/[1]Tables!$AT$4, 0))</f>
        <v>0</v>
      </c>
      <c r="CT108" s="219">
        <f ca="1">SUM(CR108:CS108)</f>
        <v>0</v>
      </c>
      <c r="CU108" s="215" cm="1">
        <f t="array" aca="1" ref="CU108" ca="1">_xlfn.SINGLE(IFERROR(SUMIFS(rng_out_ds_base, rng_out_sel_G_ind, "G", rng_out_mail_ind, $B108, rng_out_ds, $C108, rng_out_sel_sp_ind, $D108, rng_out_sel_excl_ind,"Y")/[1]Tables!$AT$4, 0))</f>
        <v>0</v>
      </c>
      <c r="CV108" s="217" cm="1">
        <f t="array" aca="1" ref="CV108" ca="1">_xlfn.SINGLE(IFERROR(SUMIFS(rng_out_ds_base, rng_out_sel_G_ind, "B", rng_out_mail_ind, $B108, rng_out_ds, $C108, rng_out_sel_sp_ind, $D108, rng_out_sel_excl_ind,"Y")/[1]Tables!$AT$4, 0))</f>
        <v>0</v>
      </c>
      <c r="CW108" s="218">
        <f ca="1">SUM(CU108:CV108)</f>
        <v>0</v>
      </c>
      <c r="DC108" s="215" t="e">
        <f t="shared" ref="DC108:DG111" ca="1" si="98">DC58</f>
        <v>#VALUE!</v>
      </c>
      <c r="DD108" s="216" t="e">
        <f t="shared" ca="1" si="98"/>
        <v>#VALUE!</v>
      </c>
      <c r="DE108" s="216" t="e">
        <f t="shared" ca="1" si="98"/>
        <v>#VALUE!</v>
      </c>
      <c r="DF108" s="216" t="e">
        <f t="shared" ca="1" si="98"/>
        <v>#VALUE!</v>
      </c>
      <c r="DG108" s="217" t="e">
        <f t="shared" ca="1" si="98"/>
        <v>#VALUE!</v>
      </c>
    </row>
    <row r="109" spans="1:123" x14ac:dyDescent="0.35">
      <c r="B109" s="105" t="s">
        <v>11</v>
      </c>
      <c r="C109" s="106">
        <v>90</v>
      </c>
      <c r="D109" s="106" t="s">
        <v>12</v>
      </c>
      <c r="E109" s="107" t="s">
        <v>13</v>
      </c>
      <c r="F109" s="106">
        <v>1</v>
      </c>
      <c r="G109" s="106"/>
      <c r="H109" s="108" t="s">
        <v>15</v>
      </c>
      <c r="I109" s="203" t="e" cm="1">
        <f t="array" aca="1" ref="I109" ca="1">SUMIFS(rng_out_rx_pre_yr1,rng_out_sel_excl_yr_ind, "",rng_out_sel_G_ind,I$1,rng_out_mail_ind,$B109,rng_out_ds,$C109,rng_out_sel_sp_ind,$D109,rng_out_sel_excl_ind,$E109)+
SUMIFS(rng_out_rx_pre_yr1,rng_out_sel_excl_yr_ind, [1]Tables!$HN$4,rng_out_sel_G_ind,I$1,rng_out_mail_ind,$B109,rng_out_ds,$C109,rng_out_sel_sp_ind,$D109,rng_out_sel_excl_ind,$E109)* _xlfn.XLOOKUP([1]Tables!$HN$4,'[1]RA Output'!$AY$4:$AY$5,'[1]RA Output'!AZ$4:AZ$5,0)  +
SUMIFS(rng_out_rx_pre_yr1,rng_out_sel_excl_yr_ind, [1]Tables!$HN$5,rng_out_sel_G_ind,I$1,rng_out_mail_ind,$B109,rng_out_ds,$C109,rng_out_sel_sp_ind,$D109,rng_out_sel_excl_ind,$E109)* _xlfn.XLOOKUP([1]Tables!$HN$5,'[1]RA Output'!$AY$4:$AY$5,'[1]RA Output'!AZ$4:AZ$5,0) +
IF($E$112="N",0,SUMIFS(rng_out_rx_pre_yr1, rng_out_sel_G_ind, I$1, rng_out_mail_ind, $B109, rng_out_ds, $C109, rng_out_sel_sp_ind, $D109, rng_out_sel_excl_ind,"N", rng_out_post_reb_ind_yr1, 0))</f>
        <v>#VALUE!</v>
      </c>
      <c r="J109" s="195" t="e" cm="1">
        <f t="array" aca="1" ref="J109" ca="1">SUMIFS(rng_out_rx_pre_yr2,rng_out_sel_excl_yr_ind, "",rng_out_sel_G_ind,J$1,rng_out_mail_ind,$B109,rng_out_ds,$C109,rng_out_sel_sp_ind,$D109,rng_out_sel_excl_ind,$E109)+
SUMIFS(rng_out_rx_pre_yr2,rng_out_sel_excl_yr_ind, [1]Tables!$HN$4,rng_out_sel_G_ind,J$1,rng_out_mail_ind,$B109,rng_out_ds,$C109,rng_out_sel_sp_ind,$D109,rng_out_sel_excl_ind,$E109)* _xlfn.XLOOKUP([1]Tables!$HN$4,'[1]RA Output'!$AY$4:$AY$5,'[1]RA Output'!BA$4:BA$5,0)  +
SUMIFS(rng_out_rx_pre_yr2,rng_out_sel_excl_yr_ind, [1]Tables!$HN$5,rng_out_sel_G_ind,J$1,rng_out_mail_ind,$B109,rng_out_ds,$C109,rng_out_sel_sp_ind,$D109,rng_out_sel_excl_ind,$E109)* _xlfn.XLOOKUP([1]Tables!$HN$5,'[1]RA Output'!$AY$4:$AY$5,'[1]RA Output'!BA$4:BA$5,0) +
IF($E$112="N",0,SUMIFS(rng_out_rx_pre_yr2, rng_out_sel_G_ind, J$1, rng_out_mail_ind, $B109, rng_out_ds, $C109, rng_out_sel_sp_ind, $D109, rng_out_sel_excl_ind,"N", rng_out_post_reb_ind_yr2, 0))</f>
        <v>#VALUE!</v>
      </c>
      <c r="K109" s="195" t="e" cm="1">
        <f t="array" aca="1" ref="K109" ca="1">SUMIFS(rng_out_rx_pre_yr3,rng_out_sel_excl_yr_ind, "",rng_out_sel_G_ind,K$1,rng_out_mail_ind,$B109,rng_out_ds,$C109,rng_out_sel_sp_ind,$D109,rng_out_sel_excl_ind,$E109)+
SUMIFS(rng_out_rx_pre_yr3,rng_out_sel_excl_yr_ind, [1]Tables!$HN$4,rng_out_sel_G_ind,K$1,rng_out_mail_ind,$B109,rng_out_ds,$C109,rng_out_sel_sp_ind,$D109,rng_out_sel_excl_ind,$E109)* _xlfn.XLOOKUP([1]Tables!$HN$4,'[1]RA Output'!$AY$4:$AY$5,'[1]RA Output'!BB$4:BB$5,0)  +
SUMIFS(rng_out_rx_pre_yr3,rng_out_sel_excl_yr_ind, [1]Tables!$HN$5,rng_out_sel_G_ind,K$1,rng_out_mail_ind,$B109,rng_out_ds,$C109,rng_out_sel_sp_ind,$D109,rng_out_sel_excl_ind,$E109)* _xlfn.XLOOKUP([1]Tables!$HN$5,'[1]RA Output'!$AY$4:$AY$5,'[1]RA Output'!BB$4:BB$5,0) +
IF($E$112="N",0,SUMIFS(rng_out_rx_pre_yr3, rng_out_sel_G_ind, K$1, rng_out_mail_ind, $B109, rng_out_ds, $C109, rng_out_sel_sp_ind, $D109, rng_out_sel_excl_ind,"N", rng_out_post_reb_ind_yr3, 0))</f>
        <v>#VALUE!</v>
      </c>
      <c r="L109" s="195" t="e" cm="1">
        <f t="array" aca="1" ref="L109" ca="1">SUMIFS(rng_out_rx_pre_yr4,rng_out_sel_excl_yr_ind, "",rng_out_sel_G_ind,L$1,rng_out_mail_ind,$B109,rng_out_ds,$C109,rng_out_sel_sp_ind,$D109,rng_out_sel_excl_ind,$E109)+
SUMIFS(rng_out_rx_pre_yr4,rng_out_sel_excl_yr_ind, [1]Tables!$HN$4,rng_out_sel_G_ind,L$1,rng_out_mail_ind,$B109,rng_out_ds,$C109,rng_out_sel_sp_ind,$D109,rng_out_sel_excl_ind,$E109)* _xlfn.XLOOKUP([1]Tables!$HN$4,'[1]RA Output'!$AY$4:$AY$5,'[1]RA Output'!BC$4:BC$5,0)  +
SUMIFS(rng_out_rx_pre_yr4,rng_out_sel_excl_yr_ind, [1]Tables!$HN$5,rng_out_sel_G_ind,L$1,rng_out_mail_ind,$B109,rng_out_ds,$C109,rng_out_sel_sp_ind,$D109,rng_out_sel_excl_ind,$E109)* _xlfn.XLOOKUP([1]Tables!$HN$5,'[1]RA Output'!$AY$4:$AY$5,'[1]RA Output'!BC$4:BC$5,0) +
IF($E$112="N",0,SUMIFS(rng_out_rx_pre_yr4, rng_out_sel_G_ind, L$1, rng_out_mail_ind, $B109, rng_out_ds, $C109, rng_out_sel_sp_ind, $D109, rng_out_sel_excl_ind,"N", rng_out_post_reb_ind_yr4, 0))</f>
        <v>#VALUE!</v>
      </c>
      <c r="M109" s="204" t="e" cm="1">
        <f t="array" aca="1" ref="M109" ca="1">SUMIFS(rng_out_rx_pre_yr5,rng_out_sel_excl_yr_ind, "",rng_out_sel_G_ind,M$1,rng_out_mail_ind,$B109,rng_out_ds,$C109,rng_out_sel_sp_ind,$D109,rng_out_sel_excl_ind,$E109)+
SUMIFS(rng_out_rx_pre_yr5,rng_out_sel_excl_yr_ind, [1]Tables!$HN$4,rng_out_sel_G_ind,M$1,rng_out_mail_ind,$B109,rng_out_ds,$C109,rng_out_sel_sp_ind,$D109,rng_out_sel_excl_ind,$E109)* _xlfn.XLOOKUP([1]Tables!$HN$4,'[1]RA Output'!$AY$4:$AY$5,'[1]RA Output'!BD$4:BD$5,0)  +
SUMIFS(rng_out_rx_pre_yr5,rng_out_sel_excl_yr_ind, [1]Tables!$HN$5,rng_out_sel_G_ind,M$1,rng_out_mail_ind,$B109,rng_out_ds,$C109,rng_out_sel_sp_ind,$D109,rng_out_sel_excl_ind,$E109)* _xlfn.XLOOKUP([1]Tables!$HN$5,'[1]RA Output'!$AY$4:$AY$5,'[1]RA Output'!BD$4:BD$5,0) +
IF($E$112="N",0,SUMIFS(rng_out_rx_pre_yr5, rng_out_sel_G_ind, M$1, rng_out_mail_ind, $B109, rng_out_ds, $C109, rng_out_sel_sp_ind, $D109, rng_out_sel_excl_ind,"N", rng_out_post_reb_ind_yr5, 0))</f>
        <v>#VALUE!</v>
      </c>
      <c r="N109" s="203" t="e" cm="1">
        <f t="array" aca="1" ref="N109" ca="1">SUMIFS(rng_out_rx_pre_yr1,rng_out_sel_excl_yr_ind, "",rng_out_sel_G_ind,N$1,rng_out_mail_ind,$B109,rng_out_ds,$C109,rng_out_sel_sp_ind,$D109,rng_out_sel_excl_ind,$E109)+
SUMIFS(rng_out_rx_pre_yr1,rng_out_sel_excl_yr_ind, [1]Tables!$HN$4,rng_out_sel_G_ind,N$1,rng_out_mail_ind,$B109,rng_out_ds,$C109,rng_out_sel_sp_ind,$D109,rng_out_sel_excl_ind,$E109)* _xlfn.XLOOKUP([1]Tables!$HN$4,'[1]RA Output'!$AY$4:$AY$5,'[1]RA Output'!AZ$4:AZ$5,0)  +
SUMIFS(rng_out_rx_pre_yr1,rng_out_sel_excl_yr_ind, [1]Tables!$HN$5,rng_out_sel_G_ind,N$1,rng_out_mail_ind,$B109,rng_out_ds,$C109,rng_out_sel_sp_ind,$D109,rng_out_sel_excl_ind,$E109)* _xlfn.XLOOKUP([1]Tables!$HN$5,'[1]RA Output'!$AY$4:$AY$5,'[1]RA Output'!AZ$4:AZ$5,0) +
IF($E$112="N",0,SUMIFS(rng_out_rx_pre_yr1, rng_out_sel_G_ind, N$1, rng_out_mail_ind, $B109, rng_out_ds, $C109, rng_out_sel_sp_ind, $D109, rng_out_sel_excl_ind,"N", rng_out_post_reb_ind_yr1, 0))</f>
        <v>#VALUE!</v>
      </c>
      <c r="O109" s="195" t="e" cm="1">
        <f t="array" aca="1" ref="O109" ca="1">SUMIFS(rng_out_rx_pre_yr2,rng_out_sel_excl_yr_ind, "",rng_out_sel_G_ind,O$1,rng_out_mail_ind,$B109,rng_out_ds,$C109,rng_out_sel_sp_ind,$D109,rng_out_sel_excl_ind,$E109)+
SUMIFS(rng_out_rx_pre_yr2,rng_out_sel_excl_yr_ind, [1]Tables!$HN$4,rng_out_sel_G_ind,O$1,rng_out_mail_ind,$B109,rng_out_ds,$C109,rng_out_sel_sp_ind,$D109,rng_out_sel_excl_ind,$E109)* _xlfn.XLOOKUP([1]Tables!$HN$4,'[1]RA Output'!$AY$4:$AY$5,'[1]RA Output'!BA$4:BA$5,0)  +
SUMIFS(rng_out_rx_pre_yr2,rng_out_sel_excl_yr_ind, [1]Tables!$HN$5,rng_out_sel_G_ind,O$1,rng_out_mail_ind,$B109,rng_out_ds,$C109,rng_out_sel_sp_ind,$D109,rng_out_sel_excl_ind,$E109)* _xlfn.XLOOKUP([1]Tables!$HN$5,'[1]RA Output'!$AY$4:$AY$5,'[1]RA Output'!BA$4:BA$5,0) +
IF($E$112="N",0,SUMIFS(rng_out_rx_pre_yr2, rng_out_sel_G_ind, O$1, rng_out_mail_ind, $B109, rng_out_ds, $C109, rng_out_sel_sp_ind, $D109, rng_out_sel_excl_ind,"N", rng_out_post_reb_ind_yr2, 0))</f>
        <v>#VALUE!</v>
      </c>
      <c r="P109" s="195" t="e" cm="1">
        <f t="array" aca="1" ref="P109" ca="1">SUMIFS(rng_out_rx_pre_yr3,rng_out_sel_excl_yr_ind, "",rng_out_sel_G_ind,P$1,rng_out_mail_ind,$B109,rng_out_ds,$C109,rng_out_sel_sp_ind,$D109,rng_out_sel_excl_ind,$E109)+
SUMIFS(rng_out_rx_pre_yr3,rng_out_sel_excl_yr_ind, [1]Tables!$HN$4,rng_out_sel_G_ind,P$1,rng_out_mail_ind,$B109,rng_out_ds,$C109,rng_out_sel_sp_ind,$D109,rng_out_sel_excl_ind,$E109)* _xlfn.XLOOKUP([1]Tables!$HN$4,'[1]RA Output'!$AY$4:$AY$5,'[1]RA Output'!BB$4:BB$5,0)  +
SUMIFS(rng_out_rx_pre_yr3,rng_out_sel_excl_yr_ind, [1]Tables!$HN$5,rng_out_sel_G_ind,P$1,rng_out_mail_ind,$B109,rng_out_ds,$C109,rng_out_sel_sp_ind,$D109,rng_out_sel_excl_ind,$E109)* _xlfn.XLOOKUP([1]Tables!$HN$5,'[1]RA Output'!$AY$4:$AY$5,'[1]RA Output'!BB$4:BB$5,0) +
IF($E$112="N",0,SUMIFS(rng_out_rx_pre_yr3, rng_out_sel_G_ind, P$1, rng_out_mail_ind, $B109, rng_out_ds, $C109, rng_out_sel_sp_ind, $D109, rng_out_sel_excl_ind,"N", rng_out_post_reb_ind_yr3, 0))</f>
        <v>#VALUE!</v>
      </c>
      <c r="Q109" s="195" t="e" cm="1">
        <f t="array" aca="1" ref="Q109" ca="1">SUMIFS(rng_out_rx_pre_yr4,rng_out_sel_excl_yr_ind, "",rng_out_sel_G_ind,Q$1,rng_out_mail_ind,$B109,rng_out_ds,$C109,rng_out_sel_sp_ind,$D109,rng_out_sel_excl_ind,$E109)+
SUMIFS(rng_out_rx_pre_yr4,rng_out_sel_excl_yr_ind, [1]Tables!$HN$4,rng_out_sel_G_ind,Q$1,rng_out_mail_ind,$B109,rng_out_ds,$C109,rng_out_sel_sp_ind,$D109,rng_out_sel_excl_ind,$E109)* _xlfn.XLOOKUP([1]Tables!$HN$4,'[1]RA Output'!$AY$4:$AY$5,'[1]RA Output'!BC$4:BC$5,0)  +
SUMIFS(rng_out_rx_pre_yr4,rng_out_sel_excl_yr_ind, [1]Tables!$HN$5,rng_out_sel_G_ind,Q$1,rng_out_mail_ind,$B109,rng_out_ds,$C109,rng_out_sel_sp_ind,$D109,rng_out_sel_excl_ind,$E109)* _xlfn.XLOOKUP([1]Tables!$HN$5,'[1]RA Output'!$AY$4:$AY$5,'[1]RA Output'!BC$4:BC$5,0) +
IF($E$112="N",0,SUMIFS(rng_out_rx_pre_yr4, rng_out_sel_G_ind, Q$1, rng_out_mail_ind, $B109, rng_out_ds, $C109, rng_out_sel_sp_ind, $D109, rng_out_sel_excl_ind,"N", rng_out_post_reb_ind_yr4, 0))</f>
        <v>#VALUE!</v>
      </c>
      <c r="R109" s="204" t="e" cm="1">
        <f t="array" aca="1" ref="R109" ca="1">SUMIFS(rng_out_rx_pre_yr5,rng_out_sel_excl_yr_ind, "",rng_out_sel_G_ind,R$1,rng_out_mail_ind,$B109,rng_out_ds,$C109,rng_out_sel_sp_ind,$D109,rng_out_sel_excl_ind,$E109)+
SUMIFS(rng_out_rx_pre_yr5,rng_out_sel_excl_yr_ind, [1]Tables!$HN$4,rng_out_sel_G_ind,R$1,rng_out_mail_ind,$B109,rng_out_ds,$C109,rng_out_sel_sp_ind,$D109,rng_out_sel_excl_ind,$E109)* _xlfn.XLOOKUP([1]Tables!$HN$4,'[1]RA Output'!$AY$4:$AY$5,'[1]RA Output'!BD$4:BD$5,0)  +
SUMIFS(rng_out_rx_pre_yr5,rng_out_sel_excl_yr_ind, [1]Tables!$HN$5,rng_out_sel_G_ind,R$1,rng_out_mail_ind,$B109,rng_out_ds,$C109,rng_out_sel_sp_ind,$D109,rng_out_sel_excl_ind,$E109)* _xlfn.XLOOKUP([1]Tables!$HN$5,'[1]RA Output'!$AY$4:$AY$5,'[1]RA Output'!BD$4:BD$5,0) +
IF($E$112="N",0,SUMIFS(rng_out_rx_pre_yr5, rng_out_sel_G_ind, R$1, rng_out_mail_ind, $B109, rng_out_ds, $C109, rng_out_sel_sp_ind, $D109, rng_out_sel_excl_ind,"N", rng_out_post_reb_ind_yr5, 0))</f>
        <v>#VALUE!</v>
      </c>
      <c r="S109" s="205" t="e">
        <f t="shared" ca="1" si="90"/>
        <v>#VALUE!</v>
      </c>
      <c r="T109" s="206" t="e">
        <f t="shared" ca="1" si="90"/>
        <v>#VALUE!</v>
      </c>
      <c r="U109" s="206" t="e">
        <f t="shared" ca="1" si="90"/>
        <v>#VALUE!</v>
      </c>
      <c r="V109" s="206" t="e">
        <f t="shared" ca="1" si="90"/>
        <v>#VALUE!</v>
      </c>
      <c r="W109" s="207" t="e">
        <f t="shared" ca="1" si="90"/>
        <v>#VALUE!</v>
      </c>
      <c r="Y109" s="109" t="s">
        <v>15</v>
      </c>
      <c r="Z109" s="208">
        <f ca="1">IFERROR(I109/[1]Tables!$AT$4, 0)</f>
        <v>0</v>
      </c>
      <c r="AA109" s="206">
        <f ca="1">IFERROR(J109/[1]Tables!$AT$4, 0)</f>
        <v>0</v>
      </c>
      <c r="AB109" s="206">
        <f ca="1">IFERROR(K109/[1]Tables!$AT$4, 0)</f>
        <v>0</v>
      </c>
      <c r="AC109" s="206">
        <f ca="1">IFERROR(L109/[1]Tables!$AT$4, 0)</f>
        <v>0</v>
      </c>
      <c r="AD109" s="209">
        <f ca="1">IFERROR(M109/[1]Tables!$AT$4, 0)</f>
        <v>0</v>
      </c>
      <c r="AE109" s="208">
        <f ca="1">IFERROR(N109/[1]Tables!$AT$4, 0)</f>
        <v>0</v>
      </c>
      <c r="AF109" s="206">
        <f ca="1">IFERROR(O109/[1]Tables!$AT$4, 0)</f>
        <v>0</v>
      </c>
      <c r="AG109" s="206">
        <f ca="1">IFERROR(P109/[1]Tables!$AT$4, 0)</f>
        <v>0</v>
      </c>
      <c r="AH109" s="206">
        <f ca="1">IFERROR(Q109/[1]Tables!$AT$4, 0)</f>
        <v>0</v>
      </c>
      <c r="AI109" s="209">
        <f ca="1">IFERROR(R109/[1]Tables!$AT$4, 0)</f>
        <v>0</v>
      </c>
      <c r="AJ109" s="208">
        <f t="shared" ca="1" si="91"/>
        <v>0</v>
      </c>
      <c r="AK109" s="206">
        <f t="shared" ca="1" si="91"/>
        <v>0</v>
      </c>
      <c r="AL109" s="206">
        <f t="shared" ca="1" si="91"/>
        <v>0</v>
      </c>
      <c r="AM109" s="206">
        <f t="shared" ca="1" si="91"/>
        <v>0</v>
      </c>
      <c r="AN109" s="209">
        <f t="shared" ca="1" si="91"/>
        <v>0</v>
      </c>
      <c r="AP109" s="110" t="s">
        <v>15</v>
      </c>
      <c r="AQ109" s="210" t="e" cm="1">
        <f t="array" aca="1" ref="AQ109" ca="1">IF($E$112="N",
IFERROR(IF(OR(input_Shift="No", [1]Tables!$BN$4=1), 0, (SUMIFS(rng_out_rx_post_yr1,rng_out_sel_excl_yr_ind, "",rng_out_sel_G_ind,N$1,rng_out_mail_ind,$B109,rng_out_ds,$C109,rng_out_sel_sp_ind,$D109,rng_out_sel_excl_ind,$E109, rng_out_MSB_excl, $F109)+SUMIFS(rng_out_rx_post_yr1,rng_out_sel_excl_yr_ind, [1]Tables!$HN$4,rng_out_sel_G_ind,N$1,rng_out_mail_ind,$B109,rng_out_ds,$C109,rng_out_sel_sp_ind,$D109,rng_out_sel_excl_ind,$E109, rng_out_MSB_excl, $F109)* _xlfn.XLOOKUP([1]Tables!$HN$4,'[1]RA Output'!$AY$4:$AY$5,'[1]RA Output'!AZ$4:AZ$5,0)  +SUMIFS(rng_out_rx_post_yr1,rng_out_sel_excl_yr_ind, [1]Tables!$HN$5,rng_out_sel_G_ind,N$1,rng_out_mail_ind,$B109,rng_out_ds,$C109,rng_out_sel_sp_ind,$D109,rng_out_sel_excl_ind,$E109, rng_out_MSB_excl, $F109)* _xlfn.XLOOKUP([1]Tables!$HN$5,'[1]RA Output'!$AY$4:$AY$5,'[1]RA Output'!AZ$4:AZ$5,0))/[1]Tables!$BN$4*(1-[1]Tables!$BN$4)), 0) +
SUMIFS(rng_out_rx_post_yr1,rng_out_sel_excl_yr_ind, "",rng_out_sel_G_ind,I$1,rng_out_mail_ind,$B109,rng_out_ds,$C109,rng_out_sel_sp_ind,$D109,rng_out_sel_excl_ind,$E109)+SUMIFS(rng_out_rx_post_yr1,rng_out_sel_excl_yr_ind, [1]Tables!$HN$4,rng_out_sel_G_ind,I$1,rng_out_mail_ind,$B109,rng_out_ds,$C109,rng_out_sel_sp_ind,$D109,rng_out_sel_excl_ind,$E109)* _xlfn.XLOOKUP([1]Tables!$HN$4,'[1]RA Output'!$AY$4:$AY$5,'[1]RA Output'!AZ$4:AZ$5,0)  +SUMIFS(rng_out_rx_post_yr1,rng_out_sel_excl_yr_ind, [1]Tables!$HN$5,rng_out_sel_G_ind,I$1,rng_out_mail_ind,$B109,rng_out_ds,$C109,rng_out_sel_sp_ind,$D109,rng_out_sel_excl_ind,$E109)* _xlfn.XLOOKUP([1]Tables!$HN$5,'[1]RA Output'!$AY$4:$AY$5,'[1]RA Output'!AZ$4:AZ$5,0),
IFERROR(IF(OR(input_Shift="No", [1]Tables!$BN$4=1), 0, (SUMIFS(rng_out_rx_post_yr1,rng_out_sel_excl_yr_ind, "",rng_out_sel_G_ind,N$1,rng_out_mail_ind,$B109,rng_out_ds,$C109,rng_out_sel_sp_ind,$D109,rng_out_sel_excl_ind,$E109, rng_out_MSB_excl, $F109)+SUMIFS(rng_out_rx_post_yr1,rng_out_sel_excl_yr_ind, [1]Tables!$HN$4,rng_out_sel_G_ind,N$1,rng_out_mail_ind,$B109,rng_out_ds,$C109,rng_out_sel_sp_ind,$D109,rng_out_sel_excl_ind,$E109, rng_out_MSB_excl, $F109)* _xlfn.XLOOKUP([1]Tables!$HN$4,'[1]RA Output'!$AY$4:$AY$5,'[1]RA Output'!AZ$4:AZ$5,0)  +SUMIFS(rng_out_rx_post_yr1,rng_out_sel_excl_yr_ind, [1]Tables!$HN$5,rng_out_sel_G_ind,N$1,rng_out_mail_ind,$B109,rng_out_ds,$C109,rng_out_sel_sp_ind,$D109,rng_out_sel_excl_ind,$E109, rng_out_MSB_excl, $F109)* _xlfn.XLOOKUP([1]Tables!$HN$5,'[1]RA Output'!$AY$4:$AY$5,'[1]RA Output'!AZ$4:AZ$5,0) + SUMIFS(rng_out_rx_post_yr1, rng_out_mail_ind, $B109, rng_out_sel_G_ind,"B", rng_out_ds, $C109, rng_out_sel_sp_ind, $D109, rng_out_sel_excl_ind,"N", rng_out_MSB_excl, $F109, rng_out_post_reb_ind_yr1, 0))/[1]Tables!$BN$4*(1-[1]Tables!$BN$4)), 0) +
IFERROR(SUMIFS(rng_out_rx_post_yr1, rng_out_sel_G_ind, "G", rng_out_mail_ind, $B109, rng_out_ds, $C109, rng_out_sel_sp_ind, $D109, rng_out_sel_excl_ind,"N", rng_out_post_reb_ind_yr1, 0) +
SUMIFS(rng_out_rx_post_yr1,rng_out_sel_excl_yr_ind, "",rng_out_sel_G_ind,I$1,rng_out_mail_ind,$B109,rng_out_ds,$C109,rng_out_sel_sp_ind,$D109,rng_out_sel_excl_ind,$E109)+SUMIFS(rng_out_rx_post_yr1,rng_out_sel_excl_yr_ind, [1]Tables!$HN$4,rng_out_sel_G_ind,I$1,rng_out_mail_ind,$B109,rng_out_ds,$C109,rng_out_sel_sp_ind,$D109,rng_out_sel_excl_ind,$E109)* _xlfn.XLOOKUP([1]Tables!$HN$4,'[1]RA Output'!$AY$4:$AY$5,'[1]RA Output'!AZ$4:AZ$5,0)  +SUMIFS(rng_out_rx_post_yr1,rng_out_sel_excl_yr_ind, [1]Tables!$HN$5,rng_out_sel_G_ind,I$1,rng_out_mail_ind,$B109,rng_out_ds,$C109,rng_out_sel_sp_ind,$D109,rng_out_sel_excl_ind,$E109)* _xlfn.XLOOKUP([1]Tables!$HN$5,'[1]RA Output'!$AY$4:$AY$5,'[1]RA Output'!AZ$4:AZ$5,0), 0))/[1]Tables!$AT$4</f>
        <v>#VALUE!</v>
      </c>
      <c r="AR109" s="195" t="e" cm="1">
        <f t="array" aca="1" ref="AR109" ca="1">IF($E$112="N",
IFERROR(IF(OR(input_Shift="No", [1]Tables!$BN$4=1), 0, (SUMIFS(rng_out_rx_post_yr2,rng_out_sel_excl_yr_ind, "",rng_out_sel_G_ind,O$1,rng_out_mail_ind,$B109,rng_out_ds,$C109,rng_out_sel_sp_ind,$D109,rng_out_sel_excl_ind,$E109, rng_out_MSB_excl, $F109)+SUMIFS(rng_out_rx_post_yr2,rng_out_sel_excl_yr_ind, [1]Tables!$HN$4,rng_out_sel_G_ind,O$1,rng_out_mail_ind,$B109,rng_out_ds,$C109,rng_out_sel_sp_ind,$D109,rng_out_sel_excl_ind,$E109, rng_out_MSB_excl, $F109)* _xlfn.XLOOKUP([1]Tables!$HN$4,'[1]RA Output'!$AY$4:$AY$5,'[1]RA Output'!BA$4:BA$5,0)  +SUMIFS(rng_out_rx_post_yr2,rng_out_sel_excl_yr_ind, [1]Tables!$HN$5,rng_out_sel_G_ind,O$1,rng_out_mail_ind,$B109,rng_out_ds,$C109,rng_out_sel_sp_ind,$D109,rng_out_sel_excl_ind,$E109, rng_out_MSB_excl, $F109)* _xlfn.XLOOKUP([1]Tables!$HN$5,'[1]RA Output'!$AY$4:$AY$5,'[1]RA Output'!BA$4:BA$5,0))/[1]Tables!$BN$4*(1-[1]Tables!$BN$4)), 0) +
SUMIFS(rng_out_rx_post_yr2,rng_out_sel_excl_yr_ind, "",rng_out_sel_G_ind,J$1,rng_out_mail_ind,$B109,rng_out_ds,$C109,rng_out_sel_sp_ind,$D109,rng_out_sel_excl_ind,$E109)+SUMIFS(rng_out_rx_post_yr2,rng_out_sel_excl_yr_ind, [1]Tables!$HN$4,rng_out_sel_G_ind,J$1,rng_out_mail_ind,$B109,rng_out_ds,$C109,rng_out_sel_sp_ind,$D109,rng_out_sel_excl_ind,$E109)* _xlfn.XLOOKUP([1]Tables!$HN$4,'[1]RA Output'!$AY$4:$AY$5,'[1]RA Output'!BA$4:BA$5,0)  +SUMIFS(rng_out_rx_post_yr2,rng_out_sel_excl_yr_ind, [1]Tables!$HN$5,rng_out_sel_G_ind,J$1,rng_out_mail_ind,$B109,rng_out_ds,$C109,rng_out_sel_sp_ind,$D109,rng_out_sel_excl_ind,$E109)* _xlfn.XLOOKUP([1]Tables!$HN$5,'[1]RA Output'!$AY$4:$AY$5,'[1]RA Output'!BA$4:BA$5,0),
IFERROR(IF(OR(input_Shift="No", [1]Tables!$BN$4=1), 0, (SUMIFS(rng_out_rx_post_yr2,rng_out_sel_excl_yr_ind, "",rng_out_sel_G_ind,O$1,rng_out_mail_ind,$B109,rng_out_ds,$C109,rng_out_sel_sp_ind,$D109,rng_out_sel_excl_ind,$E109, rng_out_MSB_excl, $F109)+SUMIFS(rng_out_rx_post_yr2,rng_out_sel_excl_yr_ind, [1]Tables!$HN$4,rng_out_sel_G_ind,O$1,rng_out_mail_ind,$B109,rng_out_ds,$C109,rng_out_sel_sp_ind,$D109,rng_out_sel_excl_ind,$E109, rng_out_MSB_excl, $F109)* _xlfn.XLOOKUP([1]Tables!$HN$4,'[1]RA Output'!$AY$4:$AY$5,'[1]RA Output'!BA$4:BA$5,0)  +SUMIFS(rng_out_rx_post_yr2,rng_out_sel_excl_yr_ind, [1]Tables!$HN$5,rng_out_sel_G_ind,O$1,rng_out_mail_ind,$B109,rng_out_ds,$C109,rng_out_sel_sp_ind,$D109,rng_out_sel_excl_ind,$E109, rng_out_MSB_excl, $F109)* _xlfn.XLOOKUP([1]Tables!$HN$5,'[1]RA Output'!$AY$4:$AY$5,'[1]RA Output'!BA$4:BA$5,0) + SUMIFS(rng_out_rx_post_yr2, rng_out_mail_ind, $B109, rng_out_sel_G_ind,"B", rng_out_ds, $C109, rng_out_sel_sp_ind, $D109, rng_out_sel_excl_ind,"N", rng_out_MSB_excl, $F109, rng_out_post_reb_ind_yr2, 0))/[1]Tables!$BN$4*(1-[1]Tables!$BN$4)), 0) +
IFERROR(SUMIFS(rng_out_rx_post_yr2, rng_out_sel_G_ind, "G", rng_out_mail_ind, $B109, rng_out_ds, $C109, rng_out_sel_sp_ind, $D109, rng_out_sel_excl_ind,"N", rng_out_post_reb_ind_yr2, 0) +
SUMIFS(rng_out_rx_post_yr2,rng_out_sel_excl_yr_ind, "",rng_out_sel_G_ind,J$1,rng_out_mail_ind,$B109,rng_out_ds,$C109,rng_out_sel_sp_ind,$D109,rng_out_sel_excl_ind,$E109)+SUMIFS(rng_out_rx_post_yr2,rng_out_sel_excl_yr_ind, [1]Tables!$HN$4,rng_out_sel_G_ind,J$1,rng_out_mail_ind,$B109,rng_out_ds,$C109,rng_out_sel_sp_ind,$D109,rng_out_sel_excl_ind,$E109)* _xlfn.XLOOKUP([1]Tables!$HN$4,'[1]RA Output'!$AY$4:$AY$5,'[1]RA Output'!BA$4:BA$5,0)  +SUMIFS(rng_out_rx_post_yr2,rng_out_sel_excl_yr_ind, [1]Tables!$HN$5,rng_out_sel_G_ind,J$1,rng_out_mail_ind,$B109,rng_out_ds,$C109,rng_out_sel_sp_ind,$D109,rng_out_sel_excl_ind,$E109)* _xlfn.XLOOKUP([1]Tables!$HN$5,'[1]RA Output'!$AY$4:$AY$5,'[1]RA Output'!BA$4:BA$5,0), 0))/[1]Tables!$AT$4</f>
        <v>#VALUE!</v>
      </c>
      <c r="AS109" s="195" t="e" cm="1">
        <f t="array" aca="1" ref="AS109" ca="1">IF($E$112="N",
IFERROR(IF(OR(input_Shift="No", [1]Tables!$BN$4=1), 0, (SUMIFS(rng_out_rx_post_yr3,rng_out_sel_excl_yr_ind, "",rng_out_sel_G_ind,P$1,rng_out_mail_ind,$B109,rng_out_ds,$C109,rng_out_sel_sp_ind,$D109,rng_out_sel_excl_ind,$E109, rng_out_MSB_excl, $F109)+SUMIFS(rng_out_rx_post_yr3,rng_out_sel_excl_yr_ind, [1]Tables!$HN$4,rng_out_sel_G_ind,P$1,rng_out_mail_ind,$B109,rng_out_ds,$C109,rng_out_sel_sp_ind,$D109,rng_out_sel_excl_ind,$E109, rng_out_MSB_excl, $F109)* _xlfn.XLOOKUP([1]Tables!$HN$4,'[1]RA Output'!$AY$4:$AY$5,'[1]RA Output'!BB$4:BB$5,0)  +SUMIFS(rng_out_rx_post_yr3,rng_out_sel_excl_yr_ind, [1]Tables!$HN$5,rng_out_sel_G_ind,P$1,rng_out_mail_ind,$B109,rng_out_ds,$C109,rng_out_sel_sp_ind,$D109,rng_out_sel_excl_ind,$E109, rng_out_MSB_excl, $F109)* _xlfn.XLOOKUP([1]Tables!$HN$5,'[1]RA Output'!$AY$4:$AY$5,'[1]RA Output'!BB$4:BB$5,0))/[1]Tables!$BN$4*(1-[1]Tables!$BN$4)), 0) +
SUMIFS(rng_out_rx_post_yr3,rng_out_sel_excl_yr_ind, "",rng_out_sel_G_ind,K$1,rng_out_mail_ind,$B109,rng_out_ds,$C109,rng_out_sel_sp_ind,$D109,rng_out_sel_excl_ind,$E109)+SUMIFS(rng_out_rx_post_yr3,rng_out_sel_excl_yr_ind, [1]Tables!$HN$4,rng_out_sel_G_ind,K$1,rng_out_mail_ind,$B109,rng_out_ds,$C109,rng_out_sel_sp_ind,$D109,rng_out_sel_excl_ind,$E109)* _xlfn.XLOOKUP([1]Tables!$HN$4,'[1]RA Output'!$AY$4:$AY$5,'[1]RA Output'!BB$4:BB$5,0)  +SUMIFS(rng_out_rx_post_yr3,rng_out_sel_excl_yr_ind, [1]Tables!$HN$5,rng_out_sel_G_ind,K$1,rng_out_mail_ind,$B109,rng_out_ds,$C109,rng_out_sel_sp_ind,$D109,rng_out_sel_excl_ind,$E109)* _xlfn.XLOOKUP([1]Tables!$HN$5,'[1]RA Output'!$AY$4:$AY$5,'[1]RA Output'!BB$4:BB$5,0),
IFERROR(IF(OR(input_Shift="No", [1]Tables!$BN$4=1), 0, (SUMIFS(rng_out_rx_post_yr3,rng_out_sel_excl_yr_ind, "",rng_out_sel_G_ind,P$1,rng_out_mail_ind,$B109,rng_out_ds,$C109,rng_out_sel_sp_ind,$D109,rng_out_sel_excl_ind,$E109, rng_out_MSB_excl, $F109)+SUMIFS(rng_out_rx_post_yr3,rng_out_sel_excl_yr_ind, [1]Tables!$HN$4,rng_out_sel_G_ind,P$1,rng_out_mail_ind,$B109,rng_out_ds,$C109,rng_out_sel_sp_ind,$D109,rng_out_sel_excl_ind,$E109, rng_out_MSB_excl, $F109)* _xlfn.XLOOKUP([1]Tables!$HN$4,'[1]RA Output'!$AY$4:$AY$5,'[1]RA Output'!BB$4:BB$5,0)  +SUMIFS(rng_out_rx_post_yr3,rng_out_sel_excl_yr_ind, [1]Tables!$HN$5,rng_out_sel_G_ind,P$1,rng_out_mail_ind,$B109,rng_out_ds,$C109,rng_out_sel_sp_ind,$D109,rng_out_sel_excl_ind,$E109, rng_out_MSB_excl, $F109)* _xlfn.XLOOKUP([1]Tables!$HN$5,'[1]RA Output'!$AY$4:$AY$5,'[1]RA Output'!BB$4:BB$5,0) + SUMIFS(rng_out_rx_post_yr3, rng_out_mail_ind, $B109, rng_out_sel_G_ind,"B", rng_out_ds, $C109, rng_out_sel_sp_ind, $D109, rng_out_sel_excl_ind,"N", rng_out_MSB_excl, $F109, rng_out_post_reb_ind_yr3, 0))/[1]Tables!$BN$4*(1-[1]Tables!$BN$4)), 0) +
IFERROR(SUMIFS(rng_out_rx_post_yr3, rng_out_sel_G_ind, "G", rng_out_mail_ind, $B109, rng_out_ds, $C109, rng_out_sel_sp_ind, $D109, rng_out_sel_excl_ind,"N", rng_out_post_reb_ind_yr3, 0) +
SUMIFS(rng_out_rx_post_yr3,rng_out_sel_excl_yr_ind, "",rng_out_sel_G_ind,K$1,rng_out_mail_ind,$B109,rng_out_ds,$C109,rng_out_sel_sp_ind,$D109,rng_out_sel_excl_ind,$E109)+SUMIFS(rng_out_rx_post_yr3,rng_out_sel_excl_yr_ind, [1]Tables!$HN$4,rng_out_sel_G_ind,K$1,rng_out_mail_ind,$B109,rng_out_ds,$C109,rng_out_sel_sp_ind,$D109,rng_out_sel_excl_ind,$E109)* _xlfn.XLOOKUP([1]Tables!$HN$4,'[1]RA Output'!$AY$4:$AY$5,'[1]RA Output'!BB$4:BB$5,0)  +SUMIFS(rng_out_rx_post_yr3,rng_out_sel_excl_yr_ind, [1]Tables!$HN$5,rng_out_sel_G_ind,K$1,rng_out_mail_ind,$B109,rng_out_ds,$C109,rng_out_sel_sp_ind,$D109,rng_out_sel_excl_ind,$E109)* _xlfn.XLOOKUP([1]Tables!$HN$5,'[1]RA Output'!$AY$4:$AY$5,'[1]RA Output'!BB$4:BB$5,0), 0))/[1]Tables!$AT$4</f>
        <v>#VALUE!</v>
      </c>
      <c r="AT109" s="195" t="e" cm="1">
        <f t="array" aca="1" ref="AT109" ca="1">IF($E$112="N",
IFERROR(IF(OR(input_Shift="No", [1]Tables!$BN$4=1), 0, (SUMIFS(rng_out_rx_post_yr4,rng_out_sel_excl_yr_ind, "",rng_out_sel_G_ind,Q$1,rng_out_mail_ind,$B109,rng_out_ds,$C109,rng_out_sel_sp_ind,$D109,rng_out_sel_excl_ind,$E109, rng_out_MSB_excl, $F109)+SUMIFS(rng_out_rx_post_yr4,rng_out_sel_excl_yr_ind, [1]Tables!$HN$4,rng_out_sel_G_ind,Q$1,rng_out_mail_ind,$B109,rng_out_ds,$C109,rng_out_sel_sp_ind,$D109,rng_out_sel_excl_ind,$E109, rng_out_MSB_excl, $F109)* _xlfn.XLOOKUP([1]Tables!$HN$4,'[1]RA Output'!$AY$4:$AY$5,'[1]RA Output'!BC$4:BC$5,0)  +SUMIFS(rng_out_rx_post_yr4,rng_out_sel_excl_yr_ind, [1]Tables!$HN$5,rng_out_sel_G_ind,Q$1,rng_out_mail_ind,$B109,rng_out_ds,$C109,rng_out_sel_sp_ind,$D109,rng_out_sel_excl_ind,$E109, rng_out_MSB_excl, $F109)* _xlfn.XLOOKUP([1]Tables!$HN$5,'[1]RA Output'!$AY$4:$AY$5,'[1]RA Output'!BC$4:BC$5,0))/[1]Tables!$BN$4*(1-[1]Tables!$BN$4)), 0) +
SUMIFS(rng_out_rx_post_yr4,rng_out_sel_excl_yr_ind, "",rng_out_sel_G_ind,L$1,rng_out_mail_ind,$B109,rng_out_ds,$C109,rng_out_sel_sp_ind,$D109,rng_out_sel_excl_ind,$E109)+SUMIFS(rng_out_rx_post_yr4,rng_out_sel_excl_yr_ind, [1]Tables!$HN$4,rng_out_sel_G_ind,L$1,rng_out_mail_ind,$B109,rng_out_ds,$C109,rng_out_sel_sp_ind,$D109,rng_out_sel_excl_ind,$E109)* _xlfn.XLOOKUP([1]Tables!$HN$4,'[1]RA Output'!$AY$4:$AY$5,'[1]RA Output'!BC$4:BC$5,0)  +SUMIFS(rng_out_rx_post_yr4,rng_out_sel_excl_yr_ind, [1]Tables!$HN$5,rng_out_sel_G_ind,L$1,rng_out_mail_ind,$B109,rng_out_ds,$C109,rng_out_sel_sp_ind,$D109,rng_out_sel_excl_ind,$E109)* _xlfn.XLOOKUP([1]Tables!$HN$5,'[1]RA Output'!$AY$4:$AY$5,'[1]RA Output'!BC$4:BC$5,0),
IFERROR(IF(OR(input_Shift="No", [1]Tables!$BN$4=1), 0, (SUMIFS(rng_out_rx_post_yr4,rng_out_sel_excl_yr_ind, "",rng_out_sel_G_ind,Q$1,rng_out_mail_ind,$B109,rng_out_ds,$C109,rng_out_sel_sp_ind,$D109,rng_out_sel_excl_ind,$E109, rng_out_MSB_excl, $F109)+SUMIFS(rng_out_rx_post_yr4,rng_out_sel_excl_yr_ind, [1]Tables!$HN$4,rng_out_sel_G_ind,Q$1,rng_out_mail_ind,$B109,rng_out_ds,$C109,rng_out_sel_sp_ind,$D109,rng_out_sel_excl_ind,$E109, rng_out_MSB_excl, $F109)* _xlfn.XLOOKUP([1]Tables!$HN$4,'[1]RA Output'!$AY$4:$AY$5,'[1]RA Output'!BC$4:BC$5,0)  +SUMIFS(rng_out_rx_post_yr4,rng_out_sel_excl_yr_ind, [1]Tables!$HN$5,rng_out_sel_G_ind,Q$1,rng_out_mail_ind,$B109,rng_out_ds,$C109,rng_out_sel_sp_ind,$D109,rng_out_sel_excl_ind,$E109, rng_out_MSB_excl, $F109)* _xlfn.XLOOKUP([1]Tables!$HN$5,'[1]RA Output'!$AY$4:$AY$5,'[1]RA Output'!BC$4:BC$5,0) + SUMIFS(rng_out_rx_post_yr4, rng_out_mail_ind, $B109, rng_out_sel_G_ind,"B", rng_out_ds, $C109, rng_out_sel_sp_ind, $D109, rng_out_sel_excl_ind,"N", rng_out_MSB_excl, $F109, rng_out_post_reb_ind_yr4, 0))/[1]Tables!$BN$4*(1-[1]Tables!$BN$4)), 0) +
IFERROR(SUMIFS(rng_out_rx_post_yr4, rng_out_sel_G_ind, "G", rng_out_mail_ind, $B109, rng_out_ds, $C109, rng_out_sel_sp_ind, $D109, rng_out_sel_excl_ind,"N", rng_out_post_reb_ind_yr4, 0) +
SUMIFS(rng_out_rx_post_yr4,rng_out_sel_excl_yr_ind, "",rng_out_sel_G_ind,L$1,rng_out_mail_ind,$B109,rng_out_ds,$C109,rng_out_sel_sp_ind,$D109,rng_out_sel_excl_ind,$E109)+SUMIFS(rng_out_rx_post_yr4,rng_out_sel_excl_yr_ind, [1]Tables!$HN$4,rng_out_sel_G_ind,L$1,rng_out_mail_ind,$B109,rng_out_ds,$C109,rng_out_sel_sp_ind,$D109,rng_out_sel_excl_ind,$E109)* _xlfn.XLOOKUP([1]Tables!$HN$4,'[1]RA Output'!$AY$4:$AY$5,'[1]RA Output'!BC$4:BC$5,0)  +SUMIFS(rng_out_rx_post_yr4,rng_out_sel_excl_yr_ind, [1]Tables!$HN$5,rng_out_sel_G_ind,L$1,rng_out_mail_ind,$B109,rng_out_ds,$C109,rng_out_sel_sp_ind,$D109,rng_out_sel_excl_ind,$E109)* _xlfn.XLOOKUP([1]Tables!$HN$5,'[1]RA Output'!$AY$4:$AY$5,'[1]RA Output'!BC$4:BC$5,0), 0))/[1]Tables!$AT$4</f>
        <v>#VALUE!</v>
      </c>
      <c r="AU109" s="211" t="e" cm="1">
        <f t="array" aca="1" ref="AU109" ca="1">IF($E$112="N",
IFERROR(IF(OR(input_Shift="No", [1]Tables!$BN$4=1), 0, (SUMIFS(rng_out_rx_post_yr5,rng_out_sel_excl_yr_ind, "",rng_out_sel_G_ind,R$1,rng_out_mail_ind,$B109,rng_out_ds,$C109,rng_out_sel_sp_ind,$D109,rng_out_sel_excl_ind,$E109, rng_out_MSB_excl, $F109)+SUMIFS(rng_out_rx_post_yr5,rng_out_sel_excl_yr_ind, [1]Tables!$HN$4,rng_out_sel_G_ind,R$1,rng_out_mail_ind,$B109,rng_out_ds,$C109,rng_out_sel_sp_ind,$D109,rng_out_sel_excl_ind,$E109, rng_out_MSB_excl, $F109)* _xlfn.XLOOKUP([1]Tables!$HN$4,'[1]RA Output'!$AY$4:$AY$5,'[1]RA Output'!BD$4:BD$5,0)  +SUMIFS(rng_out_rx_post_yr5,rng_out_sel_excl_yr_ind, [1]Tables!$HN$5,rng_out_sel_G_ind,R$1,rng_out_mail_ind,$B109,rng_out_ds,$C109,rng_out_sel_sp_ind,$D109,rng_out_sel_excl_ind,$E109, rng_out_MSB_excl, $F109)* _xlfn.XLOOKUP([1]Tables!$HN$5,'[1]RA Output'!$AY$4:$AY$5,'[1]RA Output'!BD$4:BD$5,0))/[1]Tables!$BN$4*(1-[1]Tables!$BN$4)), 0) +
SUMIFS(rng_out_rx_post_yr5,rng_out_sel_excl_yr_ind, "",rng_out_sel_G_ind,M$1,rng_out_mail_ind,$B109,rng_out_ds,$C109,rng_out_sel_sp_ind,$D109,rng_out_sel_excl_ind,$E109)+SUMIFS(rng_out_rx_post_yr5,rng_out_sel_excl_yr_ind, [1]Tables!$HN$4,rng_out_sel_G_ind,M$1,rng_out_mail_ind,$B109,rng_out_ds,$C109,rng_out_sel_sp_ind,$D109,rng_out_sel_excl_ind,$E109)* _xlfn.XLOOKUP([1]Tables!$HN$4,'[1]RA Output'!$AY$4:$AY$5,'[1]RA Output'!BD$4:BD$5,0)  +SUMIFS(rng_out_rx_post_yr5,rng_out_sel_excl_yr_ind, [1]Tables!$HN$5,rng_out_sel_G_ind,M$1,rng_out_mail_ind,$B109,rng_out_ds,$C109,rng_out_sel_sp_ind,$D109,rng_out_sel_excl_ind,$E109)* _xlfn.XLOOKUP([1]Tables!$HN$5,'[1]RA Output'!$AY$4:$AY$5,'[1]RA Output'!BD$4:BD$5,0),
IFERROR(IF(OR(input_Shift="No", [1]Tables!$BN$4=1), 0, (SUMIFS(rng_out_rx_post_yr5,rng_out_sel_excl_yr_ind, "",rng_out_sel_G_ind,R$1,rng_out_mail_ind,$B109,rng_out_ds,$C109,rng_out_sel_sp_ind,$D109,rng_out_sel_excl_ind,$E109, rng_out_MSB_excl, $F109)+SUMIFS(rng_out_rx_post_yr5,rng_out_sel_excl_yr_ind, [1]Tables!$HN$4,rng_out_sel_G_ind,R$1,rng_out_mail_ind,$B109,rng_out_ds,$C109,rng_out_sel_sp_ind,$D109,rng_out_sel_excl_ind,$E109, rng_out_MSB_excl, $F109)* _xlfn.XLOOKUP([1]Tables!$HN$4,'[1]RA Output'!$AY$4:$AY$5,'[1]RA Output'!BD$4:BD$5,0)  +SUMIFS(rng_out_rx_post_yr5,rng_out_sel_excl_yr_ind, [1]Tables!$HN$5,rng_out_sel_G_ind,R$1,rng_out_mail_ind,$B109,rng_out_ds,$C109,rng_out_sel_sp_ind,$D109,rng_out_sel_excl_ind,$E109, rng_out_MSB_excl, $F109)* _xlfn.XLOOKUP([1]Tables!$HN$5,'[1]RA Output'!$AY$4:$AY$5,'[1]RA Output'!BD$4:BD$5,0) + SUMIFS(rng_out_rx_post_yr5, rng_out_mail_ind, $B109, rng_out_sel_G_ind,"B", rng_out_ds, $C109, rng_out_sel_sp_ind, $D109, rng_out_sel_excl_ind,"N", rng_out_MSB_excl, $F109, rng_out_post_reb_ind_yr5, 0))/[1]Tables!$BN$4*(1-[1]Tables!$BN$4)), 0) +
IFERROR(SUMIFS(rng_out_rx_post_yr5, rng_out_sel_G_ind, "G", rng_out_mail_ind, $B109, rng_out_ds, $C109, rng_out_sel_sp_ind, $D109, rng_out_sel_excl_ind,"N", rng_out_post_reb_ind_yr5, 0) +
SUMIFS(rng_out_rx_post_yr5,rng_out_sel_excl_yr_ind, "",rng_out_sel_G_ind,M$1,rng_out_mail_ind,$B109,rng_out_ds,$C109,rng_out_sel_sp_ind,$D109,rng_out_sel_excl_ind,$E109)+SUMIFS(rng_out_rx_post_yr5,rng_out_sel_excl_yr_ind, [1]Tables!$HN$4,rng_out_sel_G_ind,M$1,rng_out_mail_ind,$B109,rng_out_ds,$C109,rng_out_sel_sp_ind,$D109,rng_out_sel_excl_ind,$E109)* _xlfn.XLOOKUP([1]Tables!$HN$4,'[1]RA Output'!$AY$4:$AY$5,'[1]RA Output'!BD$4:BD$5,0)  +SUMIFS(rng_out_rx_post_yr5,rng_out_sel_excl_yr_ind, [1]Tables!$HN$5,rng_out_sel_G_ind,M$1,rng_out_mail_ind,$B109,rng_out_ds,$C109,rng_out_sel_sp_ind,$D109,rng_out_sel_excl_ind,$E109)* _xlfn.XLOOKUP([1]Tables!$HN$5,'[1]RA Output'!$AY$4:$AY$5,'[1]RA Output'!BD$4:BD$5,0), 0))/[1]Tables!$AT$4</f>
        <v>#VALUE!</v>
      </c>
      <c r="AV109" s="210" t="e" cm="1">
        <f t="array" aca="1" ref="AV109" ca="1">(SUMIFS(rng_out_rx_post_yr1,rng_out_sel_excl_yr_ind, "",rng_out_sel_G_ind,N$1,rng_out_mail_ind,$B109,rng_out_ds,$C109,rng_out_sel_sp_ind,$D109,rng_out_sel_excl_ind,$E109)+
SUMIFS(rng_out_rx_post_yr1,rng_out_sel_excl_yr_ind, [1]Tables!$HN$4,rng_out_sel_G_ind,N$1,rng_out_mail_ind,$B109,rng_out_ds,$C109,rng_out_sel_sp_ind,$D109,rng_out_sel_excl_ind,$E109)* _xlfn.XLOOKUP([1]Tables!$HN$4,'[1]RA Output'!$AY$4:$AY$5,'[1]RA Output'!AZ$4:AZ$5,0)  +
SUMIFS(rng_out_rx_post_yr1,rng_out_sel_excl_yr_ind, [1]Tables!$HN$5,rng_out_sel_G_ind,N$1,rng_out_mail_ind,$B109,rng_out_ds,$C109,rng_out_sel_sp_ind,$D109,rng_out_sel_excl_ind,$E109)* _xlfn.XLOOKUP([1]Tables!$HN$5,'[1]RA Output'!$AY$4:$AY$5,'[1]RA Output'!AZ$4:AZ$5,0)+
IF($E$112="N",0,
SUMIFS(rng_out_rx_post_yr1, rng_out_sel_G_ind, "B", rng_out_mail_ind, $B109, rng_out_ds, $C109, rng_out_sel_sp_ind, $D109, rng_out_sel_excl_ind,"N", rng_out_post_reb_ind_yr1, 0)))/[1]Tables!$AT$4</f>
        <v>#VALUE!</v>
      </c>
      <c r="AW109" s="195" t="e" cm="1">
        <f t="array" aca="1" ref="AW109" ca="1">(SUMIFS(rng_out_rx_post_yr2,rng_out_sel_excl_yr_ind, "",rng_out_sel_G_ind,O$1,rng_out_mail_ind,$B109,rng_out_ds,$C109,rng_out_sel_sp_ind,$D109,rng_out_sel_excl_ind,$E109)+
SUMIFS(rng_out_rx_post_yr2,rng_out_sel_excl_yr_ind, [1]Tables!$HN$4,rng_out_sel_G_ind,O$1,rng_out_mail_ind,$B109,rng_out_ds,$C109,rng_out_sel_sp_ind,$D109,rng_out_sel_excl_ind,$E109)* _xlfn.XLOOKUP([1]Tables!$HN$4,'[1]RA Output'!$AY$4:$AY$5,'[1]RA Output'!BA$4:BA$5,0)  +
SUMIFS(rng_out_rx_post_yr2,rng_out_sel_excl_yr_ind, [1]Tables!$HN$5,rng_out_sel_G_ind,O$1,rng_out_mail_ind,$B109,rng_out_ds,$C109,rng_out_sel_sp_ind,$D109,rng_out_sel_excl_ind,$E109)* _xlfn.XLOOKUP([1]Tables!$HN$5,'[1]RA Output'!$AY$4:$AY$5,'[1]RA Output'!BA$4:BA$5,0)+
IF($E$112="N",0,
SUMIFS(rng_out_rx_post_yr2, rng_out_sel_G_ind, "B", rng_out_mail_ind, $B109, rng_out_ds, $C109, rng_out_sel_sp_ind, $D109, rng_out_sel_excl_ind,"N", rng_out_post_reb_ind_yr2, 0)))/[1]Tables!$AT$4</f>
        <v>#VALUE!</v>
      </c>
      <c r="AX109" s="195" t="e" cm="1">
        <f t="array" aca="1" ref="AX109" ca="1">(SUMIFS(rng_out_rx_post_yr3,rng_out_sel_excl_yr_ind, "",rng_out_sel_G_ind,P$1,rng_out_mail_ind,$B109,rng_out_ds,$C109,rng_out_sel_sp_ind,$D109,rng_out_sel_excl_ind,$E109)+
SUMIFS(rng_out_rx_post_yr3,rng_out_sel_excl_yr_ind, [1]Tables!$HN$4,rng_out_sel_G_ind,P$1,rng_out_mail_ind,$B109,rng_out_ds,$C109,rng_out_sel_sp_ind,$D109,rng_out_sel_excl_ind,$E109)* _xlfn.XLOOKUP([1]Tables!$HN$4,'[1]RA Output'!$AY$4:$AY$5,'[1]RA Output'!BB$4:BB$5,0)  +
SUMIFS(rng_out_rx_post_yr3,rng_out_sel_excl_yr_ind, [1]Tables!$HN$5,rng_out_sel_G_ind,P$1,rng_out_mail_ind,$B109,rng_out_ds,$C109,rng_out_sel_sp_ind,$D109,rng_out_sel_excl_ind,$E109)* _xlfn.XLOOKUP([1]Tables!$HN$5,'[1]RA Output'!$AY$4:$AY$5,'[1]RA Output'!BB$4:BB$5,0)+
IF($E$112="N",0,
SUMIFS(rng_out_rx_post_yr3, rng_out_sel_G_ind, "B", rng_out_mail_ind, $B109, rng_out_ds, $C109, rng_out_sel_sp_ind, $D109, rng_out_sel_excl_ind,"N", rng_out_post_reb_ind_yr3, 0)))/[1]Tables!$AT$4</f>
        <v>#VALUE!</v>
      </c>
      <c r="AY109" s="195" t="e" cm="1">
        <f t="array" aca="1" ref="AY109" ca="1">(SUMIFS(rng_out_rx_post_yr4,rng_out_sel_excl_yr_ind, "",rng_out_sel_G_ind,Q$1,rng_out_mail_ind,$B109,rng_out_ds,$C109,rng_out_sel_sp_ind,$D109,rng_out_sel_excl_ind,$E109)+
SUMIFS(rng_out_rx_post_yr4,rng_out_sel_excl_yr_ind, [1]Tables!$HN$4,rng_out_sel_G_ind,Q$1,rng_out_mail_ind,$B109,rng_out_ds,$C109,rng_out_sel_sp_ind,$D109,rng_out_sel_excl_ind,$E109)* _xlfn.XLOOKUP([1]Tables!$HN$4,'[1]RA Output'!$AY$4:$AY$5,'[1]RA Output'!BC$4:BC$5,0)  +
SUMIFS(rng_out_rx_post_yr4,rng_out_sel_excl_yr_ind, [1]Tables!$HN$5,rng_out_sel_G_ind,Q$1,rng_out_mail_ind,$B109,rng_out_ds,$C109,rng_out_sel_sp_ind,$D109,rng_out_sel_excl_ind,$E109)* _xlfn.XLOOKUP([1]Tables!$HN$5,'[1]RA Output'!$AY$4:$AY$5,'[1]RA Output'!BC$4:BC$5,0)+
IF($E$112="N",0,
SUMIFS(rng_out_rx_post_yr4, rng_out_sel_G_ind, "B", rng_out_mail_ind, $B109, rng_out_ds, $C109, rng_out_sel_sp_ind, $D109, rng_out_sel_excl_ind,"N", rng_out_post_reb_ind_yr4, 0)))/[1]Tables!$AT$4</f>
        <v>#VALUE!</v>
      </c>
      <c r="AZ109" s="211" t="e" cm="1">
        <f t="array" aca="1" ref="AZ109" ca="1">(SUMIFS(rng_out_rx_post_yr5,rng_out_sel_excl_yr_ind, "",rng_out_sel_G_ind,R$1,rng_out_mail_ind,$B109,rng_out_ds,$C109,rng_out_sel_sp_ind,$D109,rng_out_sel_excl_ind,$E109)+
SUMIFS(rng_out_rx_post_yr5,rng_out_sel_excl_yr_ind, [1]Tables!$HN$4,rng_out_sel_G_ind,R$1,rng_out_mail_ind,$B109,rng_out_ds,$C109,rng_out_sel_sp_ind,$D109,rng_out_sel_excl_ind,$E109)* _xlfn.XLOOKUP([1]Tables!$HN$4,'[1]RA Output'!$AY$4:$AY$5,'[1]RA Output'!BD$4:BD$5,0)  +
SUMIFS(rng_out_rx_post_yr5,rng_out_sel_excl_yr_ind, [1]Tables!$HN$5,rng_out_sel_G_ind,R$1,rng_out_mail_ind,$B109,rng_out_ds,$C109,rng_out_sel_sp_ind,$D109,rng_out_sel_excl_ind,$E109)* _xlfn.XLOOKUP([1]Tables!$HN$5,'[1]RA Output'!$AY$4:$AY$5,'[1]RA Output'!BD$4:BD$5,0)+
IF($E$112="N",0,
SUMIFS(rng_out_rx_post_yr5, rng_out_sel_G_ind, "B", rng_out_mail_ind, $B109, rng_out_ds, $C109, rng_out_sel_sp_ind, $D109, rng_out_sel_excl_ind,"N", rng_out_post_reb_ind_yr5, 0)))/[1]Tables!$AT$4</f>
        <v>#VALUE!</v>
      </c>
      <c r="BA109" s="206" t="e">
        <f t="shared" ca="1" si="92"/>
        <v>#VALUE!</v>
      </c>
      <c r="BB109" s="206" t="e">
        <f t="shared" ca="1" si="92"/>
        <v>#VALUE!</v>
      </c>
      <c r="BC109" s="206" t="e">
        <f t="shared" ca="1" si="92"/>
        <v>#VALUE!</v>
      </c>
      <c r="BD109" s="206" t="e">
        <f t="shared" ca="1" si="92"/>
        <v>#VALUE!</v>
      </c>
      <c r="BE109" s="212" t="e">
        <f t="shared" ca="1" si="92"/>
        <v>#VALUE!</v>
      </c>
      <c r="BG109" s="111" t="s">
        <v>15</v>
      </c>
      <c r="BH109" s="213" t="e">
        <f t="shared" ca="1" si="93"/>
        <v>#VALUE!</v>
      </c>
      <c r="BI109" s="206" t="e">
        <f t="shared" ca="1" si="93"/>
        <v>#VALUE!</v>
      </c>
      <c r="BJ109" s="206" t="e">
        <f t="shared" ca="1" si="93"/>
        <v>#VALUE!</v>
      </c>
      <c r="BK109" s="206" t="e">
        <f t="shared" ca="1" si="93"/>
        <v>#VALUE!</v>
      </c>
      <c r="BL109" s="214" t="e">
        <f t="shared" ca="1" si="93"/>
        <v>#VALUE!</v>
      </c>
      <c r="BM109" s="213" t="e">
        <f t="shared" ca="1" si="93"/>
        <v>#VALUE!</v>
      </c>
      <c r="BN109" s="206" t="e">
        <f t="shared" ca="1" si="93"/>
        <v>#VALUE!</v>
      </c>
      <c r="BO109" s="206" t="e">
        <f t="shared" ca="1" si="93"/>
        <v>#VALUE!</v>
      </c>
      <c r="BP109" s="206" t="e">
        <f t="shared" ca="1" si="93"/>
        <v>#VALUE!</v>
      </c>
      <c r="BQ109" s="214" t="e">
        <f t="shared" ca="1" si="93"/>
        <v>#VALUE!</v>
      </c>
      <c r="BR109" s="213" t="e">
        <f t="shared" ca="1" si="94"/>
        <v>#VALUE!</v>
      </c>
      <c r="BS109" s="206" t="e">
        <f t="shared" ca="1" si="94"/>
        <v>#VALUE!</v>
      </c>
      <c r="BT109" s="206" t="e">
        <f t="shared" ca="1" si="94"/>
        <v>#VALUE!</v>
      </c>
      <c r="BU109" s="206" t="e">
        <f t="shared" ca="1" si="94"/>
        <v>#VALUE!</v>
      </c>
      <c r="BV109" s="214" t="e">
        <f t="shared" ca="1" si="94"/>
        <v>#VALUE!</v>
      </c>
      <c r="BX109" s="111" t="s">
        <v>15</v>
      </c>
      <c r="BY109" s="213" t="e">
        <f t="shared" ca="1" si="95"/>
        <v>#VALUE!</v>
      </c>
      <c r="BZ109" s="206" t="e">
        <f t="shared" ca="1" si="95"/>
        <v>#VALUE!</v>
      </c>
      <c r="CA109" s="206" t="e">
        <f t="shared" ca="1" si="95"/>
        <v>#VALUE!</v>
      </c>
      <c r="CB109" s="206" t="e">
        <f t="shared" ca="1" si="95"/>
        <v>#VALUE!</v>
      </c>
      <c r="CC109" s="214" t="e">
        <f t="shared" ca="1" si="95"/>
        <v>#VALUE!</v>
      </c>
      <c r="CD109" s="213" t="e">
        <f t="shared" ca="1" si="96"/>
        <v>#VALUE!</v>
      </c>
      <c r="CE109" s="206" t="e">
        <f t="shared" ca="1" si="96"/>
        <v>#VALUE!</v>
      </c>
      <c r="CF109" s="206" t="e">
        <f t="shared" ca="1" si="96"/>
        <v>#VALUE!</v>
      </c>
      <c r="CG109" s="206" t="e">
        <f t="shared" ca="1" si="96"/>
        <v>#VALUE!</v>
      </c>
      <c r="CH109" s="214" t="e">
        <f t="shared" ca="1" si="96"/>
        <v>#VALUE!</v>
      </c>
      <c r="CI109" s="213" t="e">
        <f t="shared" ca="1" si="97"/>
        <v>#VALUE!</v>
      </c>
      <c r="CJ109" s="206" t="e">
        <f t="shared" ca="1" si="97"/>
        <v>#VALUE!</v>
      </c>
      <c r="CK109" s="206" t="e">
        <f t="shared" ca="1" si="97"/>
        <v>#VALUE!</v>
      </c>
      <c r="CL109" s="206" t="e">
        <f t="shared" ca="1" si="97"/>
        <v>#VALUE!</v>
      </c>
      <c r="CM109" s="214" t="e">
        <f t="shared" ca="1" si="97"/>
        <v>#VALUE!</v>
      </c>
      <c r="CO109" s="213" cm="1">
        <f t="array" aca="1" ref="CO109" ca="1">_xlfn.SINGLE(IFERROR(SUMIFS(rng_out_rx_base, rng_out_sel_G_ind, "G", rng_out_mail_ind, $B109, rng_out_ds, $C109, rng_out_sel_sp_ind, $D109, rng_out_sel_excl_ind,"Y")/[1]Tables!$AT$4, 0))</f>
        <v>0</v>
      </c>
      <c r="CP109" s="214" cm="1">
        <f t="array" aca="1" ref="CP109" ca="1">_xlfn.SINGLE(IFERROR(SUMIFS(rng_out_rx_base, rng_out_sel_G_ind, "B", rng_out_mail_ind, $B109, rng_out_ds, $C109, rng_out_sel_sp_ind, $D109, rng_out_sel_excl_ind,"Y")/[1]Tables!$AT$4, 0))</f>
        <v>0</v>
      </c>
      <c r="CQ109" s="220">
        <f ca="1">SUM(CO109:CP109)</f>
        <v>0</v>
      </c>
      <c r="CR109" s="213" cm="1">
        <f t="array" aca="1" ref="CR109" ca="1">_xlfn.SINGLE(IFERROR(SUMIFS(rng_out_qty_base, rng_out_sel_G_ind, "G", rng_out_mail_ind, $B109, rng_out_ds, $C109, rng_out_sel_sp_ind, $D109, rng_out_sel_excl_ind,"Y")/[1]Tables!$AT$4, 0))</f>
        <v>0</v>
      </c>
      <c r="CS109" s="206" cm="1">
        <f t="array" aca="1" ref="CS109" ca="1">_xlfn.SINGLE(IFERROR(SUMIFS(rng_out_qty_base, rng_out_sel_G_ind, "B", rng_out_mail_ind, $B109, rng_out_ds, $C109, rng_out_sel_sp_ind, $D109, rng_out_sel_excl_ind,"Y")/[1]Tables!$AT$4, 0))</f>
        <v>0</v>
      </c>
      <c r="CT109" s="221">
        <f ca="1">SUM(CR109:CS109)</f>
        <v>0</v>
      </c>
      <c r="CU109" s="213" cm="1">
        <f t="array" aca="1" ref="CU109" ca="1">_xlfn.SINGLE(IFERROR(SUMIFS(rng_out_ds_base, rng_out_sel_G_ind, "G", rng_out_mail_ind, $B109, rng_out_ds, $C109, rng_out_sel_sp_ind, $D109, rng_out_sel_excl_ind,"Y")/[1]Tables!$AT$4, 0))</f>
        <v>0</v>
      </c>
      <c r="CV109" s="214" cm="1">
        <f t="array" aca="1" ref="CV109" ca="1">_xlfn.SINGLE(IFERROR(SUMIFS(rng_out_ds_base, rng_out_sel_G_ind, "B", rng_out_mail_ind, $B109, rng_out_ds, $C109, rng_out_sel_sp_ind, $D109, rng_out_sel_excl_ind,"Y")/[1]Tables!$AT$4, 0))</f>
        <v>0</v>
      </c>
      <c r="CW109" s="220">
        <f ca="1">SUM(CU109:CV109)</f>
        <v>0</v>
      </c>
      <c r="DC109" s="213" t="e">
        <f t="shared" ca="1" si="98"/>
        <v>#VALUE!</v>
      </c>
      <c r="DD109" s="206" t="e">
        <f t="shared" ca="1" si="98"/>
        <v>#VALUE!</v>
      </c>
      <c r="DE109" s="206" t="e">
        <f t="shared" ca="1" si="98"/>
        <v>#VALUE!</v>
      </c>
      <c r="DF109" s="206" t="e">
        <f t="shared" ca="1" si="98"/>
        <v>#VALUE!</v>
      </c>
      <c r="DG109" s="214" t="e">
        <f t="shared" ca="1" si="98"/>
        <v>#VALUE!</v>
      </c>
    </row>
    <row r="110" spans="1:123" x14ac:dyDescent="0.35">
      <c r="B110" s="105" t="s">
        <v>16</v>
      </c>
      <c r="C110" s="106"/>
      <c r="D110" s="106" t="s">
        <v>12</v>
      </c>
      <c r="E110" s="107" t="s">
        <v>13</v>
      </c>
      <c r="F110" s="106">
        <v>1</v>
      </c>
      <c r="G110" s="106"/>
      <c r="H110" s="118" t="s">
        <v>7</v>
      </c>
      <c r="I110" s="203" t="e" cm="1">
        <f t="array" aca="1" ref="I110" ca="1">SUMIFS(rng_out_rx_pre_yr1,rng_out_sel_excl_yr_ind, "",rng_out_sel_G_ind,I$1,rng_out_mail_ind,$B110,rng_out_sel_sp_ind,$D110,rng_out_sel_excl_ind,$E110)+
SUMIFS(rng_out_rx_pre_yr1,rng_out_sel_excl_yr_ind, [1]Tables!$HN$4,rng_out_sel_G_ind,I$1,rng_out_mail_ind,$B110,rng_out_sel_sp_ind,$D110,rng_out_sel_excl_ind,$E110)* _xlfn.XLOOKUP([1]Tables!$HN$4,'[1]RA Output'!$AY$4:$AY$5,'[1]RA Output'!AZ$4:AZ$5,0)  +
SUMIFS(rng_out_rx_pre_yr1,rng_out_sel_excl_yr_ind, [1]Tables!$HN$5,rng_out_sel_G_ind,I$1,rng_out_mail_ind,$B110,rng_out_sel_sp_ind,$D110,rng_out_sel_excl_ind,$E110)* _xlfn.XLOOKUP([1]Tables!$HN$5,'[1]RA Output'!$AY$4:$AY$5,'[1]RA Output'!AZ$4:AZ$5,0) +
IF($E$112="N",0,SUMIFS(rng_out_rx_pre_yr1, rng_out_sel_G_ind, I$1, rng_out_mail_ind, $B110, rng_out_sel_sp_ind, $D110, rng_out_sel_excl_ind,"N", rng_out_post_reb_ind_yr1, 0))</f>
        <v>#VALUE!</v>
      </c>
      <c r="J110" s="195" t="e" cm="1">
        <f t="array" aca="1" ref="J110" ca="1">SUMIFS(rng_out_rx_pre_yr2,rng_out_sel_excl_yr_ind, "",rng_out_sel_G_ind,J$1,rng_out_mail_ind,$B110,rng_out_sel_sp_ind,$D110,rng_out_sel_excl_ind,$E110)+
SUMIFS(rng_out_rx_pre_yr2,rng_out_sel_excl_yr_ind, [1]Tables!$HN$4,rng_out_sel_G_ind,J$1,rng_out_mail_ind,$B110,rng_out_sel_sp_ind,$D110,rng_out_sel_excl_ind,$E110)* _xlfn.XLOOKUP([1]Tables!$HN$4,'[1]RA Output'!$AY$4:$AY$5,'[1]RA Output'!BA$4:BA$5,0)  +
SUMIFS(rng_out_rx_pre_yr2,rng_out_sel_excl_yr_ind, [1]Tables!$HN$5,rng_out_sel_G_ind,J$1,rng_out_mail_ind,$B110,rng_out_sel_sp_ind,$D110,rng_out_sel_excl_ind,$E110)* _xlfn.XLOOKUP([1]Tables!$HN$5,'[1]RA Output'!$AY$4:$AY$5,'[1]RA Output'!BA$4:BA$5,0) +
IF($E$112="N",0,SUMIFS(rng_out_rx_pre_yr2, rng_out_sel_G_ind, J$1, rng_out_mail_ind, $B110, rng_out_sel_sp_ind, $D110, rng_out_sel_excl_ind,"N", rng_out_post_reb_ind_yr2, 0))</f>
        <v>#VALUE!</v>
      </c>
      <c r="K110" s="195" t="e" cm="1">
        <f t="array" aca="1" ref="K110" ca="1">SUMIFS(rng_out_rx_pre_yr3,rng_out_sel_excl_yr_ind, "",rng_out_sel_G_ind,K$1,rng_out_mail_ind,$B110,rng_out_sel_sp_ind,$D110,rng_out_sel_excl_ind,$E110)+
SUMIFS(rng_out_rx_pre_yr3,rng_out_sel_excl_yr_ind, [1]Tables!$HN$4,rng_out_sel_G_ind,K$1,rng_out_mail_ind,$B110,rng_out_sel_sp_ind,$D110,rng_out_sel_excl_ind,$E110)* _xlfn.XLOOKUP([1]Tables!$HN$4,'[1]RA Output'!$AY$4:$AY$5,'[1]RA Output'!BB$4:BB$5,0)  +
SUMIFS(rng_out_rx_pre_yr3,rng_out_sel_excl_yr_ind, [1]Tables!$HN$5,rng_out_sel_G_ind,K$1,rng_out_mail_ind,$B110,rng_out_sel_sp_ind,$D110,rng_out_sel_excl_ind,$E110)* _xlfn.XLOOKUP([1]Tables!$HN$5,'[1]RA Output'!$AY$4:$AY$5,'[1]RA Output'!BB$4:BB$5,0) +
IF($E$112="N",0,SUMIFS(rng_out_rx_pre_yr3, rng_out_sel_G_ind, K$1, rng_out_mail_ind, $B110, rng_out_sel_sp_ind, $D110, rng_out_sel_excl_ind,"N", rng_out_post_reb_ind_yr3, 0))</f>
        <v>#VALUE!</v>
      </c>
      <c r="L110" s="195" t="e" cm="1">
        <f t="array" aca="1" ref="L110" ca="1">SUMIFS(rng_out_rx_pre_yr4,rng_out_sel_excl_yr_ind, "",rng_out_sel_G_ind,L$1,rng_out_mail_ind,$B110,rng_out_sel_sp_ind,$D110,rng_out_sel_excl_ind,$E110)+
SUMIFS(rng_out_rx_pre_yr4,rng_out_sel_excl_yr_ind, [1]Tables!$HN$4,rng_out_sel_G_ind,L$1,rng_out_mail_ind,$B110,rng_out_sel_sp_ind,$D110,rng_out_sel_excl_ind,$E110)* _xlfn.XLOOKUP([1]Tables!$HN$4,'[1]RA Output'!$AY$4:$AY$5,'[1]RA Output'!BC$4:BC$5,0)  +
SUMIFS(rng_out_rx_pre_yr4,rng_out_sel_excl_yr_ind, [1]Tables!$HN$5,rng_out_sel_G_ind,L$1,rng_out_mail_ind,$B110,rng_out_sel_sp_ind,$D110,rng_out_sel_excl_ind,$E110)* _xlfn.XLOOKUP([1]Tables!$HN$5,'[1]RA Output'!$AY$4:$AY$5,'[1]RA Output'!BC$4:BC$5,0) +
IF($E$112="N",0,SUMIFS(rng_out_rx_pre_yr4, rng_out_sel_G_ind, L$1, rng_out_mail_ind, $B110, rng_out_sel_sp_ind, $D110, rng_out_sel_excl_ind,"N", rng_out_post_reb_ind_yr4, 0))</f>
        <v>#VALUE!</v>
      </c>
      <c r="M110" s="204" t="e" cm="1">
        <f t="array" aca="1" ref="M110" ca="1">SUMIFS(rng_out_rx_pre_yr5,rng_out_sel_excl_yr_ind, "",rng_out_sel_G_ind,M$1,rng_out_mail_ind,$B110,rng_out_sel_sp_ind,$D110,rng_out_sel_excl_ind,$E110)+
SUMIFS(rng_out_rx_pre_yr5,rng_out_sel_excl_yr_ind, [1]Tables!$HN$4,rng_out_sel_G_ind,M$1,rng_out_mail_ind,$B110,rng_out_sel_sp_ind,$D110,rng_out_sel_excl_ind,$E110)* _xlfn.XLOOKUP([1]Tables!$HN$4,'[1]RA Output'!$AY$4:$AY$5,'[1]RA Output'!BD$4:BD$5,0)  +
SUMIFS(rng_out_rx_pre_yr5,rng_out_sel_excl_yr_ind, [1]Tables!$HN$5,rng_out_sel_G_ind,M$1,rng_out_mail_ind,$B110,rng_out_sel_sp_ind,$D110,rng_out_sel_excl_ind,$E110)* _xlfn.XLOOKUP([1]Tables!$HN$5,'[1]RA Output'!$AY$4:$AY$5,'[1]RA Output'!BD$4:BD$5,0) +
IF($E$112="N",0,SUMIFS(rng_out_rx_pre_yr5, rng_out_sel_G_ind, M$1, rng_out_mail_ind, $B110, rng_out_sel_sp_ind, $D110, rng_out_sel_excl_ind,"N", rng_out_post_reb_ind_yr5, 0))</f>
        <v>#VALUE!</v>
      </c>
      <c r="N110" s="203" t="e" cm="1">
        <f t="array" aca="1" ref="N110" ca="1">SUMIFS(rng_out_rx_pre_yr1,rng_out_sel_excl_yr_ind, "",rng_out_sel_G_ind,N$1,rng_out_mail_ind,$B110,rng_out_sel_sp_ind,$D110,rng_out_sel_excl_ind,$E110)+
SUMIFS(rng_out_rx_pre_yr1,rng_out_sel_excl_yr_ind, [1]Tables!$HN$4,rng_out_sel_G_ind,N$1,rng_out_mail_ind,$B110,rng_out_sel_sp_ind,$D110,rng_out_sel_excl_ind,$E110)* _xlfn.XLOOKUP([1]Tables!$HN$4,'[1]RA Output'!$AY$4:$AY$5,'[1]RA Output'!AZ$4:AZ$5,0)  +
SUMIFS(rng_out_rx_pre_yr1,rng_out_sel_excl_yr_ind, [1]Tables!$HN$5,rng_out_sel_G_ind,N$1,rng_out_mail_ind,$B110,rng_out_sel_sp_ind,$D110,rng_out_sel_excl_ind,$E110)* _xlfn.XLOOKUP([1]Tables!$HN$5,'[1]RA Output'!$AY$4:$AY$5,'[1]RA Output'!AZ$4:AZ$5,0) +
IF($E$112="N",0,SUMIFS(rng_out_rx_pre_yr1, rng_out_sel_G_ind, N$1, rng_out_mail_ind, $B110, rng_out_sel_sp_ind, $D110, rng_out_sel_excl_ind,"N", rng_out_post_reb_ind_yr1, 0))</f>
        <v>#VALUE!</v>
      </c>
      <c r="O110" s="195" t="e" cm="1">
        <f t="array" aca="1" ref="O110" ca="1">SUMIFS(rng_out_rx_pre_yr2,rng_out_sel_excl_yr_ind, "",rng_out_sel_G_ind,O$1,rng_out_mail_ind,$B110,rng_out_sel_sp_ind,$D110,rng_out_sel_excl_ind,$E110)+
SUMIFS(rng_out_rx_pre_yr2,rng_out_sel_excl_yr_ind, [1]Tables!$HN$4,rng_out_sel_G_ind,O$1,rng_out_mail_ind,$B110,rng_out_sel_sp_ind,$D110,rng_out_sel_excl_ind,$E110)* _xlfn.XLOOKUP([1]Tables!$HN$4,'[1]RA Output'!$AY$4:$AY$5,'[1]RA Output'!BA$4:BA$5,0)  +
SUMIFS(rng_out_rx_pre_yr2,rng_out_sel_excl_yr_ind, [1]Tables!$HN$5,rng_out_sel_G_ind,O$1,rng_out_mail_ind,$B110,rng_out_sel_sp_ind,$D110,rng_out_sel_excl_ind,$E110)* _xlfn.XLOOKUP([1]Tables!$HN$5,'[1]RA Output'!$AY$4:$AY$5,'[1]RA Output'!BA$4:BA$5,0) +
IF($E$112="N",0,SUMIFS(rng_out_rx_pre_yr2, rng_out_sel_G_ind, O$1, rng_out_mail_ind, $B110, rng_out_sel_sp_ind, $D110, rng_out_sel_excl_ind,"N", rng_out_post_reb_ind_yr2, 0))</f>
        <v>#VALUE!</v>
      </c>
      <c r="P110" s="195" t="e" cm="1">
        <f t="array" aca="1" ref="P110" ca="1">SUMIFS(rng_out_rx_pre_yr3,rng_out_sel_excl_yr_ind, "",rng_out_sel_G_ind,P$1,rng_out_mail_ind,$B110,rng_out_sel_sp_ind,$D110,rng_out_sel_excl_ind,$E110)+
SUMIFS(rng_out_rx_pre_yr3,rng_out_sel_excl_yr_ind, [1]Tables!$HN$4,rng_out_sel_G_ind,P$1,rng_out_mail_ind,$B110,rng_out_sel_sp_ind,$D110,rng_out_sel_excl_ind,$E110)* _xlfn.XLOOKUP([1]Tables!$HN$4,'[1]RA Output'!$AY$4:$AY$5,'[1]RA Output'!BB$4:BB$5,0)  +
SUMIFS(rng_out_rx_pre_yr3,rng_out_sel_excl_yr_ind, [1]Tables!$HN$5,rng_out_sel_G_ind,P$1,rng_out_mail_ind,$B110,rng_out_sel_sp_ind,$D110,rng_out_sel_excl_ind,$E110)* _xlfn.XLOOKUP([1]Tables!$HN$5,'[1]RA Output'!$AY$4:$AY$5,'[1]RA Output'!BB$4:BB$5,0) +
IF($E$112="N",0,SUMIFS(rng_out_rx_pre_yr3, rng_out_sel_G_ind, P$1, rng_out_mail_ind, $B110, rng_out_sel_sp_ind, $D110, rng_out_sel_excl_ind,"N", rng_out_post_reb_ind_yr3, 0))</f>
        <v>#VALUE!</v>
      </c>
      <c r="Q110" s="195" t="e" cm="1">
        <f t="array" aca="1" ref="Q110" ca="1">SUMIFS(rng_out_rx_pre_yr4,rng_out_sel_excl_yr_ind, "",rng_out_sel_G_ind,Q$1,rng_out_mail_ind,$B110,rng_out_sel_sp_ind,$D110,rng_out_sel_excl_ind,$E110)+
SUMIFS(rng_out_rx_pre_yr4,rng_out_sel_excl_yr_ind, [1]Tables!$HN$4,rng_out_sel_G_ind,Q$1,rng_out_mail_ind,$B110,rng_out_sel_sp_ind,$D110,rng_out_sel_excl_ind,$E110)* _xlfn.XLOOKUP([1]Tables!$HN$4,'[1]RA Output'!$AY$4:$AY$5,'[1]RA Output'!BC$4:BC$5,0)  +
SUMIFS(rng_out_rx_pre_yr4,rng_out_sel_excl_yr_ind, [1]Tables!$HN$5,rng_out_sel_G_ind,Q$1,rng_out_mail_ind,$B110,rng_out_sel_sp_ind,$D110,rng_out_sel_excl_ind,$E110)* _xlfn.XLOOKUP([1]Tables!$HN$5,'[1]RA Output'!$AY$4:$AY$5,'[1]RA Output'!BC$4:BC$5,0) +
IF($E$112="N",0,SUMIFS(rng_out_rx_pre_yr4, rng_out_sel_G_ind, Q$1, rng_out_mail_ind, $B110, rng_out_sel_sp_ind, $D110, rng_out_sel_excl_ind,"N", rng_out_post_reb_ind_yr4, 0))</f>
        <v>#VALUE!</v>
      </c>
      <c r="R110" s="204" t="e" cm="1">
        <f t="array" aca="1" ref="R110" ca="1">SUMIFS(rng_out_rx_pre_yr5,rng_out_sel_excl_yr_ind, "",rng_out_sel_G_ind,R$1,rng_out_mail_ind,$B110,rng_out_sel_sp_ind,$D110,rng_out_sel_excl_ind,$E110)+
SUMIFS(rng_out_rx_pre_yr5,rng_out_sel_excl_yr_ind, [1]Tables!$HN$4,rng_out_sel_G_ind,R$1,rng_out_mail_ind,$B110,rng_out_sel_sp_ind,$D110,rng_out_sel_excl_ind,$E110)* _xlfn.XLOOKUP([1]Tables!$HN$4,'[1]RA Output'!$AY$4:$AY$5,'[1]RA Output'!BD$4:BD$5,0)  +
SUMIFS(rng_out_rx_pre_yr5,rng_out_sel_excl_yr_ind, [1]Tables!$HN$5,rng_out_sel_G_ind,R$1,rng_out_mail_ind,$B110,rng_out_sel_sp_ind,$D110,rng_out_sel_excl_ind,$E110)* _xlfn.XLOOKUP([1]Tables!$HN$5,'[1]RA Output'!$AY$4:$AY$5,'[1]RA Output'!BD$4:BD$5,0) +
IF($E$112="N",0,SUMIFS(rng_out_rx_pre_yr5, rng_out_sel_G_ind, R$1, rng_out_mail_ind, $B110, rng_out_sel_sp_ind, $D110, rng_out_sel_excl_ind,"N", rng_out_post_reb_ind_yr5, 0))</f>
        <v>#VALUE!</v>
      </c>
      <c r="S110" s="205" t="e">
        <f t="shared" ca="1" si="90"/>
        <v>#VALUE!</v>
      </c>
      <c r="T110" s="206" t="e">
        <f t="shared" ca="1" si="90"/>
        <v>#VALUE!</v>
      </c>
      <c r="U110" s="206" t="e">
        <f t="shared" ca="1" si="90"/>
        <v>#VALUE!</v>
      </c>
      <c r="V110" s="206" t="e">
        <f t="shared" ca="1" si="90"/>
        <v>#VALUE!</v>
      </c>
      <c r="W110" s="207" t="e">
        <f t="shared" ca="1" si="90"/>
        <v>#VALUE!</v>
      </c>
      <c r="Y110" s="119" t="s">
        <v>7</v>
      </c>
      <c r="Z110" s="208">
        <f ca="1">IFERROR(I110/[1]Tables!$AT$4, 0)</f>
        <v>0</v>
      </c>
      <c r="AA110" s="206">
        <f ca="1">IFERROR(J110/[1]Tables!$AT$4, 0)</f>
        <v>0</v>
      </c>
      <c r="AB110" s="206">
        <f ca="1">IFERROR(K110/[1]Tables!$AT$4, 0)</f>
        <v>0</v>
      </c>
      <c r="AC110" s="206">
        <f ca="1">IFERROR(L110/[1]Tables!$AT$4, 0)</f>
        <v>0</v>
      </c>
      <c r="AD110" s="209">
        <f ca="1">IFERROR(M110/[1]Tables!$AT$4, 0)</f>
        <v>0</v>
      </c>
      <c r="AE110" s="208">
        <f ca="1">IFERROR(N110/[1]Tables!$AT$4, 0)</f>
        <v>0</v>
      </c>
      <c r="AF110" s="206">
        <f ca="1">IFERROR(O110/[1]Tables!$AT$4, 0)</f>
        <v>0</v>
      </c>
      <c r="AG110" s="206">
        <f ca="1">IFERROR(P110/[1]Tables!$AT$4, 0)</f>
        <v>0</v>
      </c>
      <c r="AH110" s="206">
        <f ca="1">IFERROR(Q110/[1]Tables!$AT$4, 0)</f>
        <v>0</v>
      </c>
      <c r="AI110" s="209">
        <f ca="1">IFERROR(R110/[1]Tables!$AT$4, 0)</f>
        <v>0</v>
      </c>
      <c r="AJ110" s="208">
        <f t="shared" ca="1" si="91"/>
        <v>0</v>
      </c>
      <c r="AK110" s="206">
        <f t="shared" ca="1" si="91"/>
        <v>0</v>
      </c>
      <c r="AL110" s="206">
        <f t="shared" ca="1" si="91"/>
        <v>0</v>
      </c>
      <c r="AM110" s="206">
        <f t="shared" ca="1" si="91"/>
        <v>0</v>
      </c>
      <c r="AN110" s="209">
        <f t="shared" ca="1" si="91"/>
        <v>0</v>
      </c>
      <c r="AP110" s="120" t="s">
        <v>7</v>
      </c>
      <c r="AQ110" s="210" t="e" cm="1">
        <f t="array" aca="1" ref="AQ110" ca="1">IF($E$112="N",
IFERROR(IF(OR(input_Shift="No", [1]Tables!$BN$4=1), 0, (SUMIFS(rng_out_rx_post_yr1,rng_out_sel_excl_yr_ind, "",rng_out_sel_G_ind,N$1,rng_out_mail_ind,$B110,rng_out_sel_sp_ind,$D110,rng_out_sel_excl_ind,$E110, rng_out_MSB_excl, $F110)+SUMIFS(rng_out_rx_post_yr1,rng_out_sel_excl_yr_ind, [1]Tables!$HN$4,rng_out_sel_G_ind,N$1,rng_out_mail_ind,$B110,rng_out_sel_sp_ind,$D110,rng_out_sel_excl_ind,$E110, rng_out_MSB_excl, $F110)* _xlfn.XLOOKUP([1]Tables!$HN$4,'[1]RA Output'!$AY$4:$AY$5,'[1]RA Output'!AZ$4:AZ$5,0)  +SUMIFS(rng_out_rx_post_yr1,rng_out_sel_excl_yr_ind, [1]Tables!$HN$5,rng_out_sel_G_ind,N$1,rng_out_mail_ind,$B110,rng_out_sel_sp_ind,$D110,rng_out_sel_excl_ind,$E110, rng_out_MSB_excl, $F110)* _xlfn.XLOOKUP([1]Tables!$HN$5,'[1]RA Output'!$AY$4:$AY$5,'[1]RA Output'!AZ$4:AZ$5,0))/[1]Tables!$BN$4*(1-[1]Tables!$BN$4)), 0) +
SUMIFS(rng_out_rx_post_yr1,rng_out_sel_excl_yr_ind, "",rng_out_sel_G_ind,I$1,rng_out_mail_ind,$B110,rng_out_sel_sp_ind,$D110,rng_out_sel_excl_ind,$E110)+SUMIFS(rng_out_rx_post_yr1,rng_out_sel_excl_yr_ind, [1]Tables!$HN$4,rng_out_sel_G_ind,I$1,rng_out_mail_ind,$B110,rng_out_sel_sp_ind,$D110,rng_out_sel_excl_ind,$E110)* _xlfn.XLOOKUP([1]Tables!$HN$4,'[1]RA Output'!$AY$4:$AY$5,'[1]RA Output'!AZ$4:AZ$5,0)  +SUMIFS(rng_out_rx_post_yr1,rng_out_sel_excl_yr_ind, [1]Tables!$HN$5,rng_out_sel_G_ind,I$1,rng_out_mail_ind,$B110,rng_out_sel_sp_ind,$D110,rng_out_sel_excl_ind,$E110)* _xlfn.XLOOKUP([1]Tables!$HN$5,'[1]RA Output'!$AY$4:$AY$5,'[1]RA Output'!AZ$4:AZ$5,0),
IFERROR(IF(OR(input_Shift="No", [1]Tables!$BN$4=1), 0, (SUMIFS(rng_out_rx_post_yr1,rng_out_sel_excl_yr_ind, "",rng_out_sel_G_ind,N$1,rng_out_mail_ind,$B110,rng_out_sel_sp_ind,$D110,rng_out_sel_excl_ind,$E110, rng_out_MSB_excl, $F110)+SUMIFS(rng_out_rx_post_yr1,rng_out_sel_excl_yr_ind, [1]Tables!$HN$4,rng_out_sel_G_ind,N$1,rng_out_mail_ind,$B110,rng_out_sel_sp_ind,$D110,rng_out_sel_excl_ind,$E110, rng_out_MSB_excl, $F110)* _xlfn.XLOOKUP([1]Tables!$HN$4,'[1]RA Output'!$AY$4:$AY$5,'[1]RA Output'!AZ$4:AZ$5,0)  +SUMIFS(rng_out_rx_post_yr1,rng_out_sel_excl_yr_ind, [1]Tables!$HN$5,rng_out_sel_G_ind,N$1,rng_out_mail_ind,$B110,rng_out_sel_sp_ind,$D110,rng_out_sel_excl_ind,$E110, rng_out_MSB_excl, $F110)* _xlfn.XLOOKUP([1]Tables!$HN$5,'[1]RA Output'!$AY$4:$AY$5,'[1]RA Output'!AZ$4:AZ$5,0) + SUMIFS(rng_out_rx_post_yr1, rng_out_mail_ind, $B110, rng_out_sel_G_ind,"B", rng_out_sel_sp_ind, $D110, rng_out_sel_excl_ind,"N", rng_out_MSB_excl, $F110, rng_out_post_reb_ind_yr1, 0))/[1]Tables!$BN$4*(1-[1]Tables!$BN$4)), 0) +
IFERROR(SUMIFS(rng_out_rx_post_yr1, rng_out_sel_G_ind, "G", rng_out_mail_ind, $B110, rng_out_sel_sp_ind, $D110, rng_out_sel_excl_ind,"N", rng_out_post_reb_ind_yr1, 0) +
SUMIFS(rng_out_rx_post_yr1,rng_out_sel_excl_yr_ind, "",rng_out_sel_G_ind,I$1,rng_out_mail_ind,$B110,rng_out_sel_sp_ind,$D110,rng_out_sel_excl_ind,$E110)+SUMIFS(rng_out_rx_post_yr1,rng_out_sel_excl_yr_ind, [1]Tables!$HN$4,rng_out_sel_G_ind,I$1,rng_out_mail_ind,$B110,rng_out_sel_sp_ind,$D110,rng_out_sel_excl_ind,$E110)* _xlfn.XLOOKUP([1]Tables!$HN$4,'[1]RA Output'!$AY$4:$AY$5,'[1]RA Output'!AZ$4:AZ$5,0)  +SUMIFS(rng_out_rx_post_yr1,rng_out_sel_excl_yr_ind, [1]Tables!$HN$5,rng_out_sel_G_ind,I$1,rng_out_mail_ind,$B110,rng_out_sel_sp_ind,$D110,rng_out_sel_excl_ind,$E110)* _xlfn.XLOOKUP([1]Tables!$HN$5,'[1]RA Output'!$AY$4:$AY$5,'[1]RA Output'!AZ$4:AZ$5,0), 0))/[1]Tables!$AT$4</f>
        <v>#VALUE!</v>
      </c>
      <c r="AR110" s="195" t="e" cm="1">
        <f t="array" aca="1" ref="AR110" ca="1">IF($E$112="N",
IFERROR(IF(OR(input_Shift="No", [1]Tables!$BN$4=1), 0, (SUMIFS(rng_out_rx_post_yr2,rng_out_sel_excl_yr_ind, "",rng_out_sel_G_ind,O$1,rng_out_mail_ind,$B110,rng_out_sel_sp_ind,$D110,rng_out_sel_excl_ind,$E110, rng_out_MSB_excl, $F110)+SUMIFS(rng_out_rx_post_yr2,rng_out_sel_excl_yr_ind, [1]Tables!$HN$4,rng_out_sel_G_ind,O$1,rng_out_mail_ind,$B110,rng_out_sel_sp_ind,$D110,rng_out_sel_excl_ind,$E110, rng_out_MSB_excl, $F110)* _xlfn.XLOOKUP([1]Tables!$HN$4,'[1]RA Output'!$AY$4:$AY$5,'[1]RA Output'!BA$4:BA$5,0)  +SUMIFS(rng_out_rx_post_yr2,rng_out_sel_excl_yr_ind, [1]Tables!$HN$5,rng_out_sel_G_ind,O$1,rng_out_mail_ind,$B110,rng_out_sel_sp_ind,$D110,rng_out_sel_excl_ind,$E110, rng_out_MSB_excl, $F110)* _xlfn.XLOOKUP([1]Tables!$HN$5,'[1]RA Output'!$AY$4:$AY$5,'[1]RA Output'!BA$4:BA$5,0))/[1]Tables!$BN$4*(1-[1]Tables!$BN$4)), 0) +
SUMIFS(rng_out_rx_post_yr2,rng_out_sel_excl_yr_ind, "",rng_out_sel_G_ind,J$1,rng_out_mail_ind,$B110,rng_out_sel_sp_ind,$D110,rng_out_sel_excl_ind,$E110)+SUMIFS(rng_out_rx_post_yr2,rng_out_sel_excl_yr_ind, [1]Tables!$HN$4,rng_out_sel_G_ind,J$1,rng_out_mail_ind,$B110,rng_out_sel_sp_ind,$D110,rng_out_sel_excl_ind,$E110)* _xlfn.XLOOKUP([1]Tables!$HN$4,'[1]RA Output'!$AY$4:$AY$5,'[1]RA Output'!BA$4:BA$5,0)  +SUMIFS(rng_out_rx_post_yr2,rng_out_sel_excl_yr_ind, [1]Tables!$HN$5,rng_out_sel_G_ind,J$1,rng_out_mail_ind,$B110,rng_out_sel_sp_ind,$D110,rng_out_sel_excl_ind,$E110)* _xlfn.XLOOKUP([1]Tables!$HN$5,'[1]RA Output'!$AY$4:$AY$5,'[1]RA Output'!BA$4:BA$5,0),
IFERROR(IF(OR(input_Shift="No", [1]Tables!$BN$4=1), 0, (SUMIFS(rng_out_rx_post_yr2,rng_out_sel_excl_yr_ind, "",rng_out_sel_G_ind,O$1,rng_out_mail_ind,$B110,rng_out_sel_sp_ind,$D110,rng_out_sel_excl_ind,$E110, rng_out_MSB_excl, $F110)+SUMIFS(rng_out_rx_post_yr2,rng_out_sel_excl_yr_ind, [1]Tables!$HN$4,rng_out_sel_G_ind,O$1,rng_out_mail_ind,$B110,rng_out_sel_sp_ind,$D110,rng_out_sel_excl_ind,$E110, rng_out_MSB_excl, $F110)* _xlfn.XLOOKUP([1]Tables!$HN$4,'[1]RA Output'!$AY$4:$AY$5,'[1]RA Output'!BA$4:BA$5,0)  +SUMIFS(rng_out_rx_post_yr2,rng_out_sel_excl_yr_ind, [1]Tables!$HN$5,rng_out_sel_G_ind,O$1,rng_out_mail_ind,$B110,rng_out_sel_sp_ind,$D110,rng_out_sel_excl_ind,$E110, rng_out_MSB_excl, $F110)* _xlfn.XLOOKUP([1]Tables!$HN$5,'[1]RA Output'!$AY$4:$AY$5,'[1]RA Output'!BA$4:BA$5,0) + SUMIFS(rng_out_rx_post_yr2, rng_out_mail_ind, $B110, rng_out_sel_G_ind,"B", rng_out_sel_sp_ind, $D110, rng_out_sel_excl_ind,"N", rng_out_MSB_excl, $F110, rng_out_post_reb_ind_yr2, 0))/[1]Tables!$BN$4*(1-[1]Tables!$BN$4)), 0) +
IFERROR(SUMIFS(rng_out_rx_post_yr2, rng_out_sel_G_ind, "G", rng_out_mail_ind, $B110, rng_out_sel_sp_ind, $D110, rng_out_sel_excl_ind,"N", rng_out_post_reb_ind_yr2, 0) +
SUMIFS(rng_out_rx_post_yr2,rng_out_sel_excl_yr_ind, "",rng_out_sel_G_ind,J$1,rng_out_mail_ind,$B110,rng_out_sel_sp_ind,$D110,rng_out_sel_excl_ind,$E110)+SUMIFS(rng_out_rx_post_yr2,rng_out_sel_excl_yr_ind, [1]Tables!$HN$4,rng_out_sel_G_ind,J$1,rng_out_mail_ind,$B110,rng_out_sel_sp_ind,$D110,rng_out_sel_excl_ind,$E110)* _xlfn.XLOOKUP([1]Tables!$HN$4,'[1]RA Output'!$AY$4:$AY$5,'[1]RA Output'!BA$4:BA$5,0)  +SUMIFS(rng_out_rx_post_yr2,rng_out_sel_excl_yr_ind, [1]Tables!$HN$5,rng_out_sel_G_ind,J$1,rng_out_mail_ind,$B110,rng_out_sel_sp_ind,$D110,rng_out_sel_excl_ind,$E110)* _xlfn.XLOOKUP([1]Tables!$HN$5,'[1]RA Output'!$AY$4:$AY$5,'[1]RA Output'!BA$4:BA$5,0), 0))/[1]Tables!$AT$4</f>
        <v>#VALUE!</v>
      </c>
      <c r="AS110" s="195" t="e" cm="1">
        <f t="array" aca="1" ref="AS110" ca="1">IF($E$112="N",
IFERROR(IF(OR(input_Shift="No", [1]Tables!$BN$4=1), 0, (SUMIFS(rng_out_rx_post_yr3,rng_out_sel_excl_yr_ind, "",rng_out_sel_G_ind,P$1,rng_out_mail_ind,$B110,rng_out_sel_sp_ind,$D110,rng_out_sel_excl_ind,$E110, rng_out_MSB_excl, $F110)+SUMIFS(rng_out_rx_post_yr3,rng_out_sel_excl_yr_ind, [1]Tables!$HN$4,rng_out_sel_G_ind,P$1,rng_out_mail_ind,$B110,rng_out_sel_sp_ind,$D110,rng_out_sel_excl_ind,$E110, rng_out_MSB_excl, $F110)* _xlfn.XLOOKUP([1]Tables!$HN$4,'[1]RA Output'!$AY$4:$AY$5,'[1]RA Output'!BB$4:BB$5,0)  +SUMIFS(rng_out_rx_post_yr3,rng_out_sel_excl_yr_ind, [1]Tables!$HN$5,rng_out_sel_G_ind,P$1,rng_out_mail_ind,$B110,rng_out_sel_sp_ind,$D110,rng_out_sel_excl_ind,$E110, rng_out_MSB_excl, $F110)* _xlfn.XLOOKUP([1]Tables!$HN$5,'[1]RA Output'!$AY$4:$AY$5,'[1]RA Output'!BB$4:BB$5,0))/[1]Tables!$BN$4*(1-[1]Tables!$BN$4)), 0) +
SUMIFS(rng_out_rx_post_yr3,rng_out_sel_excl_yr_ind, "",rng_out_sel_G_ind,K$1,rng_out_mail_ind,$B110,rng_out_sel_sp_ind,$D110,rng_out_sel_excl_ind,$E110)+SUMIFS(rng_out_rx_post_yr3,rng_out_sel_excl_yr_ind, [1]Tables!$HN$4,rng_out_sel_G_ind,K$1,rng_out_mail_ind,$B110,rng_out_sel_sp_ind,$D110,rng_out_sel_excl_ind,$E110)* _xlfn.XLOOKUP([1]Tables!$HN$4,'[1]RA Output'!$AY$4:$AY$5,'[1]RA Output'!BB$4:BB$5,0)  +SUMIFS(rng_out_rx_post_yr3,rng_out_sel_excl_yr_ind, [1]Tables!$HN$5,rng_out_sel_G_ind,K$1,rng_out_mail_ind,$B110,rng_out_sel_sp_ind,$D110,rng_out_sel_excl_ind,$E110)* _xlfn.XLOOKUP([1]Tables!$HN$5,'[1]RA Output'!$AY$4:$AY$5,'[1]RA Output'!BB$4:BB$5,0),
IFERROR(IF(OR(input_Shift="No", [1]Tables!$BN$4=1), 0, (SUMIFS(rng_out_rx_post_yr3,rng_out_sel_excl_yr_ind, "",rng_out_sel_G_ind,P$1,rng_out_mail_ind,$B110,rng_out_sel_sp_ind,$D110,rng_out_sel_excl_ind,$E110, rng_out_MSB_excl, $F110)+SUMIFS(rng_out_rx_post_yr3,rng_out_sel_excl_yr_ind, [1]Tables!$HN$4,rng_out_sel_G_ind,P$1,rng_out_mail_ind,$B110,rng_out_sel_sp_ind,$D110,rng_out_sel_excl_ind,$E110, rng_out_MSB_excl, $F110)* _xlfn.XLOOKUP([1]Tables!$HN$4,'[1]RA Output'!$AY$4:$AY$5,'[1]RA Output'!BB$4:BB$5,0)  +SUMIFS(rng_out_rx_post_yr3,rng_out_sel_excl_yr_ind, [1]Tables!$HN$5,rng_out_sel_G_ind,P$1,rng_out_mail_ind,$B110,rng_out_sel_sp_ind,$D110,rng_out_sel_excl_ind,$E110, rng_out_MSB_excl, $F110)* _xlfn.XLOOKUP([1]Tables!$HN$5,'[1]RA Output'!$AY$4:$AY$5,'[1]RA Output'!BB$4:BB$5,0) + SUMIFS(rng_out_rx_post_yr3, rng_out_mail_ind, $B110, rng_out_sel_G_ind,"B", rng_out_sel_sp_ind, $D110, rng_out_sel_excl_ind,"N", rng_out_MSB_excl, $F110, rng_out_post_reb_ind_yr3, 0))/[1]Tables!$BN$4*(1-[1]Tables!$BN$4)), 0) +
IFERROR(SUMIFS(rng_out_rx_post_yr3, rng_out_sel_G_ind, "G", rng_out_mail_ind, $B110, rng_out_sel_sp_ind, $D110, rng_out_sel_excl_ind,"N", rng_out_post_reb_ind_yr3, 0) +
SUMIFS(rng_out_rx_post_yr3,rng_out_sel_excl_yr_ind, "",rng_out_sel_G_ind,K$1,rng_out_mail_ind,$B110,rng_out_sel_sp_ind,$D110,rng_out_sel_excl_ind,$E110)+SUMIFS(rng_out_rx_post_yr3,rng_out_sel_excl_yr_ind, [1]Tables!$HN$4,rng_out_sel_G_ind,K$1,rng_out_mail_ind,$B110,rng_out_sel_sp_ind,$D110,rng_out_sel_excl_ind,$E110)* _xlfn.XLOOKUP([1]Tables!$HN$4,'[1]RA Output'!$AY$4:$AY$5,'[1]RA Output'!BB$4:BB$5,0)  +SUMIFS(rng_out_rx_post_yr3,rng_out_sel_excl_yr_ind, [1]Tables!$HN$5,rng_out_sel_G_ind,K$1,rng_out_mail_ind,$B110,rng_out_sel_sp_ind,$D110,rng_out_sel_excl_ind,$E110)* _xlfn.XLOOKUP([1]Tables!$HN$5,'[1]RA Output'!$AY$4:$AY$5,'[1]RA Output'!BB$4:BB$5,0), 0))/[1]Tables!$AT$4</f>
        <v>#VALUE!</v>
      </c>
      <c r="AT110" s="195" t="e" cm="1">
        <f t="array" aca="1" ref="AT110" ca="1">IF($E$112="N",
IFERROR(IF(OR(input_Shift="No", [1]Tables!$BN$4=1), 0, (SUMIFS(rng_out_rx_post_yr4,rng_out_sel_excl_yr_ind, "",rng_out_sel_G_ind,Q$1,rng_out_mail_ind,$B110,rng_out_sel_sp_ind,$D110,rng_out_sel_excl_ind,$E110, rng_out_MSB_excl, $F110)+SUMIFS(rng_out_rx_post_yr4,rng_out_sel_excl_yr_ind, [1]Tables!$HN$4,rng_out_sel_G_ind,Q$1,rng_out_mail_ind,$B110,rng_out_sel_sp_ind,$D110,rng_out_sel_excl_ind,$E110, rng_out_MSB_excl, $F110)* _xlfn.XLOOKUP([1]Tables!$HN$4,'[1]RA Output'!$AY$4:$AY$5,'[1]RA Output'!BC$4:BC$5,0)  +SUMIFS(rng_out_rx_post_yr4,rng_out_sel_excl_yr_ind, [1]Tables!$HN$5,rng_out_sel_G_ind,Q$1,rng_out_mail_ind,$B110,rng_out_sel_sp_ind,$D110,rng_out_sel_excl_ind,$E110, rng_out_MSB_excl, $F110)* _xlfn.XLOOKUP([1]Tables!$HN$5,'[1]RA Output'!$AY$4:$AY$5,'[1]RA Output'!BC$4:BC$5,0))/[1]Tables!$BN$4*(1-[1]Tables!$BN$4)), 0) +
SUMIFS(rng_out_rx_post_yr4,rng_out_sel_excl_yr_ind, "",rng_out_sel_G_ind,L$1,rng_out_mail_ind,$B110,rng_out_sel_sp_ind,$D110,rng_out_sel_excl_ind,$E110)+SUMIFS(rng_out_rx_post_yr4,rng_out_sel_excl_yr_ind, [1]Tables!$HN$4,rng_out_sel_G_ind,L$1,rng_out_mail_ind,$B110,rng_out_sel_sp_ind,$D110,rng_out_sel_excl_ind,$E110)* _xlfn.XLOOKUP([1]Tables!$HN$4,'[1]RA Output'!$AY$4:$AY$5,'[1]RA Output'!BC$4:BC$5,0)  +SUMIFS(rng_out_rx_post_yr4,rng_out_sel_excl_yr_ind, [1]Tables!$HN$5,rng_out_sel_G_ind,L$1,rng_out_mail_ind,$B110,rng_out_sel_sp_ind,$D110,rng_out_sel_excl_ind,$E110)* _xlfn.XLOOKUP([1]Tables!$HN$5,'[1]RA Output'!$AY$4:$AY$5,'[1]RA Output'!BC$4:BC$5,0),
IFERROR(IF(OR(input_Shift="No", [1]Tables!$BN$4=1), 0, (SUMIFS(rng_out_rx_post_yr4,rng_out_sel_excl_yr_ind, "",rng_out_sel_G_ind,Q$1,rng_out_mail_ind,$B110,rng_out_sel_sp_ind,$D110,rng_out_sel_excl_ind,$E110, rng_out_MSB_excl, $F110)+SUMIFS(rng_out_rx_post_yr4,rng_out_sel_excl_yr_ind, [1]Tables!$HN$4,rng_out_sel_G_ind,Q$1,rng_out_mail_ind,$B110,rng_out_sel_sp_ind,$D110,rng_out_sel_excl_ind,$E110, rng_out_MSB_excl, $F110)* _xlfn.XLOOKUP([1]Tables!$HN$4,'[1]RA Output'!$AY$4:$AY$5,'[1]RA Output'!BC$4:BC$5,0)  +SUMIFS(rng_out_rx_post_yr4,rng_out_sel_excl_yr_ind, [1]Tables!$HN$5,rng_out_sel_G_ind,Q$1,rng_out_mail_ind,$B110,rng_out_sel_sp_ind,$D110,rng_out_sel_excl_ind,$E110, rng_out_MSB_excl, $F110)* _xlfn.XLOOKUP([1]Tables!$HN$5,'[1]RA Output'!$AY$4:$AY$5,'[1]RA Output'!BC$4:BC$5,0) + SUMIFS(rng_out_rx_post_yr4, rng_out_mail_ind, $B110, rng_out_sel_G_ind,"B", rng_out_sel_sp_ind, $D110, rng_out_sel_excl_ind,"N", rng_out_MSB_excl, $F110, rng_out_post_reb_ind_yr4, 0))/[1]Tables!$BN$4*(1-[1]Tables!$BN$4)), 0) +
IFERROR(SUMIFS(rng_out_rx_post_yr4, rng_out_sel_G_ind, "G", rng_out_mail_ind, $B110, rng_out_sel_sp_ind, $D110, rng_out_sel_excl_ind,"N", rng_out_post_reb_ind_yr4, 0) +
SUMIFS(rng_out_rx_post_yr4,rng_out_sel_excl_yr_ind, "",rng_out_sel_G_ind,L$1,rng_out_mail_ind,$B110,rng_out_sel_sp_ind,$D110,rng_out_sel_excl_ind,$E110)+SUMIFS(rng_out_rx_post_yr4,rng_out_sel_excl_yr_ind, [1]Tables!$HN$4,rng_out_sel_G_ind,L$1,rng_out_mail_ind,$B110,rng_out_sel_sp_ind,$D110,rng_out_sel_excl_ind,$E110)* _xlfn.XLOOKUP([1]Tables!$HN$4,'[1]RA Output'!$AY$4:$AY$5,'[1]RA Output'!BC$4:BC$5,0)  +SUMIFS(rng_out_rx_post_yr4,rng_out_sel_excl_yr_ind, [1]Tables!$HN$5,rng_out_sel_G_ind,L$1,rng_out_mail_ind,$B110,rng_out_sel_sp_ind,$D110,rng_out_sel_excl_ind,$E110)* _xlfn.XLOOKUP([1]Tables!$HN$5,'[1]RA Output'!$AY$4:$AY$5,'[1]RA Output'!BC$4:BC$5,0), 0))/[1]Tables!$AT$4</f>
        <v>#VALUE!</v>
      </c>
      <c r="AU110" s="211" t="e" cm="1">
        <f t="array" aca="1" ref="AU110" ca="1">IF($E$112="N",
IFERROR(IF(OR(input_Shift="No", [1]Tables!$BN$4=1), 0, (SUMIFS(rng_out_rx_post_yr5,rng_out_sel_excl_yr_ind, "",rng_out_sel_G_ind,R$1,rng_out_mail_ind,$B110,rng_out_sel_sp_ind,$D110,rng_out_sel_excl_ind,$E110, rng_out_MSB_excl, $F110)+SUMIFS(rng_out_rx_post_yr5,rng_out_sel_excl_yr_ind, [1]Tables!$HN$4,rng_out_sel_G_ind,R$1,rng_out_mail_ind,$B110,rng_out_sel_sp_ind,$D110,rng_out_sel_excl_ind,$E110, rng_out_MSB_excl, $F110)* _xlfn.XLOOKUP([1]Tables!$HN$4,'[1]RA Output'!$AY$4:$AY$5,'[1]RA Output'!BD$4:BD$5,0)  +SUMIFS(rng_out_rx_post_yr5,rng_out_sel_excl_yr_ind, [1]Tables!$HN$5,rng_out_sel_G_ind,R$1,rng_out_mail_ind,$B110,rng_out_sel_sp_ind,$D110,rng_out_sel_excl_ind,$E110, rng_out_MSB_excl, $F110)* _xlfn.XLOOKUP([1]Tables!$HN$5,'[1]RA Output'!$AY$4:$AY$5,'[1]RA Output'!BD$4:BD$5,0))/[1]Tables!$BN$4*(1-[1]Tables!$BN$4)), 0) +
SUMIFS(rng_out_rx_post_yr5,rng_out_sel_excl_yr_ind, "",rng_out_sel_G_ind,M$1,rng_out_mail_ind,$B110,rng_out_sel_sp_ind,$D110,rng_out_sel_excl_ind,$E110)+SUMIFS(rng_out_rx_post_yr5,rng_out_sel_excl_yr_ind, [1]Tables!$HN$4,rng_out_sel_G_ind,M$1,rng_out_mail_ind,$B110,rng_out_sel_sp_ind,$D110,rng_out_sel_excl_ind,$E110)* _xlfn.XLOOKUP([1]Tables!$HN$4,'[1]RA Output'!$AY$4:$AY$5,'[1]RA Output'!BD$4:BD$5,0)  +SUMIFS(rng_out_rx_post_yr5,rng_out_sel_excl_yr_ind, [1]Tables!$HN$5,rng_out_sel_G_ind,M$1,rng_out_mail_ind,$B110,rng_out_sel_sp_ind,$D110,rng_out_sel_excl_ind,$E110)* _xlfn.XLOOKUP([1]Tables!$HN$5,'[1]RA Output'!$AY$4:$AY$5,'[1]RA Output'!BD$4:BD$5,0),
IFERROR(IF(OR(input_Shift="No", [1]Tables!$BN$4=1), 0, (SUMIFS(rng_out_rx_post_yr5,rng_out_sel_excl_yr_ind, "",rng_out_sel_G_ind,R$1,rng_out_mail_ind,$B110,rng_out_sel_sp_ind,$D110,rng_out_sel_excl_ind,$E110, rng_out_MSB_excl, $F110)+SUMIFS(rng_out_rx_post_yr5,rng_out_sel_excl_yr_ind, [1]Tables!$HN$4,rng_out_sel_G_ind,R$1,rng_out_mail_ind,$B110,rng_out_sel_sp_ind,$D110,rng_out_sel_excl_ind,$E110, rng_out_MSB_excl, $F110)* _xlfn.XLOOKUP([1]Tables!$HN$4,'[1]RA Output'!$AY$4:$AY$5,'[1]RA Output'!BD$4:BD$5,0)  +SUMIFS(rng_out_rx_post_yr5,rng_out_sel_excl_yr_ind, [1]Tables!$HN$5,rng_out_sel_G_ind,R$1,rng_out_mail_ind,$B110,rng_out_sel_sp_ind,$D110,rng_out_sel_excl_ind,$E110, rng_out_MSB_excl, $F110)* _xlfn.XLOOKUP([1]Tables!$HN$5,'[1]RA Output'!$AY$4:$AY$5,'[1]RA Output'!BD$4:BD$5,0) + SUMIFS(rng_out_rx_post_yr5, rng_out_mail_ind, $B110, rng_out_sel_G_ind,"B", rng_out_sel_sp_ind, $D110, rng_out_sel_excl_ind,"N", rng_out_MSB_excl, $F110, rng_out_post_reb_ind_yr5, 0))/[1]Tables!$BN$4*(1-[1]Tables!$BN$4)), 0) +
IFERROR(SUMIFS(rng_out_rx_post_yr5, rng_out_sel_G_ind, "G", rng_out_mail_ind, $B110, rng_out_sel_sp_ind, $D110, rng_out_sel_excl_ind,"N", rng_out_post_reb_ind_yr5, 0) +
SUMIFS(rng_out_rx_post_yr5,rng_out_sel_excl_yr_ind, "",rng_out_sel_G_ind,M$1,rng_out_mail_ind,$B110,rng_out_sel_sp_ind,$D110,rng_out_sel_excl_ind,$E110)+SUMIFS(rng_out_rx_post_yr5,rng_out_sel_excl_yr_ind, [1]Tables!$HN$4,rng_out_sel_G_ind,M$1,rng_out_mail_ind,$B110,rng_out_sel_sp_ind,$D110,rng_out_sel_excl_ind,$E110)* _xlfn.XLOOKUP([1]Tables!$HN$4,'[1]RA Output'!$AY$4:$AY$5,'[1]RA Output'!BD$4:BD$5,0)  +SUMIFS(rng_out_rx_post_yr5,rng_out_sel_excl_yr_ind, [1]Tables!$HN$5,rng_out_sel_G_ind,M$1,rng_out_mail_ind,$B110,rng_out_sel_sp_ind,$D110,rng_out_sel_excl_ind,$E110)* _xlfn.XLOOKUP([1]Tables!$HN$5,'[1]RA Output'!$AY$4:$AY$5,'[1]RA Output'!BD$4:BD$5,0), 0))/[1]Tables!$AT$4</f>
        <v>#VALUE!</v>
      </c>
      <c r="AV110" s="210" t="e" cm="1">
        <f t="array" aca="1" ref="AV110" ca="1">(SUMIFS(rng_out_rx_post_yr1,rng_out_sel_excl_yr_ind, "",rng_out_sel_G_ind,N$1,rng_out_mail_ind,$B110,rng_out_sel_sp_ind,$D110,rng_out_sel_excl_ind,$E110)+
SUMIFS(rng_out_rx_post_yr1,rng_out_sel_excl_yr_ind, [1]Tables!$HN$4,rng_out_sel_G_ind,N$1,rng_out_mail_ind,$B110,rng_out_sel_sp_ind,$D110,rng_out_sel_excl_ind,$E110)* _xlfn.XLOOKUP([1]Tables!$HN$4,'[1]RA Output'!$AY$4:$AY$5,'[1]RA Output'!AZ$4:AZ$5,0)  +
SUMIFS(rng_out_rx_post_yr1,rng_out_sel_excl_yr_ind, [1]Tables!$HN$5,rng_out_sel_G_ind,N$1,rng_out_mail_ind,$B110,rng_out_sel_sp_ind,$D110,rng_out_sel_excl_ind,$E110)* _xlfn.XLOOKUP([1]Tables!$HN$5,'[1]RA Output'!$AY$4:$AY$5,'[1]RA Output'!AZ$4:AZ$5,0)+
IF($E$112="N",0,
SUMIFS(rng_out_rx_post_yr1, rng_out_sel_G_ind, "B", rng_out_mail_ind, $B110, rng_out_sel_sp_ind, $D110, rng_out_sel_excl_ind,"N", rng_out_post_reb_ind_yr1, 0)))/[1]Tables!$AT$4</f>
        <v>#VALUE!</v>
      </c>
      <c r="AW110" s="195" t="e" cm="1">
        <f t="array" aca="1" ref="AW110" ca="1">(SUMIFS(rng_out_rx_post_yr2,rng_out_sel_excl_yr_ind, "",rng_out_sel_G_ind,O$1,rng_out_mail_ind,$B110,rng_out_sel_sp_ind,$D110,rng_out_sel_excl_ind,$E110)+
SUMIFS(rng_out_rx_post_yr2,rng_out_sel_excl_yr_ind, [1]Tables!$HN$4,rng_out_sel_G_ind,O$1,rng_out_mail_ind,$B110,rng_out_sel_sp_ind,$D110,rng_out_sel_excl_ind,$E110)* _xlfn.XLOOKUP([1]Tables!$HN$4,'[1]RA Output'!$AY$4:$AY$5,'[1]RA Output'!BA$4:BA$5,0)  +
SUMIFS(rng_out_rx_post_yr2,rng_out_sel_excl_yr_ind, [1]Tables!$HN$5,rng_out_sel_G_ind,O$1,rng_out_mail_ind,$B110,rng_out_sel_sp_ind,$D110,rng_out_sel_excl_ind,$E110)* _xlfn.XLOOKUP([1]Tables!$HN$5,'[1]RA Output'!$AY$4:$AY$5,'[1]RA Output'!BA$4:BA$5,0)+
IF($E$112="N",0,
SUMIFS(rng_out_rx_post_yr2, rng_out_sel_G_ind, "B", rng_out_mail_ind, $B110, rng_out_sel_sp_ind, $D110, rng_out_sel_excl_ind,"N", rng_out_post_reb_ind_yr2, 0)))/[1]Tables!$AT$4</f>
        <v>#VALUE!</v>
      </c>
      <c r="AX110" s="195" t="e" cm="1">
        <f t="array" aca="1" ref="AX110" ca="1">(SUMIFS(rng_out_rx_post_yr3,rng_out_sel_excl_yr_ind, "",rng_out_sel_G_ind,P$1,rng_out_mail_ind,$B110,rng_out_sel_sp_ind,$D110,rng_out_sel_excl_ind,$E110)+
SUMIFS(rng_out_rx_post_yr3,rng_out_sel_excl_yr_ind, [1]Tables!$HN$4,rng_out_sel_G_ind,P$1,rng_out_mail_ind,$B110,rng_out_sel_sp_ind,$D110,rng_out_sel_excl_ind,$E110)* _xlfn.XLOOKUP([1]Tables!$HN$4,'[1]RA Output'!$AY$4:$AY$5,'[1]RA Output'!BB$4:BB$5,0)  +
SUMIFS(rng_out_rx_post_yr3,rng_out_sel_excl_yr_ind, [1]Tables!$HN$5,rng_out_sel_G_ind,P$1,rng_out_mail_ind,$B110,rng_out_sel_sp_ind,$D110,rng_out_sel_excl_ind,$E110)* _xlfn.XLOOKUP([1]Tables!$HN$5,'[1]RA Output'!$AY$4:$AY$5,'[1]RA Output'!BB$4:BB$5,0)+
IF($E$112="N",0,
SUMIFS(rng_out_rx_post_yr3, rng_out_sel_G_ind, "B", rng_out_mail_ind, $B110, rng_out_sel_sp_ind, $D110, rng_out_sel_excl_ind,"N", rng_out_post_reb_ind_yr3, 0)))/[1]Tables!$AT$4</f>
        <v>#VALUE!</v>
      </c>
      <c r="AY110" s="195" t="e" cm="1">
        <f t="array" aca="1" ref="AY110" ca="1">(SUMIFS(rng_out_rx_post_yr4,rng_out_sel_excl_yr_ind, "",rng_out_sel_G_ind,Q$1,rng_out_mail_ind,$B110,rng_out_sel_sp_ind,$D110,rng_out_sel_excl_ind,$E110)+
SUMIFS(rng_out_rx_post_yr4,rng_out_sel_excl_yr_ind, [1]Tables!$HN$4,rng_out_sel_G_ind,Q$1,rng_out_mail_ind,$B110,rng_out_sel_sp_ind,$D110,rng_out_sel_excl_ind,$E110)* _xlfn.XLOOKUP([1]Tables!$HN$4,'[1]RA Output'!$AY$4:$AY$5,'[1]RA Output'!BC$4:BC$5,0)  +
SUMIFS(rng_out_rx_post_yr4,rng_out_sel_excl_yr_ind, [1]Tables!$HN$5,rng_out_sel_G_ind,Q$1,rng_out_mail_ind,$B110,rng_out_sel_sp_ind,$D110,rng_out_sel_excl_ind,$E110)* _xlfn.XLOOKUP([1]Tables!$HN$5,'[1]RA Output'!$AY$4:$AY$5,'[1]RA Output'!BC$4:BC$5,0)+
IF($E$112="N",0,
SUMIFS(rng_out_rx_post_yr4, rng_out_sel_G_ind, "B", rng_out_mail_ind, $B110, rng_out_sel_sp_ind, $D110, rng_out_sel_excl_ind,"N", rng_out_post_reb_ind_yr4, 0)))/[1]Tables!$AT$4</f>
        <v>#VALUE!</v>
      </c>
      <c r="AZ110" s="211" t="e" cm="1">
        <f t="array" aca="1" ref="AZ110" ca="1">(SUMIFS(rng_out_rx_post_yr5,rng_out_sel_excl_yr_ind, "",rng_out_sel_G_ind,R$1,rng_out_mail_ind,$B110,rng_out_sel_sp_ind,$D110,rng_out_sel_excl_ind,$E110)+
SUMIFS(rng_out_rx_post_yr5,rng_out_sel_excl_yr_ind, [1]Tables!$HN$4,rng_out_sel_G_ind,R$1,rng_out_mail_ind,$B110,rng_out_sel_sp_ind,$D110,rng_out_sel_excl_ind,$E110)* _xlfn.XLOOKUP([1]Tables!$HN$4,'[1]RA Output'!$AY$4:$AY$5,'[1]RA Output'!BD$4:BD$5,0)  +
SUMIFS(rng_out_rx_post_yr5,rng_out_sel_excl_yr_ind, [1]Tables!$HN$5,rng_out_sel_G_ind,R$1,rng_out_mail_ind,$B110,rng_out_sel_sp_ind,$D110,rng_out_sel_excl_ind,$E110)* _xlfn.XLOOKUP([1]Tables!$HN$5,'[1]RA Output'!$AY$4:$AY$5,'[1]RA Output'!BD$4:BD$5,0)+
IF($E$112="N",0,
SUMIFS(rng_out_rx_post_yr5, rng_out_sel_G_ind, "B", rng_out_mail_ind, $B110, rng_out_sel_sp_ind, $D110, rng_out_sel_excl_ind,"N", rng_out_post_reb_ind_yr5, 0)))/[1]Tables!$AT$4</f>
        <v>#VALUE!</v>
      </c>
      <c r="BA110" s="206" t="e">
        <f t="shared" ca="1" si="92"/>
        <v>#VALUE!</v>
      </c>
      <c r="BB110" s="206" t="e">
        <f t="shared" ca="1" si="92"/>
        <v>#VALUE!</v>
      </c>
      <c r="BC110" s="206" t="e">
        <f t="shared" ca="1" si="92"/>
        <v>#VALUE!</v>
      </c>
      <c r="BD110" s="206" t="e">
        <f t="shared" ca="1" si="92"/>
        <v>#VALUE!</v>
      </c>
      <c r="BE110" s="212" t="e">
        <f t="shared" ca="1" si="92"/>
        <v>#VALUE!</v>
      </c>
      <c r="BG110" s="121" t="s">
        <v>7</v>
      </c>
      <c r="BH110" s="213" t="e">
        <f t="shared" ca="1" si="93"/>
        <v>#VALUE!</v>
      </c>
      <c r="BI110" s="206" t="e">
        <f t="shared" ca="1" si="93"/>
        <v>#VALUE!</v>
      </c>
      <c r="BJ110" s="206" t="e">
        <f t="shared" ca="1" si="93"/>
        <v>#VALUE!</v>
      </c>
      <c r="BK110" s="206" t="e">
        <f t="shared" ca="1" si="93"/>
        <v>#VALUE!</v>
      </c>
      <c r="BL110" s="214" t="e">
        <f t="shared" ca="1" si="93"/>
        <v>#VALUE!</v>
      </c>
      <c r="BM110" s="213" t="e">
        <f t="shared" ca="1" si="93"/>
        <v>#VALUE!</v>
      </c>
      <c r="BN110" s="206" t="e">
        <f t="shared" ca="1" si="93"/>
        <v>#VALUE!</v>
      </c>
      <c r="BO110" s="206" t="e">
        <f t="shared" ca="1" si="93"/>
        <v>#VALUE!</v>
      </c>
      <c r="BP110" s="206" t="e">
        <f t="shared" ca="1" si="93"/>
        <v>#VALUE!</v>
      </c>
      <c r="BQ110" s="214" t="e">
        <f t="shared" ca="1" si="93"/>
        <v>#VALUE!</v>
      </c>
      <c r="BR110" s="213" t="e">
        <f t="shared" ca="1" si="94"/>
        <v>#VALUE!</v>
      </c>
      <c r="BS110" s="206" t="e">
        <f t="shared" ca="1" si="94"/>
        <v>#VALUE!</v>
      </c>
      <c r="BT110" s="206" t="e">
        <f t="shared" ca="1" si="94"/>
        <v>#VALUE!</v>
      </c>
      <c r="BU110" s="206" t="e">
        <f t="shared" ca="1" si="94"/>
        <v>#VALUE!</v>
      </c>
      <c r="BV110" s="214" t="e">
        <f t="shared" ca="1" si="94"/>
        <v>#VALUE!</v>
      </c>
      <c r="BX110" s="121" t="s">
        <v>7</v>
      </c>
      <c r="BY110" s="213" t="e">
        <f t="shared" ca="1" si="95"/>
        <v>#VALUE!</v>
      </c>
      <c r="BZ110" s="206" t="e">
        <f t="shared" ca="1" si="95"/>
        <v>#VALUE!</v>
      </c>
      <c r="CA110" s="206" t="e">
        <f t="shared" ca="1" si="95"/>
        <v>#VALUE!</v>
      </c>
      <c r="CB110" s="206" t="e">
        <f t="shared" ca="1" si="95"/>
        <v>#VALUE!</v>
      </c>
      <c r="CC110" s="214" t="e">
        <f t="shared" ca="1" si="95"/>
        <v>#VALUE!</v>
      </c>
      <c r="CD110" s="213" t="e">
        <f t="shared" ca="1" si="96"/>
        <v>#VALUE!</v>
      </c>
      <c r="CE110" s="206" t="e">
        <f t="shared" ca="1" si="96"/>
        <v>#VALUE!</v>
      </c>
      <c r="CF110" s="206" t="e">
        <f t="shared" ca="1" si="96"/>
        <v>#VALUE!</v>
      </c>
      <c r="CG110" s="206" t="e">
        <f t="shared" ca="1" si="96"/>
        <v>#VALUE!</v>
      </c>
      <c r="CH110" s="214" t="e">
        <f t="shared" ca="1" si="96"/>
        <v>#VALUE!</v>
      </c>
      <c r="CI110" s="213" t="e">
        <f t="shared" ca="1" si="97"/>
        <v>#VALUE!</v>
      </c>
      <c r="CJ110" s="206" t="e">
        <f t="shared" ca="1" si="97"/>
        <v>#VALUE!</v>
      </c>
      <c r="CK110" s="206" t="e">
        <f t="shared" ca="1" si="97"/>
        <v>#VALUE!</v>
      </c>
      <c r="CL110" s="206" t="e">
        <f t="shared" ca="1" si="97"/>
        <v>#VALUE!</v>
      </c>
      <c r="CM110" s="214" t="e">
        <f t="shared" ca="1" si="97"/>
        <v>#VALUE!</v>
      </c>
      <c r="CO110" s="213" cm="1">
        <f t="array" aca="1" ref="CO110" ca="1">_xlfn.SINGLE(IFERROR(SUMIFS(rng_out_rx_base, rng_out_sel_G_ind, "G", rng_out_mail_ind, $B110, rng_out_sel_sp_ind, $D110, rng_out_sel_excl_ind,"Y")/[1]Tables!$AT$4, 0))</f>
        <v>0</v>
      </c>
      <c r="CP110" s="214" cm="1">
        <f t="array" aca="1" ref="CP110" ca="1">_xlfn.SINGLE(IFERROR(SUMIFS(rng_out_rx_base, rng_out_sel_G_ind, "B", rng_out_mail_ind, $B110, rng_out_sel_sp_ind, $D110, rng_out_sel_excl_ind,"Y")/[1]Tables!$AT$4, 0))</f>
        <v>0</v>
      </c>
      <c r="CQ110" s="220">
        <f ca="1">SUM(CO110:CP110)</f>
        <v>0</v>
      </c>
      <c r="CR110" s="213" cm="1">
        <f t="array" aca="1" ref="CR110" ca="1">_xlfn.SINGLE(IFERROR(SUMIFS(rng_out_qty_base, rng_out_sel_G_ind, "G", rng_out_mail_ind, $B110, rng_out_sel_sp_ind, $D110, rng_out_sel_excl_ind,"Y")/[1]Tables!$AT$4, 0))</f>
        <v>0</v>
      </c>
      <c r="CS110" s="206" cm="1">
        <f t="array" aca="1" ref="CS110" ca="1">_xlfn.SINGLE(IFERROR(SUMIFS(rng_out_qty_base, rng_out_sel_G_ind, "B", rng_out_mail_ind, $B110, rng_out_sel_sp_ind, $D110, rng_out_sel_excl_ind,"Y")/[1]Tables!$AT$4, 0))</f>
        <v>0</v>
      </c>
      <c r="CT110" s="221">
        <f ca="1">SUM(CR110:CS110)</f>
        <v>0</v>
      </c>
      <c r="CU110" s="213" cm="1">
        <f t="array" aca="1" ref="CU110" ca="1">_xlfn.SINGLE(IFERROR(SUMIFS(rng_out_ds_base, rng_out_sel_G_ind, "G", rng_out_mail_ind, $B110, rng_out_sel_sp_ind, $D110, rng_out_sel_excl_ind,"Y")/[1]Tables!$AT$4, 0))</f>
        <v>0</v>
      </c>
      <c r="CV110" s="214" cm="1">
        <f t="array" aca="1" ref="CV110" ca="1">_xlfn.SINGLE(IFERROR(SUMIFS(rng_out_ds_base, rng_out_sel_G_ind, "B", rng_out_mail_ind, $B110, rng_out_sel_sp_ind, $D110, rng_out_sel_excl_ind,"Y")/[1]Tables!$AT$4, 0))</f>
        <v>0</v>
      </c>
      <c r="CW110" s="220">
        <f ca="1">SUM(CU110:CV110)</f>
        <v>0</v>
      </c>
      <c r="DC110" s="213" t="e">
        <f t="shared" ca="1" si="98"/>
        <v>#VALUE!</v>
      </c>
      <c r="DD110" s="206" t="e">
        <f t="shared" ca="1" si="98"/>
        <v>#VALUE!</v>
      </c>
      <c r="DE110" s="206" t="e">
        <f t="shared" ca="1" si="98"/>
        <v>#VALUE!</v>
      </c>
      <c r="DF110" s="206" t="e">
        <f t="shared" ca="1" si="98"/>
        <v>#VALUE!</v>
      </c>
      <c r="DG110" s="214" t="e">
        <f t="shared" ca="1" si="98"/>
        <v>#VALUE!</v>
      </c>
    </row>
    <row r="111" spans="1:123" ht="15" thickBot="1" x14ac:dyDescent="0.4">
      <c r="B111" s="122"/>
      <c r="C111" s="123"/>
      <c r="D111" s="123" t="s">
        <v>13</v>
      </c>
      <c r="E111" s="124" t="s">
        <v>13</v>
      </c>
      <c r="F111" s="106">
        <v>1</v>
      </c>
      <c r="G111" s="106"/>
      <c r="H111" s="118" t="s">
        <v>17</v>
      </c>
      <c r="I111" s="203" t="e" cm="1">
        <f t="array" aca="1" ref="I111" ca="1">SUMIFS(rng_out_rx_pre_yr1,rng_out_sel_excl_yr_ind, "",rng_out_sel_G_ind,I$1,rng_out_sel_sp_ind,$D111,rng_out_sel_excl_ind,$E111)+
SUMIFS(rng_out_rx_pre_yr1,rng_out_sel_excl_yr_ind, [1]Tables!$HN$4,rng_out_sel_G_ind,I$1,rng_out_sel_sp_ind,$D111,rng_out_sel_excl_ind,$E111)* _xlfn.XLOOKUP([1]Tables!$HN$4,'[1]RA Output'!$AY$4:$AY$5,'[1]RA Output'!AZ$4:AZ$5,0)  +
SUMIFS(rng_out_rx_pre_yr1,rng_out_sel_excl_yr_ind, [1]Tables!$HN$5,rng_out_sel_G_ind,I$1,rng_out_sel_sp_ind,$D111,rng_out_sel_excl_ind,$E111)* _xlfn.XLOOKUP([1]Tables!$HN$5,'[1]RA Output'!$AY$4:$AY$5,'[1]RA Output'!AZ$4:AZ$5,0) +
IF($E$112="N",0,SUMIFS(rng_out_rx_pre_yr1, rng_out_sel_G_ind, I$1, rng_out_sel_sp_ind, $D111, rng_out_sel_excl_ind,"N", rng_out_post_reb_ind_yr1, 0))</f>
        <v>#VALUE!</v>
      </c>
      <c r="J111" s="195" t="e" cm="1">
        <f t="array" aca="1" ref="J111" ca="1">SUMIFS(rng_out_rx_pre_yr2,rng_out_sel_excl_yr_ind, "",rng_out_sel_G_ind,J$1,rng_out_sel_sp_ind,$D111,rng_out_sel_excl_ind,$E111)+
SUMIFS(rng_out_rx_pre_yr2,rng_out_sel_excl_yr_ind, [1]Tables!$HN$4,rng_out_sel_G_ind,J$1,rng_out_sel_sp_ind,$D111,rng_out_sel_excl_ind,$E111)* _xlfn.XLOOKUP([1]Tables!$HN$4,'[1]RA Output'!$AY$4:$AY$5,'[1]RA Output'!BA$4:BA$5,0)  +
SUMIFS(rng_out_rx_pre_yr2,rng_out_sel_excl_yr_ind, [1]Tables!$HN$5,rng_out_sel_G_ind,J$1,rng_out_sel_sp_ind,$D111,rng_out_sel_excl_ind,$E111)* _xlfn.XLOOKUP([1]Tables!$HN$5,'[1]RA Output'!$AY$4:$AY$5,'[1]RA Output'!BA$4:BA$5,0) +
IF($E$112="N",0,SUMIFS(rng_out_rx_pre_yr2, rng_out_sel_G_ind, J$1, rng_out_sel_sp_ind, $D111, rng_out_sel_excl_ind,"N", rng_out_post_reb_ind_yr2, 0))</f>
        <v>#VALUE!</v>
      </c>
      <c r="K111" s="195" t="e" cm="1">
        <f t="array" aca="1" ref="K111" ca="1">SUMIFS(rng_out_rx_pre_yr3,rng_out_sel_excl_yr_ind, "",rng_out_sel_G_ind,K$1,rng_out_sel_sp_ind,$D111,rng_out_sel_excl_ind,$E111)+
SUMIFS(rng_out_rx_pre_yr3,rng_out_sel_excl_yr_ind, [1]Tables!$HN$4,rng_out_sel_G_ind,K$1,rng_out_sel_sp_ind,$D111,rng_out_sel_excl_ind,$E111)* _xlfn.XLOOKUP([1]Tables!$HN$4,'[1]RA Output'!$AY$4:$AY$5,'[1]RA Output'!BB$4:BB$5,0)  +
SUMIFS(rng_out_rx_pre_yr3,rng_out_sel_excl_yr_ind, [1]Tables!$HN$5,rng_out_sel_G_ind,K$1,rng_out_sel_sp_ind,$D111,rng_out_sel_excl_ind,$E111)* _xlfn.XLOOKUP([1]Tables!$HN$5,'[1]RA Output'!$AY$4:$AY$5,'[1]RA Output'!BB$4:BB$5,0) +
IF($E$112="N",0,SUMIFS(rng_out_rx_pre_yr3, rng_out_sel_G_ind, K$1, rng_out_sel_sp_ind, $D111, rng_out_sel_excl_ind,"N", rng_out_post_reb_ind_yr3, 0))</f>
        <v>#VALUE!</v>
      </c>
      <c r="L111" s="195" t="e" cm="1">
        <f t="array" aca="1" ref="L111" ca="1">SUMIFS(rng_out_rx_pre_yr4,rng_out_sel_excl_yr_ind, "",rng_out_sel_G_ind,L$1,rng_out_sel_sp_ind,$D111,rng_out_sel_excl_ind,$E111)+
SUMIFS(rng_out_rx_pre_yr4,rng_out_sel_excl_yr_ind, [1]Tables!$HN$4,rng_out_sel_G_ind,L$1,rng_out_sel_sp_ind,$D111,rng_out_sel_excl_ind,$E111)* _xlfn.XLOOKUP([1]Tables!$HN$4,'[1]RA Output'!$AY$4:$AY$5,'[1]RA Output'!BC$4:BC$5,0)  +
SUMIFS(rng_out_rx_pre_yr4,rng_out_sel_excl_yr_ind, [1]Tables!$HN$5,rng_out_sel_G_ind,L$1,rng_out_sel_sp_ind,$D111,rng_out_sel_excl_ind,$E111)* _xlfn.XLOOKUP([1]Tables!$HN$5,'[1]RA Output'!$AY$4:$AY$5,'[1]RA Output'!BC$4:BC$5,0) +
IF($E$112="N",0,SUMIFS(rng_out_rx_pre_yr4, rng_out_sel_G_ind, L$1, rng_out_sel_sp_ind, $D111, rng_out_sel_excl_ind,"N", rng_out_post_reb_ind_yr4, 0))</f>
        <v>#VALUE!</v>
      </c>
      <c r="M111" s="222" t="e" cm="1">
        <f t="array" aca="1" ref="M111" ca="1">SUMIFS(rng_out_rx_pre_yr5,rng_out_sel_excl_yr_ind, "",rng_out_sel_G_ind,M$1,rng_out_sel_sp_ind,$D111,rng_out_sel_excl_ind,$E111)+
SUMIFS(rng_out_rx_pre_yr5,rng_out_sel_excl_yr_ind, [1]Tables!$HN$4,rng_out_sel_G_ind,M$1,rng_out_sel_sp_ind,$D111,rng_out_sel_excl_ind,$E111)* _xlfn.XLOOKUP([1]Tables!$HN$4,'[1]RA Output'!$AY$4:$AY$5,'[1]RA Output'!BD$4:BD$5,0)  +
SUMIFS(rng_out_rx_pre_yr5,rng_out_sel_excl_yr_ind, [1]Tables!$HN$5,rng_out_sel_G_ind,M$1,rng_out_sel_sp_ind,$D111,rng_out_sel_excl_ind,$E111)* _xlfn.XLOOKUP([1]Tables!$HN$5,'[1]RA Output'!$AY$4:$AY$5,'[1]RA Output'!BD$4:BD$5,0) +
IF($E$112="N",0,SUMIFS(rng_out_rx_pre_yr5, rng_out_sel_G_ind, M$1, rng_out_sel_sp_ind, $D111, rng_out_sel_excl_ind,"N", rng_out_post_reb_ind_yr5, 0))</f>
        <v>#VALUE!</v>
      </c>
      <c r="N111" s="203" t="e" cm="1">
        <f t="array" aca="1" ref="N111" ca="1">SUMIFS(rng_out_rx_pre_yr1,rng_out_sel_excl_yr_ind, "",rng_out_sel_G_ind,N$1,rng_out_sel_sp_ind,$D111,rng_out_sel_excl_ind,$E111)+
SUMIFS(rng_out_rx_pre_yr1,rng_out_sel_excl_yr_ind, [1]Tables!$HN$4,rng_out_sel_G_ind,N$1,rng_out_sel_sp_ind,$D111,rng_out_sel_excl_ind,$E111)* _xlfn.XLOOKUP([1]Tables!$HN$4,'[1]RA Output'!$AY$4:$AY$5,'[1]RA Output'!AZ$4:AZ$5,0)  +
SUMIFS(rng_out_rx_pre_yr1,rng_out_sel_excl_yr_ind, [1]Tables!$HN$5,rng_out_sel_G_ind,N$1,rng_out_sel_sp_ind,$D111,rng_out_sel_excl_ind,$E111)* _xlfn.XLOOKUP([1]Tables!$HN$5,'[1]RA Output'!$AY$4:$AY$5,'[1]RA Output'!AZ$4:AZ$5,0) +
IF($E$112="N",0,SUMIFS(rng_out_rx_pre_yr1, rng_out_sel_G_ind, N$1, rng_out_sel_sp_ind, $D111, rng_out_sel_excl_ind,"N", rng_out_post_reb_ind_yr1, 0))</f>
        <v>#VALUE!</v>
      </c>
      <c r="O111" s="195" t="e" cm="1">
        <f t="array" aca="1" ref="O111" ca="1">SUMIFS(rng_out_rx_pre_yr2,rng_out_sel_excl_yr_ind, "",rng_out_sel_G_ind,O$1,rng_out_sel_sp_ind,$D111,rng_out_sel_excl_ind,$E111)+
SUMIFS(rng_out_rx_pre_yr2,rng_out_sel_excl_yr_ind, [1]Tables!$HN$4,rng_out_sel_G_ind,O$1,rng_out_sel_sp_ind,$D111,rng_out_sel_excl_ind,$E111)* _xlfn.XLOOKUP([1]Tables!$HN$4,'[1]RA Output'!$AY$4:$AY$5,'[1]RA Output'!BA$4:BA$5,0)  +
SUMIFS(rng_out_rx_pre_yr2,rng_out_sel_excl_yr_ind, [1]Tables!$HN$5,rng_out_sel_G_ind,O$1,rng_out_sel_sp_ind,$D111,rng_out_sel_excl_ind,$E111)* _xlfn.XLOOKUP([1]Tables!$HN$5,'[1]RA Output'!$AY$4:$AY$5,'[1]RA Output'!BA$4:BA$5,0) +
IF($E$112="N",0,SUMIFS(rng_out_rx_pre_yr2, rng_out_sel_G_ind, O$1, rng_out_sel_sp_ind, $D111, rng_out_sel_excl_ind,"N", rng_out_post_reb_ind_yr2, 0))</f>
        <v>#VALUE!</v>
      </c>
      <c r="P111" s="195" t="e" cm="1">
        <f t="array" aca="1" ref="P111" ca="1">SUMIFS(rng_out_rx_pre_yr3,rng_out_sel_excl_yr_ind, "",rng_out_sel_G_ind,P$1,rng_out_sel_sp_ind,$D111,rng_out_sel_excl_ind,$E111)+
SUMIFS(rng_out_rx_pre_yr3,rng_out_sel_excl_yr_ind, [1]Tables!$HN$4,rng_out_sel_G_ind,P$1,rng_out_sel_sp_ind,$D111,rng_out_sel_excl_ind,$E111)* _xlfn.XLOOKUP([1]Tables!$HN$4,'[1]RA Output'!$AY$4:$AY$5,'[1]RA Output'!BB$4:BB$5,0)  +
SUMIFS(rng_out_rx_pre_yr3,rng_out_sel_excl_yr_ind, [1]Tables!$HN$5,rng_out_sel_G_ind,P$1,rng_out_sel_sp_ind,$D111,rng_out_sel_excl_ind,$E111)* _xlfn.XLOOKUP([1]Tables!$HN$5,'[1]RA Output'!$AY$4:$AY$5,'[1]RA Output'!BB$4:BB$5,0) +
IF($E$112="N",0,SUMIFS(rng_out_rx_pre_yr3, rng_out_sel_G_ind, P$1, rng_out_sel_sp_ind, $D111, rng_out_sel_excl_ind,"N", rng_out_post_reb_ind_yr3, 0))</f>
        <v>#VALUE!</v>
      </c>
      <c r="Q111" s="195" t="e" cm="1">
        <f t="array" aca="1" ref="Q111" ca="1">SUMIFS(rng_out_rx_pre_yr4,rng_out_sel_excl_yr_ind, "",rng_out_sel_G_ind,Q$1,rng_out_sel_sp_ind,$D111,rng_out_sel_excl_ind,$E111)+
SUMIFS(rng_out_rx_pre_yr4,rng_out_sel_excl_yr_ind, [1]Tables!$HN$4,rng_out_sel_G_ind,Q$1,rng_out_sel_sp_ind,$D111,rng_out_sel_excl_ind,$E111)* _xlfn.XLOOKUP([1]Tables!$HN$4,'[1]RA Output'!$AY$4:$AY$5,'[1]RA Output'!BC$4:BC$5,0)  +
SUMIFS(rng_out_rx_pre_yr4,rng_out_sel_excl_yr_ind, [1]Tables!$HN$5,rng_out_sel_G_ind,Q$1,rng_out_sel_sp_ind,$D111,rng_out_sel_excl_ind,$E111)* _xlfn.XLOOKUP([1]Tables!$HN$5,'[1]RA Output'!$AY$4:$AY$5,'[1]RA Output'!BC$4:BC$5,0) +
IF($E$112="N",0,SUMIFS(rng_out_rx_pre_yr4, rng_out_sel_G_ind, Q$1, rng_out_sel_sp_ind, $D111, rng_out_sel_excl_ind,"N", rng_out_post_reb_ind_yr4, 0))</f>
        <v>#VALUE!</v>
      </c>
      <c r="R111" s="222" t="e" cm="1">
        <f t="array" aca="1" ref="R111" ca="1">SUMIFS(rng_out_rx_pre_yr5,rng_out_sel_excl_yr_ind, "",rng_out_sel_G_ind,R$1,rng_out_sel_sp_ind,$D111,rng_out_sel_excl_ind,$E111)+
SUMIFS(rng_out_rx_pre_yr5,rng_out_sel_excl_yr_ind, [1]Tables!$HN$4,rng_out_sel_G_ind,R$1,rng_out_sel_sp_ind,$D111,rng_out_sel_excl_ind,$E111)* _xlfn.XLOOKUP([1]Tables!$HN$4,'[1]RA Output'!$AY$4:$AY$5,'[1]RA Output'!BD$4:BD$5,0)  +
SUMIFS(rng_out_rx_pre_yr5,rng_out_sel_excl_yr_ind, [1]Tables!$HN$5,rng_out_sel_G_ind,R$1,rng_out_sel_sp_ind,$D111,rng_out_sel_excl_ind,$E111)* _xlfn.XLOOKUP([1]Tables!$HN$5,'[1]RA Output'!$AY$4:$AY$5,'[1]RA Output'!BD$4:BD$5,0) +
IF($E$112="N",0,SUMIFS(rng_out_rx_pre_yr5, rng_out_sel_G_ind, R$1, rng_out_sel_sp_ind, $D111, rng_out_sel_excl_ind,"N", rng_out_post_reb_ind_yr5, 0))</f>
        <v>#VALUE!</v>
      </c>
      <c r="S111" s="206" t="e">
        <f t="shared" ca="1" si="90"/>
        <v>#VALUE!</v>
      </c>
      <c r="T111" s="206" t="e">
        <f t="shared" ca="1" si="90"/>
        <v>#VALUE!</v>
      </c>
      <c r="U111" s="206" t="e">
        <f t="shared" ca="1" si="90"/>
        <v>#VALUE!</v>
      </c>
      <c r="V111" s="206" t="e">
        <f t="shared" ca="1" si="90"/>
        <v>#VALUE!</v>
      </c>
      <c r="W111" s="207" t="e">
        <f t="shared" ca="1" si="90"/>
        <v>#VALUE!</v>
      </c>
      <c r="Y111" s="119" t="s">
        <v>17</v>
      </c>
      <c r="Z111" s="223">
        <f ca="1">IFERROR(I111/[1]Tables!$AT$4, 0)</f>
        <v>0</v>
      </c>
      <c r="AA111" s="224">
        <f ca="1">IFERROR(J111/[1]Tables!$AT$4, 0)</f>
        <v>0</v>
      </c>
      <c r="AB111" s="224">
        <f ca="1">IFERROR(K111/[1]Tables!$AT$4, 0)</f>
        <v>0</v>
      </c>
      <c r="AC111" s="224">
        <f ca="1">IFERROR(L111/[1]Tables!$AT$4, 0)</f>
        <v>0</v>
      </c>
      <c r="AD111" s="225">
        <f ca="1">IFERROR(M111/[1]Tables!$AT$4, 0)</f>
        <v>0</v>
      </c>
      <c r="AE111" s="223">
        <f ca="1">IFERROR(N111/[1]Tables!$AT$4, 0)</f>
        <v>0</v>
      </c>
      <c r="AF111" s="224">
        <f ca="1">IFERROR(O111/[1]Tables!$AT$4, 0)</f>
        <v>0</v>
      </c>
      <c r="AG111" s="224">
        <f ca="1">IFERROR(P111/[1]Tables!$AT$4, 0)</f>
        <v>0</v>
      </c>
      <c r="AH111" s="224">
        <f ca="1">IFERROR(Q111/[1]Tables!$AT$4, 0)</f>
        <v>0</v>
      </c>
      <c r="AI111" s="225">
        <f ca="1">IFERROR(R111/[1]Tables!$AT$4, 0)</f>
        <v>0</v>
      </c>
      <c r="AJ111" s="224">
        <f t="shared" ca="1" si="91"/>
        <v>0</v>
      </c>
      <c r="AK111" s="224">
        <f t="shared" ca="1" si="91"/>
        <v>0</v>
      </c>
      <c r="AL111" s="224">
        <f t="shared" ca="1" si="91"/>
        <v>0</v>
      </c>
      <c r="AM111" s="224">
        <f t="shared" ca="1" si="91"/>
        <v>0</v>
      </c>
      <c r="AN111" s="225">
        <f t="shared" ca="1" si="91"/>
        <v>0</v>
      </c>
      <c r="AP111" s="120" t="s">
        <v>17</v>
      </c>
      <c r="AQ111" s="226" t="e" cm="1">
        <f t="array" aca="1" ref="AQ111" ca="1">IF($E$112="N",
IFERROR(IF(OR(input_Shift="No", [1]Tables!$BN$4=1), 0, (SUMIFS(rng_out_rx_post_yr1,rng_out_sel_excl_yr_ind, "",rng_out_sel_G_ind,N$1,rng_out_sel_sp_ind,$D111,rng_out_sel_excl_ind,$E111, rng_out_MSB_excl, $F111)+SUMIFS(rng_out_rx_post_yr1,rng_out_sel_excl_yr_ind, [1]Tables!$HN$4,rng_out_sel_G_ind,N$1,rng_out_sel_sp_ind,$D111,rng_out_sel_excl_ind,$E111, rng_out_MSB_excl, $F111)* _xlfn.XLOOKUP([1]Tables!$HN$4,'[1]RA Output'!$AY$4:$AY$5,'[1]RA Output'!AZ$4:AZ$5,0)  +SUMIFS(rng_out_rx_post_yr1,rng_out_sel_excl_yr_ind, [1]Tables!$HN$5,rng_out_sel_G_ind,N$1,rng_out_sel_sp_ind,$D111,rng_out_sel_excl_ind,$E111, rng_out_MSB_excl, $F111)* _xlfn.XLOOKUP([1]Tables!$HN$5,'[1]RA Output'!$AY$4:$AY$5,'[1]RA Output'!AZ$4:AZ$5,0))/[1]Tables!$BN$4*(1-[1]Tables!$BN$4)), 0) +
SUMIFS(rng_out_rx_post_yr1,rng_out_sel_excl_yr_ind, "",rng_out_sel_G_ind,I$1,rng_out_sel_sp_ind,$D111,rng_out_sel_excl_ind,$E111)+SUMIFS(rng_out_rx_post_yr1,rng_out_sel_excl_yr_ind, [1]Tables!$HN$4,rng_out_sel_G_ind,I$1,rng_out_sel_sp_ind,$D111,rng_out_sel_excl_ind,$E111)* _xlfn.XLOOKUP([1]Tables!$HN$4,'[1]RA Output'!$AY$4:$AY$5,'[1]RA Output'!AZ$4:AZ$5,0)  +SUMIFS(rng_out_rx_post_yr1,rng_out_sel_excl_yr_ind, [1]Tables!$HN$5,rng_out_sel_G_ind,I$1,rng_out_sel_sp_ind,$D111,rng_out_sel_excl_ind,$E111)* _xlfn.XLOOKUP([1]Tables!$HN$5,'[1]RA Output'!$AY$4:$AY$5,'[1]RA Output'!AZ$4:AZ$5,0),
IFERROR(IF(OR(input_Shift="No", [1]Tables!$BN$4=1), 0, (SUMIFS(rng_out_rx_post_yr1,rng_out_sel_excl_yr_ind, "",rng_out_sel_G_ind,N$1,rng_out_sel_sp_ind,$D111,rng_out_sel_excl_ind,$E111, rng_out_MSB_excl, $F111)+SUMIFS(rng_out_rx_post_yr1,rng_out_sel_excl_yr_ind, [1]Tables!$HN$4,rng_out_sel_G_ind,N$1,rng_out_sel_sp_ind,$D111,rng_out_sel_excl_ind,$E111, rng_out_MSB_excl, $F111)* _xlfn.XLOOKUP([1]Tables!$HN$4,'[1]RA Output'!$AY$4:$AY$5,'[1]RA Output'!AZ$4:AZ$5,0)  +SUMIFS(rng_out_rx_post_yr1,rng_out_sel_excl_yr_ind, [1]Tables!$HN$5,rng_out_sel_G_ind,N$1,rng_out_sel_sp_ind,$D111,rng_out_sel_excl_ind,$E111, rng_out_MSB_excl, $F111)* _xlfn.XLOOKUP([1]Tables!$HN$5,'[1]RA Output'!$AY$4:$AY$5,'[1]RA Output'!AZ$4:AZ$5,0) + SUMIFS(rng_out_rx_post_yr1, rng_out_sel_G_ind,"B", rng_out_sel_sp_ind, $D111, rng_out_sel_excl_ind,"N", rng_out_MSB_excl, $F111, rng_out_post_reb_ind_yr1, 0))/[1]Tables!$BN$4*(1-[1]Tables!$BN$4)), 0) +
IFERROR(SUMIFS(rng_out_rx_post_yr1, rng_out_sel_G_ind, "G", rng_out_sel_sp_ind, $D111, rng_out_sel_excl_ind,"N", rng_out_post_reb_ind_yr1, 0) +
SUMIFS(rng_out_rx_post_yr1,rng_out_sel_excl_yr_ind, "",rng_out_sel_G_ind,I$1,rng_out_sel_sp_ind,$D111,rng_out_sel_excl_ind,$E111)+SUMIFS(rng_out_rx_post_yr1,rng_out_sel_excl_yr_ind, [1]Tables!$HN$4,rng_out_sel_G_ind,I$1,rng_out_sel_sp_ind,$D111,rng_out_sel_excl_ind,$E111)* _xlfn.XLOOKUP([1]Tables!$HN$4,'[1]RA Output'!$AY$4:$AY$5,'[1]RA Output'!AZ$4:AZ$5,0)  +SUMIFS(rng_out_rx_post_yr1,rng_out_sel_excl_yr_ind, [1]Tables!$HN$5,rng_out_sel_G_ind,I$1,rng_out_sel_sp_ind,$D111,rng_out_sel_excl_ind,$E111)* _xlfn.XLOOKUP([1]Tables!$HN$5,'[1]RA Output'!$AY$4:$AY$5,'[1]RA Output'!AZ$4:AZ$5,0), 0))/[1]Tables!$AT$4</f>
        <v>#VALUE!</v>
      </c>
      <c r="AR111" s="227" t="e" cm="1">
        <f t="array" aca="1" ref="AR111" ca="1">IF($E$112="N",
IFERROR(IF(OR(input_Shift="No", [1]Tables!$BN$4=1), 0, (SUMIFS(rng_out_rx_post_yr2,rng_out_sel_excl_yr_ind, "",rng_out_sel_G_ind,O$1,rng_out_sel_sp_ind,$D111,rng_out_sel_excl_ind,$E111, rng_out_MSB_excl, $F111)+SUMIFS(rng_out_rx_post_yr2,rng_out_sel_excl_yr_ind, [1]Tables!$HN$4,rng_out_sel_G_ind,O$1,rng_out_sel_sp_ind,$D111,rng_out_sel_excl_ind,$E111, rng_out_MSB_excl, $F111)* _xlfn.XLOOKUP([1]Tables!$HN$4,'[1]RA Output'!$AY$4:$AY$5,'[1]RA Output'!BA$4:BA$5,0)  +SUMIFS(rng_out_rx_post_yr2,rng_out_sel_excl_yr_ind, [1]Tables!$HN$5,rng_out_sel_G_ind,O$1,rng_out_sel_sp_ind,$D111,rng_out_sel_excl_ind,$E111, rng_out_MSB_excl, $F111)* _xlfn.XLOOKUP([1]Tables!$HN$5,'[1]RA Output'!$AY$4:$AY$5,'[1]RA Output'!BA$4:BA$5,0))/[1]Tables!$BN$4*(1-[1]Tables!$BN$4)), 0) +
SUMIFS(rng_out_rx_post_yr2,rng_out_sel_excl_yr_ind, "",rng_out_sel_G_ind,J$1,rng_out_sel_sp_ind,$D111,rng_out_sel_excl_ind,$E111)+SUMIFS(rng_out_rx_post_yr2,rng_out_sel_excl_yr_ind, [1]Tables!$HN$4,rng_out_sel_G_ind,J$1,rng_out_sel_sp_ind,$D111,rng_out_sel_excl_ind,$E111)* _xlfn.XLOOKUP([1]Tables!$HN$4,'[1]RA Output'!$AY$4:$AY$5,'[1]RA Output'!BA$4:BA$5,0)  +SUMIFS(rng_out_rx_post_yr2,rng_out_sel_excl_yr_ind, [1]Tables!$HN$5,rng_out_sel_G_ind,J$1,rng_out_sel_sp_ind,$D111,rng_out_sel_excl_ind,$E111)* _xlfn.XLOOKUP([1]Tables!$HN$5,'[1]RA Output'!$AY$4:$AY$5,'[1]RA Output'!BA$4:BA$5,0),
IFERROR(IF(OR(input_Shift="No", [1]Tables!$BN$4=1), 0, (SUMIFS(rng_out_rx_post_yr2,rng_out_sel_excl_yr_ind, "",rng_out_sel_G_ind,O$1,rng_out_sel_sp_ind,$D111,rng_out_sel_excl_ind,$E111, rng_out_MSB_excl, $F111)+SUMIFS(rng_out_rx_post_yr2,rng_out_sel_excl_yr_ind, [1]Tables!$HN$4,rng_out_sel_G_ind,O$1,rng_out_sel_sp_ind,$D111,rng_out_sel_excl_ind,$E111, rng_out_MSB_excl, $F111)* _xlfn.XLOOKUP([1]Tables!$HN$4,'[1]RA Output'!$AY$4:$AY$5,'[1]RA Output'!BA$4:BA$5,0)  +SUMIFS(rng_out_rx_post_yr2,rng_out_sel_excl_yr_ind, [1]Tables!$HN$5,rng_out_sel_G_ind,O$1,rng_out_sel_sp_ind,$D111,rng_out_sel_excl_ind,$E111, rng_out_MSB_excl, $F111)* _xlfn.XLOOKUP([1]Tables!$HN$5,'[1]RA Output'!$AY$4:$AY$5,'[1]RA Output'!BA$4:BA$5,0) + SUMIFS(rng_out_rx_post_yr2, rng_out_sel_G_ind,"B", rng_out_sel_sp_ind, $D111, rng_out_sel_excl_ind,"N", rng_out_MSB_excl, $F111, rng_out_post_reb_ind_yr2, 0))/[1]Tables!$BN$4*(1-[1]Tables!$BN$4)), 0) +
IFERROR(SUMIFS(rng_out_rx_post_yr2, rng_out_sel_G_ind, "G", rng_out_sel_sp_ind, $D111, rng_out_sel_excl_ind,"N", rng_out_post_reb_ind_yr2, 0) +
SUMIFS(rng_out_rx_post_yr2,rng_out_sel_excl_yr_ind, "",rng_out_sel_G_ind,J$1,rng_out_sel_sp_ind,$D111,rng_out_sel_excl_ind,$E111)+SUMIFS(rng_out_rx_post_yr2,rng_out_sel_excl_yr_ind, [1]Tables!$HN$4,rng_out_sel_G_ind,J$1,rng_out_sel_sp_ind,$D111,rng_out_sel_excl_ind,$E111)* _xlfn.XLOOKUP([1]Tables!$HN$4,'[1]RA Output'!$AY$4:$AY$5,'[1]RA Output'!BA$4:BA$5,0)  +SUMIFS(rng_out_rx_post_yr2,rng_out_sel_excl_yr_ind, [1]Tables!$HN$5,rng_out_sel_G_ind,J$1,rng_out_sel_sp_ind,$D111,rng_out_sel_excl_ind,$E111)* _xlfn.XLOOKUP([1]Tables!$HN$5,'[1]RA Output'!$AY$4:$AY$5,'[1]RA Output'!BA$4:BA$5,0), 0))/[1]Tables!$AT$4</f>
        <v>#VALUE!</v>
      </c>
      <c r="AS111" s="227" t="e" cm="1">
        <f t="array" aca="1" ref="AS111" ca="1">IF($E$112="N",
IFERROR(IF(OR(input_Shift="No", [1]Tables!$BN$4=1), 0, (SUMIFS(rng_out_rx_post_yr3,rng_out_sel_excl_yr_ind, "",rng_out_sel_G_ind,P$1,rng_out_sel_sp_ind,$D111,rng_out_sel_excl_ind,$E111, rng_out_MSB_excl, $F111)+SUMIFS(rng_out_rx_post_yr3,rng_out_sel_excl_yr_ind, [1]Tables!$HN$4,rng_out_sel_G_ind,P$1,rng_out_sel_sp_ind,$D111,rng_out_sel_excl_ind,$E111, rng_out_MSB_excl, $F111)* _xlfn.XLOOKUP([1]Tables!$HN$4,'[1]RA Output'!$AY$4:$AY$5,'[1]RA Output'!BB$4:BB$5,0)  +SUMIFS(rng_out_rx_post_yr3,rng_out_sel_excl_yr_ind, [1]Tables!$HN$5,rng_out_sel_G_ind,P$1,rng_out_sel_sp_ind,$D111,rng_out_sel_excl_ind,$E111, rng_out_MSB_excl, $F111)* _xlfn.XLOOKUP([1]Tables!$HN$5,'[1]RA Output'!$AY$4:$AY$5,'[1]RA Output'!BB$4:BB$5,0))/[1]Tables!$BN$4*(1-[1]Tables!$BN$4)), 0) +
SUMIFS(rng_out_rx_post_yr3,rng_out_sel_excl_yr_ind, "",rng_out_sel_G_ind,K$1,rng_out_sel_sp_ind,$D111,rng_out_sel_excl_ind,$E111)+SUMIFS(rng_out_rx_post_yr3,rng_out_sel_excl_yr_ind, [1]Tables!$HN$4,rng_out_sel_G_ind,K$1,rng_out_sel_sp_ind,$D111,rng_out_sel_excl_ind,$E111)* _xlfn.XLOOKUP([1]Tables!$HN$4,'[1]RA Output'!$AY$4:$AY$5,'[1]RA Output'!BB$4:BB$5,0)  +SUMIFS(rng_out_rx_post_yr3,rng_out_sel_excl_yr_ind, [1]Tables!$HN$5,rng_out_sel_G_ind,K$1,rng_out_sel_sp_ind,$D111,rng_out_sel_excl_ind,$E111)* _xlfn.XLOOKUP([1]Tables!$HN$5,'[1]RA Output'!$AY$4:$AY$5,'[1]RA Output'!BB$4:BB$5,0),
IFERROR(IF(OR(input_Shift="No", [1]Tables!$BN$4=1), 0, (SUMIFS(rng_out_rx_post_yr3,rng_out_sel_excl_yr_ind, "",rng_out_sel_G_ind,P$1,rng_out_sel_sp_ind,$D111,rng_out_sel_excl_ind,$E111, rng_out_MSB_excl, $F111)+SUMIFS(rng_out_rx_post_yr3,rng_out_sel_excl_yr_ind, [1]Tables!$HN$4,rng_out_sel_G_ind,P$1,rng_out_sel_sp_ind,$D111,rng_out_sel_excl_ind,$E111, rng_out_MSB_excl, $F111)* _xlfn.XLOOKUP([1]Tables!$HN$4,'[1]RA Output'!$AY$4:$AY$5,'[1]RA Output'!BB$4:BB$5,0)  +SUMIFS(rng_out_rx_post_yr3,rng_out_sel_excl_yr_ind, [1]Tables!$HN$5,rng_out_sel_G_ind,P$1,rng_out_sel_sp_ind,$D111,rng_out_sel_excl_ind,$E111, rng_out_MSB_excl, $F111)* _xlfn.XLOOKUP([1]Tables!$HN$5,'[1]RA Output'!$AY$4:$AY$5,'[1]RA Output'!BB$4:BB$5,0) + SUMIFS(rng_out_rx_post_yr3, rng_out_sel_G_ind,"B", rng_out_sel_sp_ind, $D111, rng_out_sel_excl_ind,"N", rng_out_MSB_excl, $F111, rng_out_post_reb_ind_yr3, 0))/[1]Tables!$BN$4*(1-[1]Tables!$BN$4)), 0) +
IFERROR(SUMIFS(rng_out_rx_post_yr3, rng_out_sel_G_ind, "G", rng_out_sel_sp_ind, $D111, rng_out_sel_excl_ind,"N", rng_out_post_reb_ind_yr3, 0) +
SUMIFS(rng_out_rx_post_yr3,rng_out_sel_excl_yr_ind, "",rng_out_sel_G_ind,K$1,rng_out_sel_sp_ind,$D111,rng_out_sel_excl_ind,$E111)+SUMIFS(rng_out_rx_post_yr3,rng_out_sel_excl_yr_ind, [1]Tables!$HN$4,rng_out_sel_G_ind,K$1,rng_out_sel_sp_ind,$D111,rng_out_sel_excl_ind,$E111)* _xlfn.XLOOKUP([1]Tables!$HN$4,'[1]RA Output'!$AY$4:$AY$5,'[1]RA Output'!BB$4:BB$5,0)  +SUMIFS(rng_out_rx_post_yr3,rng_out_sel_excl_yr_ind, [1]Tables!$HN$5,rng_out_sel_G_ind,K$1,rng_out_sel_sp_ind,$D111,rng_out_sel_excl_ind,$E111)* _xlfn.XLOOKUP([1]Tables!$HN$5,'[1]RA Output'!$AY$4:$AY$5,'[1]RA Output'!BB$4:BB$5,0), 0))/[1]Tables!$AT$4</f>
        <v>#VALUE!</v>
      </c>
      <c r="AT111" s="227" t="e" cm="1">
        <f t="array" aca="1" ref="AT111" ca="1">IF($E$112="N",
IFERROR(IF(OR(input_Shift="No", [1]Tables!$BN$4=1), 0, (SUMIFS(rng_out_rx_post_yr4,rng_out_sel_excl_yr_ind, "",rng_out_sel_G_ind,Q$1,rng_out_sel_sp_ind,$D111,rng_out_sel_excl_ind,$E111, rng_out_MSB_excl, $F111)+SUMIFS(rng_out_rx_post_yr4,rng_out_sel_excl_yr_ind, [1]Tables!$HN$4,rng_out_sel_G_ind,Q$1,rng_out_sel_sp_ind,$D111,rng_out_sel_excl_ind,$E111, rng_out_MSB_excl, $F111)* _xlfn.XLOOKUP([1]Tables!$HN$4,'[1]RA Output'!$AY$4:$AY$5,'[1]RA Output'!BC$4:BC$5,0)  +SUMIFS(rng_out_rx_post_yr4,rng_out_sel_excl_yr_ind, [1]Tables!$HN$5,rng_out_sel_G_ind,Q$1,rng_out_sel_sp_ind,$D111,rng_out_sel_excl_ind,$E111, rng_out_MSB_excl, $F111)* _xlfn.XLOOKUP([1]Tables!$HN$5,'[1]RA Output'!$AY$4:$AY$5,'[1]RA Output'!BC$4:BC$5,0))/[1]Tables!$BN$4*(1-[1]Tables!$BN$4)), 0) +
SUMIFS(rng_out_rx_post_yr4,rng_out_sel_excl_yr_ind, "",rng_out_sel_G_ind,L$1,rng_out_sel_sp_ind,$D111,rng_out_sel_excl_ind,$E111)+SUMIFS(rng_out_rx_post_yr4,rng_out_sel_excl_yr_ind, [1]Tables!$HN$4,rng_out_sel_G_ind,L$1,rng_out_sel_sp_ind,$D111,rng_out_sel_excl_ind,$E111)* _xlfn.XLOOKUP([1]Tables!$HN$4,'[1]RA Output'!$AY$4:$AY$5,'[1]RA Output'!BC$4:BC$5,0)  +SUMIFS(rng_out_rx_post_yr4,rng_out_sel_excl_yr_ind, [1]Tables!$HN$5,rng_out_sel_G_ind,L$1,rng_out_sel_sp_ind,$D111,rng_out_sel_excl_ind,$E111)* _xlfn.XLOOKUP([1]Tables!$HN$5,'[1]RA Output'!$AY$4:$AY$5,'[1]RA Output'!BC$4:BC$5,0),
IFERROR(IF(OR(input_Shift="No", [1]Tables!$BN$4=1), 0, (SUMIFS(rng_out_rx_post_yr4,rng_out_sel_excl_yr_ind, "",rng_out_sel_G_ind,Q$1,rng_out_sel_sp_ind,$D111,rng_out_sel_excl_ind,$E111, rng_out_MSB_excl, $F111)+SUMIFS(rng_out_rx_post_yr4,rng_out_sel_excl_yr_ind, [1]Tables!$HN$4,rng_out_sel_G_ind,Q$1,rng_out_sel_sp_ind,$D111,rng_out_sel_excl_ind,$E111, rng_out_MSB_excl, $F111)* _xlfn.XLOOKUP([1]Tables!$HN$4,'[1]RA Output'!$AY$4:$AY$5,'[1]RA Output'!BC$4:BC$5,0)  +SUMIFS(rng_out_rx_post_yr4,rng_out_sel_excl_yr_ind, [1]Tables!$HN$5,rng_out_sel_G_ind,Q$1,rng_out_sel_sp_ind,$D111,rng_out_sel_excl_ind,$E111, rng_out_MSB_excl, $F111)* _xlfn.XLOOKUP([1]Tables!$HN$5,'[1]RA Output'!$AY$4:$AY$5,'[1]RA Output'!BC$4:BC$5,0) + SUMIFS(rng_out_rx_post_yr4, rng_out_sel_G_ind,"B", rng_out_sel_sp_ind, $D111, rng_out_sel_excl_ind,"N", rng_out_MSB_excl, $F111, rng_out_post_reb_ind_yr4, 0))/[1]Tables!$BN$4*(1-[1]Tables!$BN$4)), 0) +
IFERROR(SUMIFS(rng_out_rx_post_yr4, rng_out_sel_G_ind, "G", rng_out_sel_sp_ind, $D111, rng_out_sel_excl_ind,"N", rng_out_post_reb_ind_yr4, 0) +
SUMIFS(rng_out_rx_post_yr4,rng_out_sel_excl_yr_ind, "",rng_out_sel_G_ind,L$1,rng_out_sel_sp_ind,$D111,rng_out_sel_excl_ind,$E111)+SUMIFS(rng_out_rx_post_yr4,rng_out_sel_excl_yr_ind, [1]Tables!$HN$4,rng_out_sel_G_ind,L$1,rng_out_sel_sp_ind,$D111,rng_out_sel_excl_ind,$E111)* _xlfn.XLOOKUP([1]Tables!$HN$4,'[1]RA Output'!$AY$4:$AY$5,'[1]RA Output'!BC$4:BC$5,0)  +SUMIFS(rng_out_rx_post_yr4,rng_out_sel_excl_yr_ind, [1]Tables!$HN$5,rng_out_sel_G_ind,L$1,rng_out_sel_sp_ind,$D111,rng_out_sel_excl_ind,$E111)* _xlfn.XLOOKUP([1]Tables!$HN$5,'[1]RA Output'!$AY$4:$AY$5,'[1]RA Output'!BC$4:BC$5,0), 0))/[1]Tables!$AT$4</f>
        <v>#VALUE!</v>
      </c>
      <c r="AU111" s="228" t="e" cm="1">
        <f t="array" aca="1" ref="AU111" ca="1">IF($E$112="N",
IFERROR(IF(OR(input_Shift="No", [1]Tables!$BN$4=1), 0, (SUMIFS(rng_out_rx_post_yr5,rng_out_sel_excl_yr_ind, "",rng_out_sel_G_ind,R$1,rng_out_sel_sp_ind,$D111,rng_out_sel_excl_ind,$E111, rng_out_MSB_excl, $F111)+SUMIFS(rng_out_rx_post_yr5,rng_out_sel_excl_yr_ind, [1]Tables!$HN$4,rng_out_sel_G_ind,R$1,rng_out_sel_sp_ind,$D111,rng_out_sel_excl_ind,$E111, rng_out_MSB_excl, $F111)* _xlfn.XLOOKUP([1]Tables!$HN$4,'[1]RA Output'!$AY$4:$AY$5,'[1]RA Output'!BD$4:BD$5,0)  +SUMIFS(rng_out_rx_post_yr5,rng_out_sel_excl_yr_ind, [1]Tables!$HN$5,rng_out_sel_G_ind,R$1,rng_out_sel_sp_ind,$D111,rng_out_sel_excl_ind,$E111, rng_out_MSB_excl, $F111)* _xlfn.XLOOKUP([1]Tables!$HN$5,'[1]RA Output'!$AY$4:$AY$5,'[1]RA Output'!BD$4:BD$5,0))/[1]Tables!$BN$4*(1-[1]Tables!$BN$4)), 0) +
SUMIFS(rng_out_rx_post_yr5,rng_out_sel_excl_yr_ind, "",rng_out_sel_G_ind,M$1,rng_out_sel_sp_ind,$D111,rng_out_sel_excl_ind,$E111)+SUMIFS(rng_out_rx_post_yr5,rng_out_sel_excl_yr_ind, [1]Tables!$HN$4,rng_out_sel_G_ind,M$1,rng_out_sel_sp_ind,$D111,rng_out_sel_excl_ind,$E111)* _xlfn.XLOOKUP([1]Tables!$HN$4,'[1]RA Output'!$AY$4:$AY$5,'[1]RA Output'!BD$4:BD$5,0)  +SUMIFS(rng_out_rx_post_yr5,rng_out_sel_excl_yr_ind, [1]Tables!$HN$5,rng_out_sel_G_ind,M$1,rng_out_sel_sp_ind,$D111,rng_out_sel_excl_ind,$E111)* _xlfn.XLOOKUP([1]Tables!$HN$5,'[1]RA Output'!$AY$4:$AY$5,'[1]RA Output'!BD$4:BD$5,0),
IFERROR(IF(OR(input_Shift="No", [1]Tables!$BN$4=1), 0, (SUMIFS(rng_out_rx_post_yr5,rng_out_sel_excl_yr_ind, "",rng_out_sel_G_ind,R$1,rng_out_sel_sp_ind,$D111,rng_out_sel_excl_ind,$E111, rng_out_MSB_excl, $F111)+SUMIFS(rng_out_rx_post_yr5,rng_out_sel_excl_yr_ind, [1]Tables!$HN$4,rng_out_sel_G_ind,R$1,rng_out_sel_sp_ind,$D111,rng_out_sel_excl_ind,$E111, rng_out_MSB_excl, $F111)* _xlfn.XLOOKUP([1]Tables!$HN$4,'[1]RA Output'!$AY$4:$AY$5,'[1]RA Output'!BD$4:BD$5,0)  +SUMIFS(rng_out_rx_post_yr5,rng_out_sel_excl_yr_ind, [1]Tables!$HN$5,rng_out_sel_G_ind,R$1,rng_out_sel_sp_ind,$D111,rng_out_sel_excl_ind,$E111, rng_out_MSB_excl, $F111)* _xlfn.XLOOKUP([1]Tables!$HN$5,'[1]RA Output'!$AY$4:$AY$5,'[1]RA Output'!BD$4:BD$5,0) + SUMIFS(rng_out_rx_post_yr5, rng_out_sel_G_ind,"B", rng_out_sel_sp_ind, $D111, rng_out_sel_excl_ind,"N", rng_out_MSB_excl, $F111, rng_out_post_reb_ind_yr5, 0))/[1]Tables!$BN$4*(1-[1]Tables!$BN$4)), 0) +
IFERROR(SUMIFS(rng_out_rx_post_yr5, rng_out_sel_G_ind, "G", rng_out_sel_sp_ind, $D111, rng_out_sel_excl_ind,"N", rng_out_post_reb_ind_yr5, 0) +
SUMIFS(rng_out_rx_post_yr5,rng_out_sel_excl_yr_ind, "",rng_out_sel_G_ind,M$1,rng_out_sel_sp_ind,$D111,rng_out_sel_excl_ind,$E111)+SUMIFS(rng_out_rx_post_yr5,rng_out_sel_excl_yr_ind, [1]Tables!$HN$4,rng_out_sel_G_ind,M$1,rng_out_sel_sp_ind,$D111,rng_out_sel_excl_ind,$E111)* _xlfn.XLOOKUP([1]Tables!$HN$4,'[1]RA Output'!$AY$4:$AY$5,'[1]RA Output'!BD$4:BD$5,0)  +SUMIFS(rng_out_rx_post_yr5,rng_out_sel_excl_yr_ind, [1]Tables!$HN$5,rng_out_sel_G_ind,M$1,rng_out_sel_sp_ind,$D111,rng_out_sel_excl_ind,$E111)* _xlfn.XLOOKUP([1]Tables!$HN$5,'[1]RA Output'!$AY$4:$AY$5,'[1]RA Output'!BD$4:BD$5,0), 0))/[1]Tables!$AT$4</f>
        <v>#VALUE!</v>
      </c>
      <c r="AV111" s="226" t="e" cm="1">
        <f t="array" aca="1" ref="AV111" ca="1">(SUMIFS(rng_out_rx_post_yr1,rng_out_sel_excl_yr_ind, "",rng_out_sel_G_ind,N$1,rng_out_sel_sp_ind,$D111,rng_out_sel_excl_ind,$E111)+
SUMIFS(rng_out_rx_post_yr1,rng_out_sel_excl_yr_ind, [1]Tables!$HN$4,rng_out_sel_G_ind,N$1,rng_out_sel_sp_ind,$D111,rng_out_sel_excl_ind,$E111)* _xlfn.XLOOKUP([1]Tables!$HN$4,'[1]RA Output'!$AY$4:$AY$5,'[1]RA Output'!AZ$4:AZ$5,0)  +
SUMIFS(rng_out_rx_post_yr1,rng_out_sel_excl_yr_ind, [1]Tables!$HN$5,rng_out_sel_G_ind,N$1,rng_out_sel_sp_ind,$D111,rng_out_sel_excl_ind,$E111)* _xlfn.XLOOKUP([1]Tables!$HN$5,'[1]RA Output'!$AY$4:$AY$5,'[1]RA Output'!AZ$4:AZ$5,0)+
IF($E$112="N",0,
SUMIFS(rng_out_rx_post_yr1, rng_out_sel_G_ind, "B", rng_out_sel_sp_ind, $D111, rng_out_sel_excl_ind,"N", rng_out_post_reb_ind_yr1, 0)))/[1]Tables!$AT$4</f>
        <v>#VALUE!</v>
      </c>
      <c r="AW111" s="227" t="e" cm="1">
        <f t="array" aca="1" ref="AW111" ca="1">(SUMIFS(rng_out_rx_post_yr2,rng_out_sel_excl_yr_ind, "",rng_out_sel_G_ind,O$1,rng_out_sel_sp_ind,$D111,rng_out_sel_excl_ind,$E111)+
SUMIFS(rng_out_rx_post_yr2,rng_out_sel_excl_yr_ind, [1]Tables!$HN$4,rng_out_sel_G_ind,O$1,rng_out_sel_sp_ind,$D111,rng_out_sel_excl_ind,$E111)* _xlfn.XLOOKUP([1]Tables!$HN$4,'[1]RA Output'!$AY$4:$AY$5,'[1]RA Output'!BA$4:BA$5,0)  +
SUMIFS(rng_out_rx_post_yr2,rng_out_sel_excl_yr_ind, [1]Tables!$HN$5,rng_out_sel_G_ind,O$1,rng_out_sel_sp_ind,$D111,rng_out_sel_excl_ind,$E111)* _xlfn.XLOOKUP([1]Tables!$HN$5,'[1]RA Output'!$AY$4:$AY$5,'[1]RA Output'!BA$4:BA$5,0)+
IF($E$112="N",0,
SUMIFS(rng_out_rx_post_yr2, rng_out_sel_G_ind, "B", rng_out_sel_sp_ind, $D111, rng_out_sel_excl_ind,"N", rng_out_post_reb_ind_yr2, 0)))/[1]Tables!$AT$4</f>
        <v>#VALUE!</v>
      </c>
      <c r="AX111" s="227" t="e" cm="1">
        <f t="array" aca="1" ref="AX111" ca="1">(SUMIFS(rng_out_rx_post_yr3,rng_out_sel_excl_yr_ind, "",rng_out_sel_G_ind,P$1,rng_out_sel_sp_ind,$D111,rng_out_sel_excl_ind,$E111)+
SUMIFS(rng_out_rx_post_yr3,rng_out_sel_excl_yr_ind, [1]Tables!$HN$4,rng_out_sel_G_ind,P$1,rng_out_sel_sp_ind,$D111,rng_out_sel_excl_ind,$E111)* _xlfn.XLOOKUP([1]Tables!$HN$4,'[1]RA Output'!$AY$4:$AY$5,'[1]RA Output'!BB$4:BB$5,0)  +
SUMIFS(rng_out_rx_post_yr3,rng_out_sel_excl_yr_ind, [1]Tables!$HN$5,rng_out_sel_G_ind,P$1,rng_out_sel_sp_ind,$D111,rng_out_sel_excl_ind,$E111)* _xlfn.XLOOKUP([1]Tables!$HN$5,'[1]RA Output'!$AY$4:$AY$5,'[1]RA Output'!BB$4:BB$5,0)+
IF($E$112="N",0,
SUMIFS(rng_out_rx_post_yr3, rng_out_sel_G_ind, "B", rng_out_sel_sp_ind, $D111, rng_out_sel_excl_ind,"N", rng_out_post_reb_ind_yr3, 0)))/[1]Tables!$AT$4</f>
        <v>#VALUE!</v>
      </c>
      <c r="AY111" s="227" t="e" cm="1">
        <f t="array" aca="1" ref="AY111" ca="1">(SUMIFS(rng_out_rx_post_yr4,rng_out_sel_excl_yr_ind, "",rng_out_sel_G_ind,Q$1,rng_out_sel_sp_ind,$D111,rng_out_sel_excl_ind,$E111)+
SUMIFS(rng_out_rx_post_yr4,rng_out_sel_excl_yr_ind, [1]Tables!$HN$4,rng_out_sel_G_ind,Q$1,rng_out_sel_sp_ind,$D111,rng_out_sel_excl_ind,$E111)* _xlfn.XLOOKUP([1]Tables!$HN$4,'[1]RA Output'!$AY$4:$AY$5,'[1]RA Output'!BC$4:BC$5,0)  +
SUMIFS(rng_out_rx_post_yr4,rng_out_sel_excl_yr_ind, [1]Tables!$HN$5,rng_out_sel_G_ind,Q$1,rng_out_sel_sp_ind,$D111,rng_out_sel_excl_ind,$E111)* _xlfn.XLOOKUP([1]Tables!$HN$5,'[1]RA Output'!$AY$4:$AY$5,'[1]RA Output'!BC$4:BC$5,0)+
IF($E$112="N",0,
SUMIFS(rng_out_rx_post_yr4, rng_out_sel_G_ind, "B", rng_out_sel_sp_ind, $D111, rng_out_sel_excl_ind,"N", rng_out_post_reb_ind_yr4, 0)))/[1]Tables!$AT$4</f>
        <v>#VALUE!</v>
      </c>
      <c r="AZ111" s="228" t="e" cm="1">
        <f t="array" aca="1" ref="AZ111" ca="1">(SUMIFS(rng_out_rx_post_yr5,rng_out_sel_excl_yr_ind, "",rng_out_sel_G_ind,R$1,rng_out_sel_sp_ind,$D111,rng_out_sel_excl_ind,$E111)+
SUMIFS(rng_out_rx_post_yr5,rng_out_sel_excl_yr_ind, [1]Tables!$HN$4,rng_out_sel_G_ind,R$1,rng_out_sel_sp_ind,$D111,rng_out_sel_excl_ind,$E111)* _xlfn.XLOOKUP([1]Tables!$HN$4,'[1]RA Output'!$AY$4:$AY$5,'[1]RA Output'!BD$4:BD$5,0)  +
SUMIFS(rng_out_rx_post_yr5,rng_out_sel_excl_yr_ind, [1]Tables!$HN$5,rng_out_sel_G_ind,R$1,rng_out_sel_sp_ind,$D111,rng_out_sel_excl_ind,$E111)* _xlfn.XLOOKUP([1]Tables!$HN$5,'[1]RA Output'!$AY$4:$AY$5,'[1]RA Output'!BD$4:BD$5,0)+
IF($E$112="N",0,
SUMIFS(rng_out_rx_post_yr5, rng_out_sel_G_ind, "B", rng_out_sel_sp_ind, $D111, rng_out_sel_excl_ind,"N", rng_out_post_reb_ind_yr5, 0)))/[1]Tables!$AT$4</f>
        <v>#VALUE!</v>
      </c>
      <c r="BA111" s="229" t="e">
        <f t="shared" ca="1" si="92"/>
        <v>#VALUE!</v>
      </c>
      <c r="BB111" s="229" t="e">
        <f t="shared" ca="1" si="92"/>
        <v>#VALUE!</v>
      </c>
      <c r="BC111" s="229" t="e">
        <f t="shared" ca="1" si="92"/>
        <v>#VALUE!</v>
      </c>
      <c r="BD111" s="229" t="e">
        <f t="shared" ca="1" si="92"/>
        <v>#VALUE!</v>
      </c>
      <c r="BE111" s="230" t="e">
        <f t="shared" ca="1" si="92"/>
        <v>#VALUE!</v>
      </c>
      <c r="BG111" s="121" t="s">
        <v>17</v>
      </c>
      <c r="BH111" s="231" t="e">
        <f t="shared" ca="1" si="93"/>
        <v>#VALUE!</v>
      </c>
      <c r="BI111" s="232" t="e">
        <f t="shared" ca="1" si="93"/>
        <v>#VALUE!</v>
      </c>
      <c r="BJ111" s="232" t="e">
        <f t="shared" ca="1" si="93"/>
        <v>#VALUE!</v>
      </c>
      <c r="BK111" s="232" t="e">
        <f t="shared" ca="1" si="93"/>
        <v>#VALUE!</v>
      </c>
      <c r="BL111" s="233" t="e">
        <f t="shared" ca="1" si="93"/>
        <v>#VALUE!</v>
      </c>
      <c r="BM111" s="231" t="e">
        <f t="shared" ca="1" si="93"/>
        <v>#VALUE!</v>
      </c>
      <c r="BN111" s="232" t="e">
        <f t="shared" ca="1" si="93"/>
        <v>#VALUE!</v>
      </c>
      <c r="BO111" s="232" t="e">
        <f t="shared" ca="1" si="93"/>
        <v>#VALUE!</v>
      </c>
      <c r="BP111" s="232" t="e">
        <f t="shared" ca="1" si="93"/>
        <v>#VALUE!</v>
      </c>
      <c r="BQ111" s="233" t="e">
        <f t="shared" ca="1" si="93"/>
        <v>#VALUE!</v>
      </c>
      <c r="BR111" s="232" t="e">
        <f t="shared" ca="1" si="94"/>
        <v>#VALUE!</v>
      </c>
      <c r="BS111" s="232" t="e">
        <f t="shared" ca="1" si="94"/>
        <v>#VALUE!</v>
      </c>
      <c r="BT111" s="232" t="e">
        <f t="shared" ca="1" si="94"/>
        <v>#VALUE!</v>
      </c>
      <c r="BU111" s="232" t="e">
        <f t="shared" ca="1" si="94"/>
        <v>#VALUE!</v>
      </c>
      <c r="BV111" s="233" t="e">
        <f t="shared" ca="1" si="94"/>
        <v>#VALUE!</v>
      </c>
      <c r="BX111" s="121" t="s">
        <v>17</v>
      </c>
      <c r="BY111" s="231" t="e">
        <f t="shared" ca="1" si="95"/>
        <v>#VALUE!</v>
      </c>
      <c r="BZ111" s="232" t="e">
        <f t="shared" ca="1" si="95"/>
        <v>#VALUE!</v>
      </c>
      <c r="CA111" s="232" t="e">
        <f t="shared" ca="1" si="95"/>
        <v>#VALUE!</v>
      </c>
      <c r="CB111" s="232" t="e">
        <f t="shared" ca="1" si="95"/>
        <v>#VALUE!</v>
      </c>
      <c r="CC111" s="233" t="e">
        <f t="shared" ca="1" si="95"/>
        <v>#VALUE!</v>
      </c>
      <c r="CD111" s="231" t="e">
        <f t="shared" ca="1" si="96"/>
        <v>#VALUE!</v>
      </c>
      <c r="CE111" s="232" t="e">
        <f t="shared" ca="1" si="96"/>
        <v>#VALUE!</v>
      </c>
      <c r="CF111" s="232" t="e">
        <f t="shared" ca="1" si="96"/>
        <v>#VALUE!</v>
      </c>
      <c r="CG111" s="232" t="e">
        <f t="shared" ca="1" si="96"/>
        <v>#VALUE!</v>
      </c>
      <c r="CH111" s="233" t="e">
        <f t="shared" ca="1" si="96"/>
        <v>#VALUE!</v>
      </c>
      <c r="CI111" s="232" t="e">
        <f t="shared" ca="1" si="97"/>
        <v>#VALUE!</v>
      </c>
      <c r="CJ111" s="232" t="e">
        <f t="shared" ca="1" si="97"/>
        <v>#VALUE!</v>
      </c>
      <c r="CK111" s="232" t="e">
        <f t="shared" ca="1" si="97"/>
        <v>#VALUE!</v>
      </c>
      <c r="CL111" s="232" t="e">
        <f t="shared" ca="1" si="97"/>
        <v>#VALUE!</v>
      </c>
      <c r="CM111" s="233" t="e">
        <f t="shared" ca="1" si="97"/>
        <v>#VALUE!</v>
      </c>
      <c r="CO111" s="231" cm="1">
        <f t="array" aca="1" ref="CO111" ca="1">_xlfn.SINGLE(IFERROR(SUMIFS(rng_out_rx_base, rng_out_sel_G_ind, "G",rng_out_sel_sp_ind, $D111, rng_out_sel_excl_ind,"Y")/[1]Tables!$AT$4, 0))</f>
        <v>0</v>
      </c>
      <c r="CP111" s="233" cm="1">
        <f t="array" aca="1" ref="CP111" ca="1">_xlfn.SINGLE(IFERROR(SUMIFS(rng_out_rx_base, rng_out_sel_G_ind, "B",rng_out_sel_sp_ind, $D111, rng_out_sel_excl_ind,"Y")/[1]Tables!$AT$4, 0))</f>
        <v>0</v>
      </c>
      <c r="CQ111" s="234">
        <f ca="1">SUM(CO111:CP111)</f>
        <v>0</v>
      </c>
      <c r="CR111" s="231" cm="1">
        <f t="array" aca="1" ref="CR111" ca="1">_xlfn.SINGLE(IFERROR(SUMIFS(rng_out_qty_base, rng_out_sel_G_ind, "G", rng_out_sel_sp_ind, $D111, rng_out_sel_excl_ind,"Y")/[1]Tables!$AT$4, 0))</f>
        <v>0</v>
      </c>
      <c r="CS111" s="232" cm="1">
        <f t="array" aca="1" ref="CS111" ca="1">_xlfn.SINGLE(IFERROR(SUMIFS(rng_out_qty_base, rng_out_sel_G_ind, "B", rng_out_sel_sp_ind, $D111, rng_out_sel_excl_ind,"Y")/[1]Tables!$AT$4, 0))</f>
        <v>0</v>
      </c>
      <c r="CT111" s="235">
        <f ca="1">SUM(CR111:CS111)</f>
        <v>0</v>
      </c>
      <c r="CU111" s="231" cm="1">
        <f t="array" aca="1" ref="CU111" ca="1">_xlfn.SINGLE(IFERROR(SUMIFS(rng_out_ds_base, rng_out_sel_G_ind, "G", rng_out_sel_sp_ind, $D111, rng_out_sel_excl_ind,"Y")/[1]Tables!$AT$4, 0))</f>
        <v>0</v>
      </c>
      <c r="CV111" s="233" cm="1">
        <f t="array" aca="1" ref="CV111" ca="1">_xlfn.SINGLE(IFERROR(SUMIFS(rng_out_ds_base, rng_out_sel_G_ind, "B", rng_out_sel_sp_ind, $D111, rng_out_sel_excl_ind,"Y")/[1]Tables!$AT$4, 0))</f>
        <v>0</v>
      </c>
      <c r="CW111" s="234">
        <f ca="1">SUM(CU111:CV111)</f>
        <v>0</v>
      </c>
      <c r="DC111" s="231" t="e">
        <f t="shared" ca="1" si="98"/>
        <v>#VALUE!</v>
      </c>
      <c r="DD111" s="232" t="e">
        <f t="shared" ca="1" si="98"/>
        <v>#VALUE!</v>
      </c>
      <c r="DE111" s="232" t="e">
        <f t="shared" ca="1" si="98"/>
        <v>#VALUE!</v>
      </c>
      <c r="DF111" s="232" t="e">
        <f t="shared" ca="1" si="98"/>
        <v>#VALUE!</v>
      </c>
      <c r="DG111" s="233" t="e">
        <f t="shared" ca="1" si="98"/>
        <v>#VALUE!</v>
      </c>
    </row>
    <row r="112" spans="1:123" ht="15" thickBot="1" x14ac:dyDescent="0.4">
      <c r="B112" s="106"/>
      <c r="C112" s="236"/>
      <c r="D112" s="236" t="s">
        <v>29</v>
      </c>
      <c r="E112" s="237" t="str">
        <f>IF(sel_excl_nonRebatable=1, "Y", "N")</f>
        <v>N</v>
      </c>
      <c r="G112" s="106"/>
      <c r="H112" s="154" t="s">
        <v>18</v>
      </c>
      <c r="I112" s="238" t="e">
        <f t="shared" ref="I112:N112" ca="1" si="99">SUM(I108:I111)</f>
        <v>#VALUE!</v>
      </c>
      <c r="J112" s="238" t="e">
        <f t="shared" ca="1" si="99"/>
        <v>#VALUE!</v>
      </c>
      <c r="K112" s="238" t="e">
        <f t="shared" ca="1" si="99"/>
        <v>#VALUE!</v>
      </c>
      <c r="L112" s="238" t="e">
        <f t="shared" ca="1" si="99"/>
        <v>#VALUE!</v>
      </c>
      <c r="M112" s="239" t="e">
        <f ca="1">SUM(M108:M111)</f>
        <v>#VALUE!</v>
      </c>
      <c r="N112" s="238" t="e">
        <f t="shared" ca="1" si="99"/>
        <v>#VALUE!</v>
      </c>
      <c r="O112" s="238" t="e">
        <f ca="1">SUM(O108:O111)</f>
        <v>#VALUE!</v>
      </c>
      <c r="P112" s="238" t="e">
        <f ca="1">SUM(P108:P111)</f>
        <v>#VALUE!</v>
      </c>
      <c r="Q112" s="238" t="e">
        <f t="shared" ref="Q112:W112" ca="1" si="100">SUM(Q108:Q111)</f>
        <v>#VALUE!</v>
      </c>
      <c r="R112" s="239" t="e">
        <f t="shared" ca="1" si="100"/>
        <v>#VALUE!</v>
      </c>
      <c r="S112" s="238" t="e">
        <f t="shared" ca="1" si="100"/>
        <v>#VALUE!</v>
      </c>
      <c r="T112" s="238" t="e">
        <f t="shared" ca="1" si="100"/>
        <v>#VALUE!</v>
      </c>
      <c r="U112" s="238" t="e">
        <f t="shared" ca="1" si="100"/>
        <v>#VALUE!</v>
      </c>
      <c r="V112" s="238" t="e">
        <f t="shared" ca="1" si="100"/>
        <v>#VALUE!</v>
      </c>
      <c r="W112" s="239" t="e">
        <f t="shared" ca="1" si="100"/>
        <v>#VALUE!</v>
      </c>
      <c r="Y112" s="159" t="s">
        <v>18</v>
      </c>
      <c r="Z112" s="240">
        <f ca="1">SUM(Z108:Z111)</f>
        <v>0</v>
      </c>
      <c r="AA112" s="241">
        <f t="shared" ref="AA112:AN112" ca="1" si="101">SUM(AA108:AA111)</f>
        <v>0</v>
      </c>
      <c r="AB112" s="241">
        <f t="shared" ca="1" si="101"/>
        <v>0</v>
      </c>
      <c r="AC112" s="241">
        <f t="shared" ca="1" si="101"/>
        <v>0</v>
      </c>
      <c r="AD112" s="242">
        <f t="shared" ca="1" si="101"/>
        <v>0</v>
      </c>
      <c r="AE112" s="240">
        <f t="shared" ca="1" si="101"/>
        <v>0</v>
      </c>
      <c r="AF112" s="241">
        <f t="shared" ca="1" si="101"/>
        <v>0</v>
      </c>
      <c r="AG112" s="241">
        <f t="shared" ca="1" si="101"/>
        <v>0</v>
      </c>
      <c r="AH112" s="241">
        <f t="shared" ca="1" si="101"/>
        <v>0</v>
      </c>
      <c r="AI112" s="242">
        <f t="shared" ca="1" si="101"/>
        <v>0</v>
      </c>
      <c r="AJ112" s="241">
        <f t="shared" ca="1" si="101"/>
        <v>0</v>
      </c>
      <c r="AK112" s="241">
        <f t="shared" ca="1" si="101"/>
        <v>0</v>
      </c>
      <c r="AL112" s="241">
        <f t="shared" ca="1" si="101"/>
        <v>0</v>
      </c>
      <c r="AM112" s="241">
        <f t="shared" ca="1" si="101"/>
        <v>0</v>
      </c>
      <c r="AN112" s="242">
        <f t="shared" ca="1" si="101"/>
        <v>0</v>
      </c>
      <c r="AP112" s="166" t="s">
        <v>18</v>
      </c>
      <c r="AQ112" s="226" t="e">
        <f t="shared" ref="AQ112:BE112" ca="1" si="102">SUM(AQ108:AQ111)</f>
        <v>#VALUE!</v>
      </c>
      <c r="AR112" s="227" t="e">
        <f t="shared" ca="1" si="102"/>
        <v>#VALUE!</v>
      </c>
      <c r="AS112" s="227" t="e">
        <f t="shared" ca="1" si="102"/>
        <v>#VALUE!</v>
      </c>
      <c r="AT112" s="227" t="e">
        <f t="shared" ca="1" si="102"/>
        <v>#VALUE!</v>
      </c>
      <c r="AU112" s="228" t="e">
        <f t="shared" ca="1" si="102"/>
        <v>#VALUE!</v>
      </c>
      <c r="AV112" s="226" t="e">
        <f t="shared" ca="1" si="102"/>
        <v>#VALUE!</v>
      </c>
      <c r="AW112" s="227" t="e">
        <f t="shared" ca="1" si="102"/>
        <v>#VALUE!</v>
      </c>
      <c r="AX112" s="227" t="e">
        <f t="shared" ca="1" si="102"/>
        <v>#VALUE!</v>
      </c>
      <c r="AY112" s="227" t="e">
        <f t="shared" ca="1" si="102"/>
        <v>#VALUE!</v>
      </c>
      <c r="AZ112" s="228" t="e">
        <f t="shared" ca="1" si="102"/>
        <v>#VALUE!</v>
      </c>
      <c r="BA112" s="227" t="e">
        <f t="shared" ca="1" si="102"/>
        <v>#VALUE!</v>
      </c>
      <c r="BB112" s="227" t="e">
        <f t="shared" ca="1" si="102"/>
        <v>#VALUE!</v>
      </c>
      <c r="BC112" s="227" t="e">
        <f t="shared" ca="1" si="102"/>
        <v>#VALUE!</v>
      </c>
      <c r="BD112" s="227" t="e">
        <f t="shared" ca="1" si="102"/>
        <v>#VALUE!</v>
      </c>
      <c r="BE112" s="228" t="e">
        <f t="shared" ca="1" si="102"/>
        <v>#VALUE!</v>
      </c>
      <c r="BG112" s="171" t="s">
        <v>18</v>
      </c>
      <c r="BH112" s="244" t="e">
        <f ca="1">SUM(BH108:BH111)</f>
        <v>#VALUE!</v>
      </c>
      <c r="BI112" s="245" t="e">
        <f t="shared" ref="BI112:BV112" ca="1" si="103">SUM(BI108:BI111)</f>
        <v>#VALUE!</v>
      </c>
      <c r="BJ112" s="245" t="e">
        <f t="shared" ca="1" si="103"/>
        <v>#VALUE!</v>
      </c>
      <c r="BK112" s="245" t="e">
        <f t="shared" ca="1" si="103"/>
        <v>#VALUE!</v>
      </c>
      <c r="BL112" s="234" t="e">
        <f t="shared" ca="1" si="103"/>
        <v>#VALUE!</v>
      </c>
      <c r="BM112" s="244" t="e">
        <f t="shared" ca="1" si="103"/>
        <v>#VALUE!</v>
      </c>
      <c r="BN112" s="245" t="e">
        <f t="shared" ca="1" si="103"/>
        <v>#VALUE!</v>
      </c>
      <c r="BO112" s="245" t="e">
        <f t="shared" ca="1" si="103"/>
        <v>#VALUE!</v>
      </c>
      <c r="BP112" s="245" t="e">
        <f t="shared" ca="1" si="103"/>
        <v>#VALUE!</v>
      </c>
      <c r="BQ112" s="234" t="e">
        <f t="shared" ca="1" si="103"/>
        <v>#VALUE!</v>
      </c>
      <c r="BR112" s="245" t="e">
        <f t="shared" ca="1" si="103"/>
        <v>#VALUE!</v>
      </c>
      <c r="BS112" s="245" t="e">
        <f t="shared" ca="1" si="103"/>
        <v>#VALUE!</v>
      </c>
      <c r="BT112" s="245" t="e">
        <f t="shared" ca="1" si="103"/>
        <v>#VALUE!</v>
      </c>
      <c r="BU112" s="245" t="e">
        <f t="shared" ca="1" si="103"/>
        <v>#VALUE!</v>
      </c>
      <c r="BV112" s="234" t="e">
        <f t="shared" ca="1" si="103"/>
        <v>#VALUE!</v>
      </c>
      <c r="BX112" s="171" t="s">
        <v>18</v>
      </c>
      <c r="BY112" s="244" t="e">
        <f ca="1">SUM(BY108:BY111)</f>
        <v>#VALUE!</v>
      </c>
      <c r="BZ112" s="245" t="e">
        <f t="shared" ref="BZ112:CM112" ca="1" si="104">SUM(BZ108:BZ111)</f>
        <v>#VALUE!</v>
      </c>
      <c r="CA112" s="245" t="e">
        <f t="shared" ca="1" si="104"/>
        <v>#VALUE!</v>
      </c>
      <c r="CB112" s="245" t="e">
        <f t="shared" ca="1" si="104"/>
        <v>#VALUE!</v>
      </c>
      <c r="CC112" s="234" t="e">
        <f t="shared" ca="1" si="104"/>
        <v>#VALUE!</v>
      </c>
      <c r="CD112" s="244" t="e">
        <f t="shared" ca="1" si="104"/>
        <v>#VALUE!</v>
      </c>
      <c r="CE112" s="245" t="e">
        <f t="shared" ca="1" si="104"/>
        <v>#VALUE!</v>
      </c>
      <c r="CF112" s="245" t="e">
        <f t="shared" ca="1" si="104"/>
        <v>#VALUE!</v>
      </c>
      <c r="CG112" s="245" t="e">
        <f t="shared" ca="1" si="104"/>
        <v>#VALUE!</v>
      </c>
      <c r="CH112" s="234" t="e">
        <f t="shared" ca="1" si="104"/>
        <v>#VALUE!</v>
      </c>
      <c r="CI112" s="245" t="e">
        <f t="shared" ca="1" si="104"/>
        <v>#VALUE!</v>
      </c>
      <c r="CJ112" s="245" t="e">
        <f t="shared" ca="1" si="104"/>
        <v>#VALUE!</v>
      </c>
      <c r="CK112" s="245" t="e">
        <f t="shared" ca="1" si="104"/>
        <v>#VALUE!</v>
      </c>
      <c r="CL112" s="245" t="e">
        <f t="shared" ca="1" si="104"/>
        <v>#VALUE!</v>
      </c>
      <c r="CM112" s="234" t="e">
        <f t="shared" ca="1" si="104"/>
        <v>#VALUE!</v>
      </c>
      <c r="CO112" s="246">
        <f t="shared" ref="CO112:CW112" ca="1" si="105">SUM(CO108:CO111)</f>
        <v>0</v>
      </c>
      <c r="CP112" s="247">
        <f t="shared" ca="1" si="105"/>
        <v>0</v>
      </c>
      <c r="CQ112" s="247">
        <f t="shared" ca="1" si="105"/>
        <v>0</v>
      </c>
      <c r="CR112" s="246">
        <f t="shared" ca="1" si="105"/>
        <v>0</v>
      </c>
      <c r="CS112" s="248">
        <f t="shared" ca="1" si="105"/>
        <v>0</v>
      </c>
      <c r="CT112" s="249">
        <f t="shared" ca="1" si="105"/>
        <v>0</v>
      </c>
      <c r="CU112" s="246">
        <f t="shared" ca="1" si="105"/>
        <v>0</v>
      </c>
      <c r="CV112" s="247">
        <f t="shared" ca="1" si="105"/>
        <v>0</v>
      </c>
      <c r="CW112" s="247">
        <f t="shared" ca="1" si="105"/>
        <v>0</v>
      </c>
      <c r="DC112" s="231" t="e">
        <f ca="1">SUM(DC108:DC111)</f>
        <v>#VALUE!</v>
      </c>
      <c r="DD112" s="232" t="e">
        <f ca="1">SUM(DD108:DD111)</f>
        <v>#VALUE!</v>
      </c>
      <c r="DE112" s="232" t="e">
        <f ca="1">SUM(DE108:DE111)</f>
        <v>#VALUE!</v>
      </c>
      <c r="DF112" s="232" t="e">
        <f ca="1">SUM(DF108:DF111)</f>
        <v>#VALUE!</v>
      </c>
      <c r="DG112" s="233" t="e">
        <f ca="1">SUM(DG108:DG111)</f>
        <v>#VALUE!</v>
      </c>
    </row>
    <row r="113" spans="2:101" ht="15" thickBot="1" x14ac:dyDescent="0.4">
      <c r="J113" s="250"/>
      <c r="K113" s="250"/>
      <c r="L113" s="250"/>
      <c r="M113" s="250"/>
      <c r="N113" s="250"/>
      <c r="O113" s="250"/>
      <c r="P113" s="250"/>
      <c r="Q113" s="250"/>
      <c r="R113" s="250"/>
      <c r="S113" s="250"/>
      <c r="T113" s="251"/>
      <c r="U113" s="251"/>
      <c r="V113" s="251"/>
      <c r="W113" s="251"/>
      <c r="CO113" s="252"/>
      <c r="CP113" s="252"/>
      <c r="CQ113" s="252"/>
      <c r="CR113" s="252"/>
      <c r="CS113" s="252"/>
      <c r="CT113" s="252"/>
      <c r="CU113" s="252"/>
      <c r="CV113" s="252"/>
      <c r="CW113" s="252"/>
    </row>
    <row r="114" spans="2:101" ht="15.75" customHeight="1" thickBot="1" x14ac:dyDescent="0.4">
      <c r="I114" s="21" t="s">
        <v>49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3"/>
      <c r="Z114" s="24" t="s">
        <v>49</v>
      </c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6"/>
      <c r="AQ114" s="27" t="s">
        <v>49</v>
      </c>
      <c r="AR114" s="28"/>
      <c r="AS114" s="28"/>
      <c r="AT114" s="28"/>
      <c r="AU114" s="29"/>
      <c r="AV114" s="28"/>
      <c r="AW114" s="28"/>
      <c r="AX114" s="28"/>
      <c r="AY114" s="28"/>
      <c r="AZ114" s="28"/>
      <c r="BA114" s="28"/>
      <c r="BB114" s="28"/>
      <c r="BC114" s="28"/>
      <c r="BD114" s="28"/>
      <c r="BE114" s="30"/>
      <c r="BH114" s="31" t="s">
        <v>49</v>
      </c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3"/>
      <c r="BY114" s="34" t="s">
        <v>49</v>
      </c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6"/>
    </row>
    <row r="115" spans="2:101" ht="15" thickBot="1" x14ac:dyDescent="0.4">
      <c r="H115" s="37"/>
      <c r="I115" s="38" t="s">
        <v>30</v>
      </c>
      <c r="J115" s="39"/>
      <c r="K115" s="39"/>
      <c r="L115" s="39"/>
      <c r="M115" s="40"/>
      <c r="N115" s="38" t="s">
        <v>31</v>
      </c>
      <c r="O115" s="39"/>
      <c r="P115" s="39"/>
      <c r="Q115" s="39"/>
      <c r="R115" s="40"/>
      <c r="S115" s="38" t="s">
        <v>32</v>
      </c>
      <c r="T115" s="39"/>
      <c r="U115" s="39"/>
      <c r="V115" s="39"/>
      <c r="W115" s="40"/>
      <c r="Z115" s="41" t="s">
        <v>30</v>
      </c>
      <c r="AA115" s="42"/>
      <c r="AB115" s="42"/>
      <c r="AC115" s="42"/>
      <c r="AD115" s="43"/>
      <c r="AE115" s="41" t="s">
        <v>31</v>
      </c>
      <c r="AF115" s="42"/>
      <c r="AG115" s="42"/>
      <c r="AH115" s="42"/>
      <c r="AI115" s="43"/>
      <c r="AJ115" s="41" t="s">
        <v>32</v>
      </c>
      <c r="AK115" s="42"/>
      <c r="AL115" s="42"/>
      <c r="AM115" s="42"/>
      <c r="AN115" s="43"/>
      <c r="AQ115" s="44" t="s">
        <v>30</v>
      </c>
      <c r="AR115" s="45"/>
      <c r="AS115" s="45"/>
      <c r="AT115" s="45"/>
      <c r="AU115" s="46"/>
      <c r="AV115" s="44" t="s">
        <v>31</v>
      </c>
      <c r="AW115" s="45"/>
      <c r="AX115" s="45"/>
      <c r="AY115" s="45"/>
      <c r="AZ115" s="46"/>
      <c r="BA115" s="45" t="s">
        <v>32</v>
      </c>
      <c r="BB115" s="45"/>
      <c r="BC115" s="45"/>
      <c r="BD115" s="45"/>
      <c r="BE115" s="46"/>
      <c r="BH115" s="47" t="s">
        <v>30</v>
      </c>
      <c r="BI115" s="48"/>
      <c r="BJ115" s="48"/>
      <c r="BK115" s="48"/>
      <c r="BL115" s="49"/>
      <c r="BM115" s="47" t="s">
        <v>31</v>
      </c>
      <c r="BN115" s="48"/>
      <c r="BO115" s="48"/>
      <c r="BP115" s="48"/>
      <c r="BQ115" s="49"/>
      <c r="BR115" s="50" t="s">
        <v>32</v>
      </c>
      <c r="BS115" s="50"/>
      <c r="BT115" s="50"/>
      <c r="BU115" s="50"/>
      <c r="BV115" s="51"/>
      <c r="BY115" s="47" t="s">
        <v>30</v>
      </c>
      <c r="BZ115" s="48"/>
      <c r="CA115" s="48"/>
      <c r="CB115" s="48"/>
      <c r="CC115" s="49"/>
      <c r="CD115" s="47" t="s">
        <v>33</v>
      </c>
      <c r="CE115" s="48"/>
      <c r="CF115" s="48"/>
      <c r="CG115" s="48"/>
      <c r="CH115" s="49"/>
      <c r="CI115" s="50" t="s">
        <v>34</v>
      </c>
      <c r="CJ115" s="50"/>
      <c r="CK115" s="50"/>
      <c r="CL115" s="50"/>
      <c r="CM115" s="51"/>
    </row>
    <row r="116" spans="2:101" ht="15" thickBot="1" x14ac:dyDescent="0.4">
      <c r="H116" s="55"/>
      <c r="I116" s="56" t="str">
        <f>[1]Tables!$AA$4</f>
        <v>07/27 - 06/28</v>
      </c>
      <c r="J116" s="55" t="str">
        <f>[1]Tables!$AA$5</f>
        <v>07/28 - 06/29</v>
      </c>
      <c r="K116" s="55" t="str">
        <f>[1]Tables!$AA$6</f>
        <v>07/29 - 06/30</v>
      </c>
      <c r="L116" s="55" t="str">
        <f>[1]Tables!$AA$7</f>
        <v>07/30 - 06/31</v>
      </c>
      <c r="M116" s="57" t="str">
        <f>[1]Tables!$AA$8</f>
        <v>07/31 - 06/32</v>
      </c>
      <c r="N116" s="56" t="str">
        <f>[1]Tables!$AA$4</f>
        <v>07/27 - 06/28</v>
      </c>
      <c r="O116" s="55" t="str">
        <f>[1]Tables!$AA$5</f>
        <v>07/28 - 06/29</v>
      </c>
      <c r="P116" s="55" t="str">
        <f>[1]Tables!$AA$6</f>
        <v>07/29 - 06/30</v>
      </c>
      <c r="Q116" s="55" t="str">
        <f>[1]Tables!$AA$7</f>
        <v>07/30 - 06/31</v>
      </c>
      <c r="R116" s="57" t="str">
        <f>[1]Tables!$AA$8</f>
        <v>07/31 - 06/32</v>
      </c>
      <c r="S116" s="56" t="str">
        <f>[1]Tables!$AA$4</f>
        <v>07/27 - 06/28</v>
      </c>
      <c r="T116" s="55" t="str">
        <f>[1]Tables!$AA$5</f>
        <v>07/28 - 06/29</v>
      </c>
      <c r="U116" s="55" t="str">
        <f>[1]Tables!$AA$6</f>
        <v>07/29 - 06/30</v>
      </c>
      <c r="V116" s="55" t="str">
        <f>[1]Tables!$AA$7</f>
        <v>07/30 - 06/31</v>
      </c>
      <c r="W116" s="57" t="str">
        <f>[1]Tables!$AA$8</f>
        <v>07/31 - 06/32</v>
      </c>
      <c r="Y116" s="58"/>
      <c r="Z116" s="59" t="str">
        <f>[1]Tables!$AA$4</f>
        <v>07/27 - 06/28</v>
      </c>
      <c r="AA116" s="60" t="str">
        <f>[1]Tables!$AA$5</f>
        <v>07/28 - 06/29</v>
      </c>
      <c r="AB116" s="60" t="str">
        <f>[1]Tables!$AA$6</f>
        <v>07/29 - 06/30</v>
      </c>
      <c r="AC116" s="60" t="str">
        <f>[1]Tables!$AA$7</f>
        <v>07/30 - 06/31</v>
      </c>
      <c r="AD116" s="61" t="str">
        <f>[1]Tables!$AA$8</f>
        <v>07/31 - 06/32</v>
      </c>
      <c r="AE116" s="59" t="str">
        <f>[1]Tables!$AA$4</f>
        <v>07/27 - 06/28</v>
      </c>
      <c r="AF116" s="60" t="str">
        <f>[1]Tables!$AA$5</f>
        <v>07/28 - 06/29</v>
      </c>
      <c r="AG116" s="60" t="str">
        <f>[1]Tables!$AA$6</f>
        <v>07/29 - 06/30</v>
      </c>
      <c r="AH116" s="60" t="str">
        <f>[1]Tables!$AA$7</f>
        <v>07/30 - 06/31</v>
      </c>
      <c r="AI116" s="61" t="str">
        <f>[1]Tables!$AA$8</f>
        <v>07/31 - 06/32</v>
      </c>
      <c r="AJ116" s="59" t="str">
        <f>[1]Tables!$AA$4</f>
        <v>07/27 - 06/28</v>
      </c>
      <c r="AK116" s="60" t="str">
        <f>[1]Tables!$AA$5</f>
        <v>07/28 - 06/29</v>
      </c>
      <c r="AL116" s="60" t="str">
        <f>[1]Tables!$AA$6</f>
        <v>07/29 - 06/30</v>
      </c>
      <c r="AM116" s="60" t="str">
        <f>[1]Tables!$AA$7</f>
        <v>07/30 - 06/31</v>
      </c>
      <c r="AN116" s="61" t="str">
        <f>[1]Tables!$AA$8</f>
        <v>07/31 - 06/32</v>
      </c>
      <c r="AP116" s="58"/>
      <c r="AQ116" s="62" t="str">
        <f>[1]Tables!$AA$4</f>
        <v>07/27 - 06/28</v>
      </c>
      <c r="AR116" s="63" t="str">
        <f>[1]Tables!$AA$5</f>
        <v>07/28 - 06/29</v>
      </c>
      <c r="AS116" s="63" t="str">
        <f>[1]Tables!$AA$6</f>
        <v>07/29 - 06/30</v>
      </c>
      <c r="AT116" s="63" t="str">
        <f>[1]Tables!$AA$7</f>
        <v>07/30 - 06/31</v>
      </c>
      <c r="AU116" s="64" t="str">
        <f>[1]Tables!$AA$8</f>
        <v>07/31 - 06/32</v>
      </c>
      <c r="AV116" s="62" t="str">
        <f>[1]Tables!$AA$4</f>
        <v>07/27 - 06/28</v>
      </c>
      <c r="AW116" s="63" t="str">
        <f>[1]Tables!$AA$5</f>
        <v>07/28 - 06/29</v>
      </c>
      <c r="AX116" s="63" t="str">
        <f>[1]Tables!$AA$6</f>
        <v>07/29 - 06/30</v>
      </c>
      <c r="AY116" s="63" t="str">
        <f>[1]Tables!$AA$7</f>
        <v>07/30 - 06/31</v>
      </c>
      <c r="AZ116" s="64" t="str">
        <f>[1]Tables!$AA$8</f>
        <v>07/31 - 06/32</v>
      </c>
      <c r="BA116" s="63" t="str">
        <f>[1]Tables!$AA$4</f>
        <v>07/27 - 06/28</v>
      </c>
      <c r="BB116" s="63" t="str">
        <f>[1]Tables!$AA$5</f>
        <v>07/28 - 06/29</v>
      </c>
      <c r="BC116" s="63" t="str">
        <f>[1]Tables!$AA$6</f>
        <v>07/29 - 06/30</v>
      </c>
      <c r="BD116" s="63" t="str">
        <f>[1]Tables!$AA$7</f>
        <v>07/30 - 06/31</v>
      </c>
      <c r="BE116" s="64" t="str">
        <f>[1]Tables!$AA$8</f>
        <v>07/31 - 06/32</v>
      </c>
      <c r="BG116" s="58"/>
      <c r="BH116" s="65" t="str">
        <f>[1]Tables!$AA$4</f>
        <v>07/27 - 06/28</v>
      </c>
      <c r="BI116" s="66" t="str">
        <f>[1]Tables!$AA$5</f>
        <v>07/28 - 06/29</v>
      </c>
      <c r="BJ116" s="66" t="str">
        <f>[1]Tables!$AA$6</f>
        <v>07/29 - 06/30</v>
      </c>
      <c r="BK116" s="66" t="str">
        <f>[1]Tables!$AA$7</f>
        <v>07/30 - 06/31</v>
      </c>
      <c r="BL116" s="67" t="str">
        <f>[1]Tables!$AA$8</f>
        <v>07/31 - 06/32</v>
      </c>
      <c r="BM116" s="65" t="str">
        <f>[1]Tables!$AA$4</f>
        <v>07/27 - 06/28</v>
      </c>
      <c r="BN116" s="66" t="str">
        <f>[1]Tables!$AA$5</f>
        <v>07/28 - 06/29</v>
      </c>
      <c r="BO116" s="66" t="str">
        <f>[1]Tables!$AA$6</f>
        <v>07/29 - 06/30</v>
      </c>
      <c r="BP116" s="66" t="str">
        <f>[1]Tables!$AA$7</f>
        <v>07/30 - 06/31</v>
      </c>
      <c r="BQ116" s="67" t="str">
        <f>[1]Tables!$AA$8</f>
        <v>07/31 - 06/32</v>
      </c>
      <c r="BR116" s="66" t="str">
        <f>[1]Tables!$AA$4</f>
        <v>07/27 - 06/28</v>
      </c>
      <c r="BS116" s="66" t="str">
        <f>[1]Tables!$AA$5</f>
        <v>07/28 - 06/29</v>
      </c>
      <c r="BT116" s="66" t="str">
        <f>[1]Tables!$AA$6</f>
        <v>07/29 - 06/30</v>
      </c>
      <c r="BU116" s="66" t="str">
        <f>[1]Tables!$AA$7</f>
        <v>07/30 - 06/31</v>
      </c>
      <c r="BV116" s="67" t="str">
        <f>[1]Tables!$AA$8</f>
        <v>07/31 - 06/32</v>
      </c>
      <c r="BX116" s="58"/>
      <c r="BY116" s="65" t="str">
        <f>[1]Tables!$AA$4</f>
        <v>07/27 - 06/28</v>
      </c>
      <c r="BZ116" s="66" t="str">
        <f>[1]Tables!$AA$5</f>
        <v>07/28 - 06/29</v>
      </c>
      <c r="CA116" s="66" t="str">
        <f>[1]Tables!$AA$6</f>
        <v>07/29 - 06/30</v>
      </c>
      <c r="CB116" s="66" t="str">
        <f>[1]Tables!$AA$7</f>
        <v>07/30 - 06/31</v>
      </c>
      <c r="CC116" s="67" t="str">
        <f>[1]Tables!$AA$8</f>
        <v>07/31 - 06/32</v>
      </c>
      <c r="CD116" s="65" t="str">
        <f>[1]Tables!$AA$4</f>
        <v>07/27 - 06/28</v>
      </c>
      <c r="CE116" s="66" t="str">
        <f>[1]Tables!$AA$5</f>
        <v>07/28 - 06/29</v>
      </c>
      <c r="CF116" s="66" t="str">
        <f>[1]Tables!$AA$6</f>
        <v>07/29 - 06/30</v>
      </c>
      <c r="CG116" s="66" t="str">
        <f>[1]Tables!$AA$7</f>
        <v>07/30 - 06/31</v>
      </c>
      <c r="CH116" s="67" t="str">
        <f>[1]Tables!$AA$8</f>
        <v>07/31 - 06/32</v>
      </c>
      <c r="CI116" s="66" t="str">
        <f>[1]Tables!$AA$4</f>
        <v>07/27 - 06/28</v>
      </c>
      <c r="CJ116" s="66" t="str">
        <f>[1]Tables!$AA$5</f>
        <v>07/28 - 06/29</v>
      </c>
      <c r="CK116" s="66" t="str">
        <f>[1]Tables!$AA$6</f>
        <v>07/29 - 06/30</v>
      </c>
      <c r="CL116" s="66" t="str">
        <f>[1]Tables!$AA$7</f>
        <v>07/30 - 06/31</v>
      </c>
      <c r="CM116" s="67" t="str">
        <f>[1]Tables!$AA$8</f>
        <v>07/31 - 06/32</v>
      </c>
    </row>
    <row r="117" spans="2:101" x14ac:dyDescent="0.35">
      <c r="B117" s="68" t="s">
        <v>11</v>
      </c>
      <c r="C117" s="69">
        <v>30</v>
      </c>
      <c r="D117" s="69" t="s">
        <v>12</v>
      </c>
      <c r="E117" s="70" t="s">
        <v>13</v>
      </c>
      <c r="F117" s="106">
        <v>1</v>
      </c>
      <c r="H117" s="71" t="s">
        <v>14</v>
      </c>
      <c r="I117" s="253">
        <f ca="1">MIN([1]Tables!$AV$4*[1]Tables!$AX$4, N126)</f>
        <v>0</v>
      </c>
      <c r="J117" s="254">
        <f ca="1">MIN([1]Tables!$AV$4+I117, O126)</f>
        <v>0</v>
      </c>
      <c r="K117" s="254">
        <f ca="1">MIN([1]Tables!$AV$4+J117, P126)</f>
        <v>0</v>
      </c>
      <c r="L117" s="254">
        <f ca="1">MIN([1]Tables!$AV$4+K117, Q126)</f>
        <v>0</v>
      </c>
      <c r="M117" s="255">
        <f ca="1">MIN([1]Tables!$AV$4+L117, R126)</f>
        <v>0</v>
      </c>
      <c r="N117" s="205" t="e">
        <f t="shared" ref="N117:R120" ca="1" si="106">I117*S108</f>
        <v>#VALUE!</v>
      </c>
      <c r="O117" s="206" t="e">
        <f ca="1">J117*T108</f>
        <v>#VALUE!</v>
      </c>
      <c r="P117" s="206" t="e">
        <f t="shared" ca="1" si="106"/>
        <v>#VALUE!</v>
      </c>
      <c r="Q117" s="206" t="e">
        <f t="shared" ca="1" si="106"/>
        <v>#VALUE!</v>
      </c>
      <c r="R117" s="207" t="e">
        <f t="shared" ca="1" si="106"/>
        <v>#VALUE!</v>
      </c>
      <c r="S117" s="205" t="e">
        <f t="shared" ref="S117:W120" ca="1" si="107">N117+N108</f>
        <v>#VALUE!</v>
      </c>
      <c r="T117" s="206" t="e">
        <f t="shared" ca="1" si="107"/>
        <v>#VALUE!</v>
      </c>
      <c r="U117" s="206" t="e">
        <f t="shared" ca="1" si="107"/>
        <v>#VALUE!</v>
      </c>
      <c r="V117" s="206" t="e">
        <f t="shared" ca="1" si="107"/>
        <v>#VALUE!</v>
      </c>
      <c r="W117" s="207" t="e">
        <f t="shared" ca="1" si="107"/>
        <v>#VALUE!</v>
      </c>
      <c r="Y117" s="77" t="s">
        <v>14</v>
      </c>
      <c r="Z117" s="256">
        <f t="shared" ref="Z117:AD120" ca="1" si="108">I117</f>
        <v>0</v>
      </c>
      <c r="AA117" s="254">
        <f t="shared" ca="1" si="108"/>
        <v>0</v>
      </c>
      <c r="AB117" s="254">
        <f t="shared" ca="1" si="108"/>
        <v>0</v>
      </c>
      <c r="AC117" s="254">
        <f t="shared" ca="1" si="108"/>
        <v>0</v>
      </c>
      <c r="AD117" s="257">
        <f t="shared" ca="1" si="108"/>
        <v>0</v>
      </c>
      <c r="AE117" s="208">
        <f t="shared" ref="AE117:AI120" ca="1" si="109">Z117*AJ108</f>
        <v>0</v>
      </c>
      <c r="AF117" s="206">
        <f t="shared" ca="1" si="109"/>
        <v>0</v>
      </c>
      <c r="AG117" s="206">
        <f t="shared" ca="1" si="109"/>
        <v>0</v>
      </c>
      <c r="AH117" s="206">
        <f t="shared" ca="1" si="109"/>
        <v>0</v>
      </c>
      <c r="AI117" s="209">
        <f t="shared" ca="1" si="109"/>
        <v>0</v>
      </c>
      <c r="AJ117" s="208">
        <f t="shared" ref="AJ117:AN120" ca="1" si="110">AE117+AE108</f>
        <v>0</v>
      </c>
      <c r="AK117" s="206">
        <f t="shared" ca="1" si="110"/>
        <v>0</v>
      </c>
      <c r="AL117" s="206">
        <f t="shared" ca="1" si="110"/>
        <v>0</v>
      </c>
      <c r="AM117" s="206">
        <f t="shared" ca="1" si="110"/>
        <v>0</v>
      </c>
      <c r="AN117" s="209">
        <f t="shared" ca="1" si="110"/>
        <v>0</v>
      </c>
      <c r="AP117" s="83" t="s">
        <v>14</v>
      </c>
      <c r="AQ117" s="258">
        <f t="shared" ref="AQ117:AU120" ca="1" si="111">MIN(I117, AV126)</f>
        <v>0</v>
      </c>
      <c r="AR117" s="254">
        <f t="shared" ca="1" si="111"/>
        <v>0</v>
      </c>
      <c r="AS117" s="254">
        <f t="shared" ca="1" si="111"/>
        <v>0</v>
      </c>
      <c r="AT117" s="254">
        <f t="shared" ca="1" si="111"/>
        <v>0</v>
      </c>
      <c r="AU117" s="259">
        <f t="shared" ca="1" si="111"/>
        <v>0</v>
      </c>
      <c r="AV117" s="260" t="e">
        <f t="shared" ref="AV117:AZ120" ca="1" si="112">AQ117*BA108</f>
        <v>#VALUE!</v>
      </c>
      <c r="AW117" s="206" t="e">
        <f t="shared" ca="1" si="112"/>
        <v>#VALUE!</v>
      </c>
      <c r="AX117" s="206" t="e">
        <f t="shared" ca="1" si="112"/>
        <v>#VALUE!</v>
      </c>
      <c r="AY117" s="206" t="e">
        <f t="shared" ca="1" si="112"/>
        <v>#VALUE!</v>
      </c>
      <c r="AZ117" s="212" t="e">
        <f t="shared" ca="1" si="112"/>
        <v>#VALUE!</v>
      </c>
      <c r="BA117" s="206" t="e">
        <f t="shared" ref="BA117:BE120" ca="1" si="113">AV117+AV108</f>
        <v>#VALUE!</v>
      </c>
      <c r="BB117" s="206" t="e">
        <f t="shared" ca="1" si="113"/>
        <v>#VALUE!</v>
      </c>
      <c r="BC117" s="206" t="e">
        <f t="shared" ca="1" si="113"/>
        <v>#VALUE!</v>
      </c>
      <c r="BD117" s="206" t="e">
        <f t="shared" ca="1" si="113"/>
        <v>#VALUE!</v>
      </c>
      <c r="BE117" s="212" t="e">
        <f t="shared" ca="1" si="113"/>
        <v>#VALUE!</v>
      </c>
      <c r="BG117" s="88" t="s">
        <v>14</v>
      </c>
      <c r="BH117" s="261">
        <f t="shared" ref="BH117:BL120" ca="1" si="114">AQ117</f>
        <v>0</v>
      </c>
      <c r="BI117" s="254">
        <f t="shared" ca="1" si="114"/>
        <v>0</v>
      </c>
      <c r="BJ117" s="254">
        <f t="shared" ca="1" si="114"/>
        <v>0</v>
      </c>
      <c r="BK117" s="254">
        <f t="shared" ca="1" si="114"/>
        <v>0</v>
      </c>
      <c r="BL117" s="262">
        <f t="shared" ca="1" si="114"/>
        <v>0</v>
      </c>
      <c r="BM117" s="213" t="e">
        <f t="shared" ref="BM117:BQ120" ca="1" si="115">BH117*BR108</f>
        <v>#VALUE!</v>
      </c>
      <c r="BN117" s="206" t="e">
        <f t="shared" ca="1" si="115"/>
        <v>#VALUE!</v>
      </c>
      <c r="BO117" s="206" t="e">
        <f t="shared" ca="1" si="115"/>
        <v>#VALUE!</v>
      </c>
      <c r="BP117" s="206" t="e">
        <f t="shared" ca="1" si="115"/>
        <v>#VALUE!</v>
      </c>
      <c r="BQ117" s="214" t="e">
        <f t="shared" ca="1" si="115"/>
        <v>#VALUE!</v>
      </c>
      <c r="BR117" s="215" t="e">
        <f t="shared" ref="BR117:BV120" ca="1" si="116">BM117+BM108</f>
        <v>#VALUE!</v>
      </c>
      <c r="BS117" s="216" t="e">
        <f t="shared" ca="1" si="116"/>
        <v>#VALUE!</v>
      </c>
      <c r="BT117" s="216" t="e">
        <f t="shared" ca="1" si="116"/>
        <v>#VALUE!</v>
      </c>
      <c r="BU117" s="216" t="e">
        <f t="shared" ca="1" si="116"/>
        <v>#VALUE!</v>
      </c>
      <c r="BV117" s="217" t="e">
        <f t="shared" ca="1" si="116"/>
        <v>#VALUE!</v>
      </c>
      <c r="BX117" s="88" t="s">
        <v>14</v>
      </c>
      <c r="BY117" s="263" cm="1">
        <f t="array" aca="1" ref="BY117" ca="1">_xlfn.SINGLE(IFERROR((SUMIFS(rng_out_rx_post_yr1,rng_out_sel_excl_yr_ind, "",rng_out_sel_G_ind,N$1,rng_out_mail_ind,$B117,rng_out_ds,$C117,rng_out_sel_sp_ind,$D117,rng_out_sel_excl_ind,$E117, rng_out_post_reb_ind_yr1, 1)+
SUMIFS(rng_out_rx_post_yr1,rng_out_sel_excl_yr_ind, [1]Tables!$HN$4,rng_out_sel_G_ind,N$1,rng_out_mail_ind,$B117,rng_out_ds,$C117,rng_out_sel_sp_ind,$D117,rng_out_sel_excl_ind,$E117, rng_out_post_reb_ind_yr1, 1)* _xlfn.XLOOKUP([1]Tables!$HN$4,'[1]RA Output'!$AY$4:$AY$5,'[1]RA Output'!AZ$4:AZ$5,0)  +
SUMIFS(rng_out_rx_post_yr1,rng_out_sel_excl_yr_ind, [1]Tables!$HN$5,rng_out_sel_G_ind,N$1,rng_out_mail_ind,$B117,rng_out_ds,$C117,rng_out_sel_sp_ind,$D117,rng_out_sel_excl_ind,$E117, rng_out_post_reb_ind_yr1, 1)* _xlfn.XLOOKUP([1]Tables!$HN$4,'[1]RA Output'!$AY$4:$AY$5,'[1]RA Output'!AZ$4:AZ$5,0))/[1]Tables!$AT$4, 0))</f>
        <v>0</v>
      </c>
      <c r="BZ117" s="264" cm="1">
        <f t="array" aca="1" ref="BZ117" ca="1">_xlfn.SINGLE(IFERROR((SUMIFS(rng_out_rx_post_yr2,rng_out_sel_excl_yr_ind, "",rng_out_sel_G_ind,O$1,rng_out_mail_ind,$B117,rng_out_ds,$C117,rng_out_sel_sp_ind,$D117,rng_out_sel_excl_ind,$E117, rng_out_post_reb_ind_yr2, 1)+
SUMIFS(rng_out_rx_post_yr2,rng_out_sel_excl_yr_ind, [1]Tables!$HN$4,rng_out_sel_G_ind,O$1,rng_out_mail_ind,$B117,rng_out_ds,$C117,rng_out_sel_sp_ind,$D117,rng_out_sel_excl_ind,$E117, rng_out_post_reb_ind_yr2, 1)* _xlfn.XLOOKUP([1]Tables!$HN$4,'[1]RA Output'!$AY$4:$AY$5,'[1]RA Output'!BA$4:BA$5,0)  +
SUMIFS(rng_out_rx_post_yr2,rng_out_sel_excl_yr_ind, [1]Tables!$HN$5,rng_out_sel_G_ind,O$1,rng_out_mail_ind,$B117,rng_out_ds,$C117,rng_out_sel_sp_ind,$D117,rng_out_sel_excl_ind,$E117, rng_out_post_reb_ind_yr2, 1)* _xlfn.XLOOKUP([1]Tables!$HN$4,'[1]RA Output'!$AY$4:$AY$5,'[1]RA Output'!BA$4:BA$5,0))/[1]Tables!$AT$4, 0))</f>
        <v>0</v>
      </c>
      <c r="CA117" s="264" cm="1">
        <f t="array" aca="1" ref="CA117" ca="1">_xlfn.SINGLE(IFERROR((SUMIFS(rng_out_rx_post_yr3,rng_out_sel_excl_yr_ind, "",rng_out_sel_G_ind,P$1,rng_out_mail_ind,$B117,rng_out_ds,$C117,rng_out_sel_sp_ind,$D117,rng_out_sel_excl_ind,$E117, rng_out_post_reb_ind_yr3, 1)+
SUMIFS(rng_out_rx_post_yr3,rng_out_sel_excl_yr_ind, [1]Tables!$HN$4,rng_out_sel_G_ind,P$1,rng_out_mail_ind,$B117,rng_out_ds,$C117,rng_out_sel_sp_ind,$D117,rng_out_sel_excl_ind,$E117, rng_out_post_reb_ind_yr3, 1)* _xlfn.XLOOKUP([1]Tables!$HN$4,'[1]RA Output'!$AY$4:$AY$5,'[1]RA Output'!BB$4:BB$5,0)  +
SUMIFS(rng_out_rx_post_yr3,rng_out_sel_excl_yr_ind, [1]Tables!$HN$5,rng_out_sel_G_ind,P$1,rng_out_mail_ind,$B117,rng_out_ds,$C117,rng_out_sel_sp_ind,$D117,rng_out_sel_excl_ind,$E117, rng_out_post_reb_ind_yr3, 1)* _xlfn.XLOOKUP([1]Tables!$HN$4,'[1]RA Output'!$AY$4:$AY$5,'[1]RA Output'!BB$4:BB$5,0))/[1]Tables!$AT$4, 0))</f>
        <v>0</v>
      </c>
      <c r="CB117" s="264" cm="1">
        <f t="array" aca="1" ref="CB117" ca="1">_xlfn.SINGLE(IFERROR((SUMIFS(rng_out_rx_post_yr4,rng_out_sel_excl_yr_ind, "",rng_out_sel_G_ind,Q$1,rng_out_mail_ind,$B117,rng_out_ds,$C117,rng_out_sel_sp_ind,$D117,rng_out_sel_excl_ind,$E117, rng_out_post_reb_ind_yr4, 1)+
SUMIFS(rng_out_rx_post_yr4,rng_out_sel_excl_yr_ind, [1]Tables!$HN$4,rng_out_sel_G_ind,Q$1,rng_out_mail_ind,$B117,rng_out_ds,$C117,rng_out_sel_sp_ind,$D117,rng_out_sel_excl_ind,$E117, rng_out_post_reb_ind_yr4, 1)* _xlfn.XLOOKUP([1]Tables!$HN$4,'[1]RA Output'!$AY$4:$AY$5,'[1]RA Output'!BC$4:BC$5,0)  +
SUMIFS(rng_out_rx_post_yr4,rng_out_sel_excl_yr_ind, [1]Tables!$HN$5,rng_out_sel_G_ind,Q$1,rng_out_mail_ind,$B117,rng_out_ds,$C117,rng_out_sel_sp_ind,$D117,rng_out_sel_excl_ind,$E117, rng_out_post_reb_ind_yr4, 1)* _xlfn.XLOOKUP([1]Tables!$HN$4,'[1]RA Output'!$AY$4:$AY$5,'[1]RA Output'!BC$4:BC$5,0))/[1]Tables!$AT$4, 0))</f>
        <v>0</v>
      </c>
      <c r="CC117" s="265" cm="1">
        <f t="array" aca="1" ref="CC117" ca="1">_xlfn.SINGLE(IFERROR((SUMIFS(rng_out_rx_post_yr5,rng_out_sel_excl_yr_ind, "",rng_out_sel_G_ind,R$1,rng_out_mail_ind,$B117,rng_out_ds,$C117,rng_out_sel_sp_ind,$D117,rng_out_sel_excl_ind,$E117, rng_out_post_reb_ind_yr5, 1)+
SUMIFS(rng_out_rx_post_yr5,rng_out_sel_excl_yr_ind, [1]Tables!$HN$4,rng_out_sel_G_ind,R$1,rng_out_mail_ind,$B117,rng_out_ds,$C117,rng_out_sel_sp_ind,$D117,rng_out_sel_excl_ind,$E117, rng_out_post_reb_ind_yr5, 1)* _xlfn.XLOOKUP([1]Tables!$HN$4,'[1]RA Output'!$AY$4:$AY$5,'[1]RA Output'!BD$4:BD$5,0)  +
SUMIFS(rng_out_rx_post_yr5,rng_out_sel_excl_yr_ind, [1]Tables!$HN$5,rng_out_sel_G_ind,R$1,rng_out_mail_ind,$B117,rng_out_ds,$C117,rng_out_sel_sp_ind,$D117,rng_out_sel_excl_ind,$E117, rng_out_post_reb_ind_yr5, 1)* _xlfn.XLOOKUP([1]Tables!$HN$4,'[1]RA Output'!$AY$4:$AY$5,'[1]RA Output'!BD$4:BD$5,0))/[1]Tables!$AT$4, 0))</f>
        <v>0</v>
      </c>
      <c r="CD117" s="366">
        <f t="shared" ref="CD117:CH120" ca="1" si="117">IFERROR(MAX((BR117 * (BY117/BM108) - DC108) / (BR117 - DC108),0), 0)</f>
        <v>0</v>
      </c>
      <c r="CE117" s="251">
        <f t="shared" ca="1" si="117"/>
        <v>0</v>
      </c>
      <c r="CF117" s="251">
        <f t="shared" ca="1" si="117"/>
        <v>0</v>
      </c>
      <c r="CG117" s="251">
        <f t="shared" ca="1" si="117"/>
        <v>0</v>
      </c>
      <c r="CH117" s="367">
        <f t="shared" ca="1" si="117"/>
        <v>0</v>
      </c>
      <c r="CI117" s="215" t="e">
        <f t="shared" ref="CI117:CM120" ca="1" si="118">CD108*CD117</f>
        <v>#VALUE!</v>
      </c>
      <c r="CJ117" s="216" t="e">
        <f t="shared" ca="1" si="118"/>
        <v>#VALUE!</v>
      </c>
      <c r="CK117" s="216" t="e">
        <f t="shared" ca="1" si="118"/>
        <v>#VALUE!</v>
      </c>
      <c r="CL117" s="216" t="e">
        <f t="shared" ca="1" si="118"/>
        <v>#VALUE!</v>
      </c>
      <c r="CM117" s="217" t="e">
        <f t="shared" ca="1" si="118"/>
        <v>#VALUE!</v>
      </c>
    </row>
    <row r="118" spans="2:101" x14ac:dyDescent="0.35">
      <c r="B118" s="105" t="s">
        <v>11</v>
      </c>
      <c r="C118" s="106">
        <v>90</v>
      </c>
      <c r="D118" s="106" t="s">
        <v>12</v>
      </c>
      <c r="E118" s="107" t="s">
        <v>13</v>
      </c>
      <c r="F118" s="106">
        <v>1</v>
      </c>
      <c r="H118" s="108" t="s">
        <v>15</v>
      </c>
      <c r="I118" s="253">
        <f ca="1">MIN([1]Tables!$AV$4*[1]Tables!$AX$4, N127)</f>
        <v>0</v>
      </c>
      <c r="J118" s="254">
        <f ca="1">MIN([1]Tables!$AV$4+I118, O127)</f>
        <v>0</v>
      </c>
      <c r="K118" s="254">
        <f ca="1">MIN([1]Tables!$AV$4+J118, P127)</f>
        <v>0</v>
      </c>
      <c r="L118" s="254">
        <f ca="1">MIN([1]Tables!$AV$4+K118, Q127)</f>
        <v>0</v>
      </c>
      <c r="M118" s="255">
        <f ca="1">MIN([1]Tables!$AV$4+L118, R127)</f>
        <v>0</v>
      </c>
      <c r="N118" s="205" t="e">
        <f t="shared" ca="1" si="106"/>
        <v>#VALUE!</v>
      </c>
      <c r="O118" s="206" t="e">
        <f t="shared" ca="1" si="106"/>
        <v>#VALUE!</v>
      </c>
      <c r="P118" s="206" t="e">
        <f t="shared" ca="1" si="106"/>
        <v>#VALUE!</v>
      </c>
      <c r="Q118" s="206" t="e">
        <f t="shared" ca="1" si="106"/>
        <v>#VALUE!</v>
      </c>
      <c r="R118" s="207" t="e">
        <f t="shared" ca="1" si="106"/>
        <v>#VALUE!</v>
      </c>
      <c r="S118" s="205" t="e">
        <f t="shared" ca="1" si="107"/>
        <v>#VALUE!</v>
      </c>
      <c r="T118" s="206" t="e">
        <f t="shared" ca="1" si="107"/>
        <v>#VALUE!</v>
      </c>
      <c r="U118" s="206" t="e">
        <f t="shared" ca="1" si="107"/>
        <v>#VALUE!</v>
      </c>
      <c r="V118" s="206" t="e">
        <f t="shared" ca="1" si="107"/>
        <v>#VALUE!</v>
      </c>
      <c r="W118" s="207" t="e">
        <f t="shared" ca="1" si="107"/>
        <v>#VALUE!</v>
      </c>
      <c r="Y118" s="109" t="s">
        <v>15</v>
      </c>
      <c r="Z118" s="256">
        <f t="shared" ca="1" si="108"/>
        <v>0</v>
      </c>
      <c r="AA118" s="254">
        <f t="shared" ca="1" si="108"/>
        <v>0</v>
      </c>
      <c r="AB118" s="254">
        <f t="shared" ca="1" si="108"/>
        <v>0</v>
      </c>
      <c r="AC118" s="254">
        <f t="shared" ca="1" si="108"/>
        <v>0</v>
      </c>
      <c r="AD118" s="257">
        <f t="shared" ca="1" si="108"/>
        <v>0</v>
      </c>
      <c r="AE118" s="208">
        <f t="shared" ca="1" si="109"/>
        <v>0</v>
      </c>
      <c r="AF118" s="206">
        <f t="shared" ca="1" si="109"/>
        <v>0</v>
      </c>
      <c r="AG118" s="206">
        <f t="shared" ca="1" si="109"/>
        <v>0</v>
      </c>
      <c r="AH118" s="206">
        <f t="shared" ca="1" si="109"/>
        <v>0</v>
      </c>
      <c r="AI118" s="209">
        <f t="shared" ca="1" si="109"/>
        <v>0</v>
      </c>
      <c r="AJ118" s="208">
        <f t="shared" ca="1" si="110"/>
        <v>0</v>
      </c>
      <c r="AK118" s="206">
        <f t="shared" ca="1" si="110"/>
        <v>0</v>
      </c>
      <c r="AL118" s="206">
        <f t="shared" ca="1" si="110"/>
        <v>0</v>
      </c>
      <c r="AM118" s="206">
        <f t="shared" ca="1" si="110"/>
        <v>0</v>
      </c>
      <c r="AN118" s="209">
        <f t="shared" ca="1" si="110"/>
        <v>0</v>
      </c>
      <c r="AP118" s="110" t="s">
        <v>15</v>
      </c>
      <c r="AQ118" s="258">
        <f t="shared" ca="1" si="111"/>
        <v>0</v>
      </c>
      <c r="AR118" s="254">
        <f t="shared" ca="1" si="111"/>
        <v>0</v>
      </c>
      <c r="AS118" s="254">
        <f t="shared" ca="1" si="111"/>
        <v>0</v>
      </c>
      <c r="AT118" s="254">
        <f t="shared" ca="1" si="111"/>
        <v>0</v>
      </c>
      <c r="AU118" s="259">
        <f t="shared" ca="1" si="111"/>
        <v>0</v>
      </c>
      <c r="AV118" s="260" t="e">
        <f t="shared" ca="1" si="112"/>
        <v>#VALUE!</v>
      </c>
      <c r="AW118" s="206" t="e">
        <f t="shared" ca="1" si="112"/>
        <v>#VALUE!</v>
      </c>
      <c r="AX118" s="206" t="e">
        <f t="shared" ca="1" si="112"/>
        <v>#VALUE!</v>
      </c>
      <c r="AY118" s="206" t="e">
        <f t="shared" ca="1" si="112"/>
        <v>#VALUE!</v>
      </c>
      <c r="AZ118" s="212" t="e">
        <f t="shared" ca="1" si="112"/>
        <v>#VALUE!</v>
      </c>
      <c r="BA118" s="206" t="e">
        <f t="shared" ca="1" si="113"/>
        <v>#VALUE!</v>
      </c>
      <c r="BB118" s="206" t="e">
        <f t="shared" ca="1" si="113"/>
        <v>#VALUE!</v>
      </c>
      <c r="BC118" s="206" t="e">
        <f t="shared" ca="1" si="113"/>
        <v>#VALUE!</v>
      </c>
      <c r="BD118" s="206" t="e">
        <f t="shared" ca="1" si="113"/>
        <v>#VALUE!</v>
      </c>
      <c r="BE118" s="212" t="e">
        <f t="shared" ca="1" si="113"/>
        <v>#VALUE!</v>
      </c>
      <c r="BG118" s="111" t="s">
        <v>15</v>
      </c>
      <c r="BH118" s="261">
        <f t="shared" ca="1" si="114"/>
        <v>0</v>
      </c>
      <c r="BI118" s="254">
        <f t="shared" ca="1" si="114"/>
        <v>0</v>
      </c>
      <c r="BJ118" s="254">
        <f t="shared" ca="1" si="114"/>
        <v>0</v>
      </c>
      <c r="BK118" s="254">
        <f t="shared" ca="1" si="114"/>
        <v>0</v>
      </c>
      <c r="BL118" s="262">
        <f t="shared" ca="1" si="114"/>
        <v>0</v>
      </c>
      <c r="BM118" s="213" t="e">
        <f t="shared" ca="1" si="115"/>
        <v>#VALUE!</v>
      </c>
      <c r="BN118" s="206" t="e">
        <f t="shared" ca="1" si="115"/>
        <v>#VALUE!</v>
      </c>
      <c r="BO118" s="206" t="e">
        <f t="shared" ca="1" si="115"/>
        <v>#VALUE!</v>
      </c>
      <c r="BP118" s="206" t="e">
        <f t="shared" ca="1" si="115"/>
        <v>#VALUE!</v>
      </c>
      <c r="BQ118" s="214" t="e">
        <f t="shared" ca="1" si="115"/>
        <v>#VALUE!</v>
      </c>
      <c r="BR118" s="213" t="e">
        <f t="shared" ca="1" si="116"/>
        <v>#VALUE!</v>
      </c>
      <c r="BS118" s="206" t="e">
        <f t="shared" ca="1" si="116"/>
        <v>#VALUE!</v>
      </c>
      <c r="BT118" s="206" t="e">
        <f t="shared" ca="1" si="116"/>
        <v>#VALUE!</v>
      </c>
      <c r="BU118" s="206" t="e">
        <f t="shared" ca="1" si="116"/>
        <v>#VALUE!</v>
      </c>
      <c r="BV118" s="214" t="e">
        <f t="shared" ca="1" si="116"/>
        <v>#VALUE!</v>
      </c>
      <c r="BX118" s="111" t="s">
        <v>15</v>
      </c>
      <c r="BY118" s="263" cm="1">
        <f t="array" aca="1" ref="BY118" ca="1">_xlfn.SINGLE(IFERROR((SUMIFS(rng_out_rx_post_yr1,rng_out_sel_excl_yr_ind, "",rng_out_sel_G_ind,N$1,rng_out_mail_ind,$B118,rng_out_ds,$C118,rng_out_sel_sp_ind,$D118,rng_out_sel_excl_ind,$E118, rng_out_post_reb_ind_yr1, 1)+
SUMIFS(rng_out_rx_post_yr1,rng_out_sel_excl_yr_ind, [1]Tables!$HN$4,rng_out_sel_G_ind,N$1,rng_out_mail_ind,$B118,rng_out_ds,$C118,rng_out_sel_sp_ind,$D118,rng_out_sel_excl_ind,$E118, rng_out_post_reb_ind_yr1, 1)* _xlfn.XLOOKUP([1]Tables!$HN$4,'[1]RA Output'!$AY$4:$AY$5,'[1]RA Output'!AZ$4:AZ$5,0)  +
SUMIFS(rng_out_rx_post_yr1,rng_out_sel_excl_yr_ind, [1]Tables!$HN$5,rng_out_sel_G_ind,N$1,rng_out_mail_ind,$B118,rng_out_ds,$C118,rng_out_sel_sp_ind,$D118,rng_out_sel_excl_ind,$E118, rng_out_post_reb_ind_yr1, 1)* _xlfn.XLOOKUP([1]Tables!$HN$4,'[1]RA Output'!$AY$4:$AY$5,'[1]RA Output'!AZ$4:AZ$5,0))/[1]Tables!$AT$4, 0))</f>
        <v>0</v>
      </c>
      <c r="BZ118" s="264" cm="1">
        <f t="array" aca="1" ref="BZ118" ca="1">_xlfn.SINGLE(IFERROR((SUMIFS(rng_out_rx_post_yr2,rng_out_sel_excl_yr_ind, "",rng_out_sel_G_ind,O$1,rng_out_mail_ind,$B118,rng_out_ds,$C118,rng_out_sel_sp_ind,$D118,rng_out_sel_excl_ind,$E118, rng_out_post_reb_ind_yr2, 1)+
SUMIFS(rng_out_rx_post_yr2,rng_out_sel_excl_yr_ind, [1]Tables!$HN$4,rng_out_sel_G_ind,O$1,rng_out_mail_ind,$B118,rng_out_ds,$C118,rng_out_sel_sp_ind,$D118,rng_out_sel_excl_ind,$E118, rng_out_post_reb_ind_yr2, 1)* _xlfn.XLOOKUP([1]Tables!$HN$4,'[1]RA Output'!$AY$4:$AY$5,'[1]RA Output'!BA$4:BA$5,0)  +
SUMIFS(rng_out_rx_post_yr2,rng_out_sel_excl_yr_ind, [1]Tables!$HN$5,rng_out_sel_G_ind,O$1,rng_out_mail_ind,$B118,rng_out_ds,$C118,rng_out_sel_sp_ind,$D118,rng_out_sel_excl_ind,$E118, rng_out_post_reb_ind_yr2, 1)* _xlfn.XLOOKUP([1]Tables!$HN$4,'[1]RA Output'!$AY$4:$AY$5,'[1]RA Output'!BA$4:BA$5,0))/[1]Tables!$AT$4, 0))</f>
        <v>0</v>
      </c>
      <c r="CA118" s="264" cm="1">
        <f t="array" aca="1" ref="CA118" ca="1">_xlfn.SINGLE(IFERROR((SUMIFS(rng_out_rx_post_yr3,rng_out_sel_excl_yr_ind, "",rng_out_sel_G_ind,P$1,rng_out_mail_ind,$B118,rng_out_ds,$C118,rng_out_sel_sp_ind,$D118,rng_out_sel_excl_ind,$E118, rng_out_post_reb_ind_yr3, 1)+
SUMIFS(rng_out_rx_post_yr3,rng_out_sel_excl_yr_ind, [1]Tables!$HN$4,rng_out_sel_G_ind,P$1,rng_out_mail_ind,$B118,rng_out_ds,$C118,rng_out_sel_sp_ind,$D118,rng_out_sel_excl_ind,$E118, rng_out_post_reb_ind_yr3, 1)* _xlfn.XLOOKUP([1]Tables!$HN$4,'[1]RA Output'!$AY$4:$AY$5,'[1]RA Output'!BB$4:BB$5,0)  +
SUMIFS(rng_out_rx_post_yr3,rng_out_sel_excl_yr_ind, [1]Tables!$HN$5,rng_out_sel_G_ind,P$1,rng_out_mail_ind,$B118,rng_out_ds,$C118,rng_out_sel_sp_ind,$D118,rng_out_sel_excl_ind,$E118, rng_out_post_reb_ind_yr3, 1)* _xlfn.XLOOKUP([1]Tables!$HN$4,'[1]RA Output'!$AY$4:$AY$5,'[1]RA Output'!BB$4:BB$5,0))/[1]Tables!$AT$4, 0))</f>
        <v>0</v>
      </c>
      <c r="CB118" s="264" cm="1">
        <f t="array" aca="1" ref="CB118" ca="1">_xlfn.SINGLE(IFERROR((SUMIFS(rng_out_rx_post_yr4,rng_out_sel_excl_yr_ind, "",rng_out_sel_G_ind,Q$1,rng_out_mail_ind,$B118,rng_out_ds,$C118,rng_out_sel_sp_ind,$D118,rng_out_sel_excl_ind,$E118, rng_out_post_reb_ind_yr4, 1)+
SUMIFS(rng_out_rx_post_yr4,rng_out_sel_excl_yr_ind, [1]Tables!$HN$4,rng_out_sel_G_ind,Q$1,rng_out_mail_ind,$B118,rng_out_ds,$C118,rng_out_sel_sp_ind,$D118,rng_out_sel_excl_ind,$E118, rng_out_post_reb_ind_yr4, 1)* _xlfn.XLOOKUP([1]Tables!$HN$4,'[1]RA Output'!$AY$4:$AY$5,'[1]RA Output'!BC$4:BC$5,0)  +
SUMIFS(rng_out_rx_post_yr4,rng_out_sel_excl_yr_ind, [1]Tables!$HN$5,rng_out_sel_G_ind,Q$1,rng_out_mail_ind,$B118,rng_out_ds,$C118,rng_out_sel_sp_ind,$D118,rng_out_sel_excl_ind,$E118, rng_out_post_reb_ind_yr4, 1)* _xlfn.XLOOKUP([1]Tables!$HN$4,'[1]RA Output'!$AY$4:$AY$5,'[1]RA Output'!BC$4:BC$5,0))/[1]Tables!$AT$4, 0))</f>
        <v>0</v>
      </c>
      <c r="CC118" s="265" cm="1">
        <f t="array" aca="1" ref="CC118" ca="1">_xlfn.SINGLE(IFERROR((SUMIFS(rng_out_rx_post_yr5,rng_out_sel_excl_yr_ind, "",rng_out_sel_G_ind,R$1,rng_out_mail_ind,$B118,rng_out_ds,$C118,rng_out_sel_sp_ind,$D118,rng_out_sel_excl_ind,$E118, rng_out_post_reb_ind_yr5, 1)+
SUMIFS(rng_out_rx_post_yr5,rng_out_sel_excl_yr_ind, [1]Tables!$HN$4,rng_out_sel_G_ind,R$1,rng_out_mail_ind,$B118,rng_out_ds,$C118,rng_out_sel_sp_ind,$D118,rng_out_sel_excl_ind,$E118, rng_out_post_reb_ind_yr5, 1)* _xlfn.XLOOKUP([1]Tables!$HN$4,'[1]RA Output'!$AY$4:$AY$5,'[1]RA Output'!BD$4:BD$5,0)  +
SUMIFS(rng_out_rx_post_yr5,rng_out_sel_excl_yr_ind, [1]Tables!$HN$5,rng_out_sel_G_ind,R$1,rng_out_mail_ind,$B118,rng_out_ds,$C118,rng_out_sel_sp_ind,$D118,rng_out_sel_excl_ind,$E118, rng_out_post_reb_ind_yr5, 1)* _xlfn.XLOOKUP([1]Tables!$HN$4,'[1]RA Output'!$AY$4:$AY$5,'[1]RA Output'!BD$4:BD$5,0))/[1]Tables!$AT$4, 0))</f>
        <v>0</v>
      </c>
      <c r="CD118" s="366">
        <f t="shared" ca="1" si="117"/>
        <v>0</v>
      </c>
      <c r="CE118" s="251">
        <f t="shared" ca="1" si="117"/>
        <v>0</v>
      </c>
      <c r="CF118" s="251">
        <f t="shared" ca="1" si="117"/>
        <v>0</v>
      </c>
      <c r="CG118" s="251">
        <f t="shared" ca="1" si="117"/>
        <v>0</v>
      </c>
      <c r="CH118" s="367">
        <f t="shared" ca="1" si="117"/>
        <v>0</v>
      </c>
      <c r="CI118" s="213" t="e">
        <f t="shared" ca="1" si="118"/>
        <v>#VALUE!</v>
      </c>
      <c r="CJ118" s="206" t="e">
        <f t="shared" ca="1" si="118"/>
        <v>#VALUE!</v>
      </c>
      <c r="CK118" s="206" t="e">
        <f t="shared" ca="1" si="118"/>
        <v>#VALUE!</v>
      </c>
      <c r="CL118" s="206" t="e">
        <f t="shared" ca="1" si="118"/>
        <v>#VALUE!</v>
      </c>
      <c r="CM118" s="214" t="e">
        <f t="shared" ca="1" si="118"/>
        <v>#VALUE!</v>
      </c>
    </row>
    <row r="119" spans="2:101" x14ac:dyDescent="0.35">
      <c r="B119" s="105" t="s">
        <v>16</v>
      </c>
      <c r="C119" s="106"/>
      <c r="D119" s="106" t="s">
        <v>12</v>
      </c>
      <c r="E119" s="107" t="s">
        <v>13</v>
      </c>
      <c r="F119" s="106">
        <v>1</v>
      </c>
      <c r="H119" s="118" t="s">
        <v>7</v>
      </c>
      <c r="I119" s="253">
        <f ca="1">MIN([1]Tables!$AV$4*[1]Tables!$AX$4, N128)</f>
        <v>0</v>
      </c>
      <c r="J119" s="254">
        <f ca="1">MIN([1]Tables!$AV$4+I119, O128)</f>
        <v>0</v>
      </c>
      <c r="K119" s="254">
        <f ca="1">MIN([1]Tables!$AV$4+J119, P128)</f>
        <v>0</v>
      </c>
      <c r="L119" s="254">
        <f ca="1">MIN([1]Tables!$AV$4+K119, Q128)</f>
        <v>0</v>
      </c>
      <c r="M119" s="255">
        <f ca="1">MIN([1]Tables!$AV$4+L119, R128)</f>
        <v>0</v>
      </c>
      <c r="N119" s="205" t="e">
        <f t="shared" ca="1" si="106"/>
        <v>#VALUE!</v>
      </c>
      <c r="O119" s="206" t="e">
        <f t="shared" ca="1" si="106"/>
        <v>#VALUE!</v>
      </c>
      <c r="P119" s="206" t="e">
        <f t="shared" ca="1" si="106"/>
        <v>#VALUE!</v>
      </c>
      <c r="Q119" s="206" t="e">
        <f t="shared" ca="1" si="106"/>
        <v>#VALUE!</v>
      </c>
      <c r="R119" s="207" t="e">
        <f t="shared" ca="1" si="106"/>
        <v>#VALUE!</v>
      </c>
      <c r="S119" s="205" t="e">
        <f t="shared" ca="1" si="107"/>
        <v>#VALUE!</v>
      </c>
      <c r="T119" s="206" t="e">
        <f t="shared" ca="1" si="107"/>
        <v>#VALUE!</v>
      </c>
      <c r="U119" s="206" t="e">
        <f t="shared" ca="1" si="107"/>
        <v>#VALUE!</v>
      </c>
      <c r="V119" s="206" t="e">
        <f t="shared" ca="1" si="107"/>
        <v>#VALUE!</v>
      </c>
      <c r="W119" s="207" t="e">
        <f t="shared" ca="1" si="107"/>
        <v>#VALUE!</v>
      </c>
      <c r="Y119" s="119" t="s">
        <v>7</v>
      </c>
      <c r="Z119" s="256">
        <f t="shared" ca="1" si="108"/>
        <v>0</v>
      </c>
      <c r="AA119" s="254">
        <f t="shared" ca="1" si="108"/>
        <v>0</v>
      </c>
      <c r="AB119" s="254">
        <f t="shared" ca="1" si="108"/>
        <v>0</v>
      </c>
      <c r="AC119" s="254">
        <f t="shared" ca="1" si="108"/>
        <v>0</v>
      </c>
      <c r="AD119" s="257">
        <f t="shared" ca="1" si="108"/>
        <v>0</v>
      </c>
      <c r="AE119" s="208">
        <f t="shared" ca="1" si="109"/>
        <v>0</v>
      </c>
      <c r="AF119" s="206">
        <f t="shared" ca="1" si="109"/>
        <v>0</v>
      </c>
      <c r="AG119" s="206">
        <f t="shared" ca="1" si="109"/>
        <v>0</v>
      </c>
      <c r="AH119" s="206">
        <f t="shared" ca="1" si="109"/>
        <v>0</v>
      </c>
      <c r="AI119" s="209">
        <f t="shared" ca="1" si="109"/>
        <v>0</v>
      </c>
      <c r="AJ119" s="208">
        <f t="shared" ca="1" si="110"/>
        <v>0</v>
      </c>
      <c r="AK119" s="206">
        <f t="shared" ca="1" si="110"/>
        <v>0</v>
      </c>
      <c r="AL119" s="206">
        <f t="shared" ca="1" si="110"/>
        <v>0</v>
      </c>
      <c r="AM119" s="206">
        <f t="shared" ca="1" si="110"/>
        <v>0</v>
      </c>
      <c r="AN119" s="209">
        <f t="shared" ca="1" si="110"/>
        <v>0</v>
      </c>
      <c r="AP119" s="120" t="s">
        <v>7</v>
      </c>
      <c r="AQ119" s="258">
        <f t="shared" ca="1" si="111"/>
        <v>0</v>
      </c>
      <c r="AR119" s="254">
        <f t="shared" ca="1" si="111"/>
        <v>0</v>
      </c>
      <c r="AS119" s="254">
        <f t="shared" ca="1" si="111"/>
        <v>0</v>
      </c>
      <c r="AT119" s="254">
        <f t="shared" ca="1" si="111"/>
        <v>0</v>
      </c>
      <c r="AU119" s="259">
        <f t="shared" ca="1" si="111"/>
        <v>0</v>
      </c>
      <c r="AV119" s="260" t="e">
        <f t="shared" ca="1" si="112"/>
        <v>#VALUE!</v>
      </c>
      <c r="AW119" s="206" t="e">
        <f t="shared" ca="1" si="112"/>
        <v>#VALUE!</v>
      </c>
      <c r="AX119" s="206" t="e">
        <f t="shared" ca="1" si="112"/>
        <v>#VALUE!</v>
      </c>
      <c r="AY119" s="206" t="e">
        <f t="shared" ca="1" si="112"/>
        <v>#VALUE!</v>
      </c>
      <c r="AZ119" s="212" t="e">
        <f t="shared" ca="1" si="112"/>
        <v>#VALUE!</v>
      </c>
      <c r="BA119" s="206" t="e">
        <f t="shared" ca="1" si="113"/>
        <v>#VALUE!</v>
      </c>
      <c r="BB119" s="206" t="e">
        <f t="shared" ca="1" si="113"/>
        <v>#VALUE!</v>
      </c>
      <c r="BC119" s="206" t="e">
        <f t="shared" ca="1" si="113"/>
        <v>#VALUE!</v>
      </c>
      <c r="BD119" s="206" t="e">
        <f t="shared" ca="1" si="113"/>
        <v>#VALUE!</v>
      </c>
      <c r="BE119" s="212" t="e">
        <f t="shared" ca="1" si="113"/>
        <v>#VALUE!</v>
      </c>
      <c r="BG119" s="121" t="s">
        <v>7</v>
      </c>
      <c r="BH119" s="261">
        <f t="shared" ca="1" si="114"/>
        <v>0</v>
      </c>
      <c r="BI119" s="254">
        <f t="shared" ca="1" si="114"/>
        <v>0</v>
      </c>
      <c r="BJ119" s="254">
        <f t="shared" ca="1" si="114"/>
        <v>0</v>
      </c>
      <c r="BK119" s="254">
        <f t="shared" ca="1" si="114"/>
        <v>0</v>
      </c>
      <c r="BL119" s="262">
        <f t="shared" ca="1" si="114"/>
        <v>0</v>
      </c>
      <c r="BM119" s="213" t="e">
        <f t="shared" ca="1" si="115"/>
        <v>#VALUE!</v>
      </c>
      <c r="BN119" s="206" t="e">
        <f t="shared" ca="1" si="115"/>
        <v>#VALUE!</v>
      </c>
      <c r="BO119" s="206" t="e">
        <f t="shared" ca="1" si="115"/>
        <v>#VALUE!</v>
      </c>
      <c r="BP119" s="206" t="e">
        <f t="shared" ca="1" si="115"/>
        <v>#VALUE!</v>
      </c>
      <c r="BQ119" s="214" t="e">
        <f t="shared" ca="1" si="115"/>
        <v>#VALUE!</v>
      </c>
      <c r="BR119" s="213" t="e">
        <f t="shared" ca="1" si="116"/>
        <v>#VALUE!</v>
      </c>
      <c r="BS119" s="206" t="e">
        <f t="shared" ca="1" si="116"/>
        <v>#VALUE!</v>
      </c>
      <c r="BT119" s="206" t="e">
        <f t="shared" ca="1" si="116"/>
        <v>#VALUE!</v>
      </c>
      <c r="BU119" s="206" t="e">
        <f t="shared" ca="1" si="116"/>
        <v>#VALUE!</v>
      </c>
      <c r="BV119" s="214" t="e">
        <f t="shared" ca="1" si="116"/>
        <v>#VALUE!</v>
      </c>
      <c r="BX119" s="121" t="s">
        <v>7</v>
      </c>
      <c r="BY119" s="263" cm="1">
        <f t="array" aca="1" ref="BY119" ca="1">_xlfn.SINGLE(IFERROR((SUMIFS(rng_out_rx_post_yr1,rng_out_sel_excl_yr_ind, "",rng_out_sel_G_ind,N$1,rng_out_mail_ind,$B119,rng_out_sel_sp_ind,$D119,rng_out_sel_excl_ind,$E119, rng_out_post_reb_ind_yr1, 1)+
SUMIFS(rng_out_rx_post_yr1,rng_out_sel_excl_yr_ind, [1]Tables!$HN$4,rng_out_sel_G_ind,N$1,rng_out_mail_ind,$B119,rng_out_sel_sp_ind,$D119,rng_out_sel_excl_ind,$E119, rng_out_post_reb_ind_yr1, 1)* _xlfn.XLOOKUP([1]Tables!$HN$4,'[1]RA Output'!$AY$4:$AY$5,'[1]RA Output'!AZ$4:AZ$5,0)  +
SUMIFS(rng_out_rx_post_yr1,rng_out_sel_excl_yr_ind, [1]Tables!$HN$5,rng_out_sel_G_ind,N$1,rng_out_mail_ind,$B119,rng_out_sel_sp_ind,$D119,rng_out_sel_excl_ind,$E119, rng_out_post_reb_ind_yr1, 1)* _xlfn.XLOOKUP([1]Tables!$HN$4,'[1]RA Output'!$AY$4:$AY$5,'[1]RA Output'!AZ$4:AZ$5,0))/[1]Tables!$AT$4, 0))</f>
        <v>0</v>
      </c>
      <c r="BZ119" s="264" cm="1">
        <f t="array" aca="1" ref="BZ119" ca="1">_xlfn.SINGLE(IFERROR((SUMIFS(rng_out_rx_post_yr2,rng_out_sel_excl_yr_ind, "",rng_out_sel_G_ind,O$1,rng_out_mail_ind,$B119,rng_out_sel_sp_ind,$D119,rng_out_sel_excl_ind,$E119, rng_out_post_reb_ind_yr2, 1)+
SUMIFS(rng_out_rx_post_yr2,rng_out_sel_excl_yr_ind, [1]Tables!$HN$4,rng_out_sel_G_ind,O$1,rng_out_mail_ind,$B119,rng_out_sel_sp_ind,$D119,rng_out_sel_excl_ind,$E119, rng_out_post_reb_ind_yr2, 1)* _xlfn.XLOOKUP([1]Tables!$HN$4,'[1]RA Output'!$AY$4:$AY$5,'[1]RA Output'!BA$4:BA$5,0)  +
SUMIFS(rng_out_rx_post_yr2,rng_out_sel_excl_yr_ind, [1]Tables!$HN$5,rng_out_sel_G_ind,O$1,rng_out_mail_ind,$B119,rng_out_sel_sp_ind,$D119,rng_out_sel_excl_ind,$E119, rng_out_post_reb_ind_yr2, 1)* _xlfn.XLOOKUP([1]Tables!$HN$4,'[1]RA Output'!$AY$4:$AY$5,'[1]RA Output'!BA$4:BA$5,0))/[1]Tables!$AT$4, 0))</f>
        <v>0</v>
      </c>
      <c r="CA119" s="264" cm="1">
        <f t="array" aca="1" ref="CA119" ca="1">_xlfn.SINGLE(IFERROR((SUMIFS(rng_out_rx_post_yr3,rng_out_sel_excl_yr_ind, "",rng_out_sel_G_ind,P$1,rng_out_mail_ind,$B119,rng_out_sel_sp_ind,$D119,rng_out_sel_excl_ind,$E119, rng_out_post_reb_ind_yr3, 1)+
SUMIFS(rng_out_rx_post_yr3,rng_out_sel_excl_yr_ind, [1]Tables!$HN$4,rng_out_sel_G_ind,P$1,rng_out_mail_ind,$B119,rng_out_sel_sp_ind,$D119,rng_out_sel_excl_ind,$E119, rng_out_post_reb_ind_yr3, 1)* _xlfn.XLOOKUP([1]Tables!$HN$4,'[1]RA Output'!$AY$4:$AY$5,'[1]RA Output'!BB$4:BB$5,0)  +
SUMIFS(rng_out_rx_post_yr3,rng_out_sel_excl_yr_ind, [1]Tables!$HN$5,rng_out_sel_G_ind,P$1,rng_out_mail_ind,$B119,rng_out_sel_sp_ind,$D119,rng_out_sel_excl_ind,$E119, rng_out_post_reb_ind_yr3, 1)* _xlfn.XLOOKUP([1]Tables!$HN$4,'[1]RA Output'!$AY$4:$AY$5,'[1]RA Output'!BB$4:BB$5,0))/[1]Tables!$AT$4, 0))</f>
        <v>0</v>
      </c>
      <c r="CB119" s="264" cm="1">
        <f t="array" aca="1" ref="CB119" ca="1">_xlfn.SINGLE(IFERROR((SUMIFS(rng_out_rx_post_yr4,rng_out_sel_excl_yr_ind, "",rng_out_sel_G_ind,Q$1,rng_out_mail_ind,$B119,rng_out_sel_sp_ind,$D119,rng_out_sel_excl_ind,$E119, rng_out_post_reb_ind_yr4, 1)+
SUMIFS(rng_out_rx_post_yr4,rng_out_sel_excl_yr_ind, [1]Tables!$HN$4,rng_out_sel_G_ind,Q$1,rng_out_mail_ind,$B119,rng_out_sel_sp_ind,$D119,rng_out_sel_excl_ind,$E119, rng_out_post_reb_ind_yr4, 1)* _xlfn.XLOOKUP([1]Tables!$HN$4,'[1]RA Output'!$AY$4:$AY$5,'[1]RA Output'!BC$4:BC$5,0)  +
SUMIFS(rng_out_rx_post_yr4,rng_out_sel_excl_yr_ind, [1]Tables!$HN$5,rng_out_sel_G_ind,Q$1,rng_out_mail_ind,$B119,rng_out_sel_sp_ind,$D119,rng_out_sel_excl_ind,$E119, rng_out_post_reb_ind_yr4, 1)* _xlfn.XLOOKUP([1]Tables!$HN$4,'[1]RA Output'!$AY$4:$AY$5,'[1]RA Output'!BC$4:BC$5,0))/[1]Tables!$AT$4, 0))</f>
        <v>0</v>
      </c>
      <c r="CC119" s="265" cm="1">
        <f t="array" aca="1" ref="CC119" ca="1">_xlfn.SINGLE(IFERROR((SUMIFS(rng_out_rx_post_yr5,rng_out_sel_excl_yr_ind, "",rng_out_sel_G_ind,R$1,rng_out_mail_ind,$B119,rng_out_sel_sp_ind,$D119,rng_out_sel_excl_ind,$E119, rng_out_post_reb_ind_yr5, 1)+
SUMIFS(rng_out_rx_post_yr5,rng_out_sel_excl_yr_ind, [1]Tables!$HN$4,rng_out_sel_G_ind,R$1,rng_out_mail_ind,$B119,rng_out_sel_sp_ind,$D119,rng_out_sel_excl_ind,$E119, rng_out_post_reb_ind_yr5, 1)* _xlfn.XLOOKUP([1]Tables!$HN$4,'[1]RA Output'!$AY$4:$AY$5,'[1]RA Output'!BD$4:BD$5,0)  +
SUMIFS(rng_out_rx_post_yr5,rng_out_sel_excl_yr_ind, [1]Tables!$HN$5,rng_out_sel_G_ind,R$1,rng_out_mail_ind,$B119,rng_out_sel_sp_ind,$D119,rng_out_sel_excl_ind,$E119, rng_out_post_reb_ind_yr5, 1)* _xlfn.XLOOKUP([1]Tables!$HN$4,'[1]RA Output'!$AY$4:$AY$5,'[1]RA Output'!BD$4:BD$5,0))/[1]Tables!$AT$4, 0))</f>
        <v>0</v>
      </c>
      <c r="CD119" s="366">
        <f t="shared" ca="1" si="117"/>
        <v>0</v>
      </c>
      <c r="CE119" s="251">
        <f t="shared" ca="1" si="117"/>
        <v>0</v>
      </c>
      <c r="CF119" s="251">
        <f t="shared" ca="1" si="117"/>
        <v>0</v>
      </c>
      <c r="CG119" s="251">
        <f t="shared" ca="1" si="117"/>
        <v>0</v>
      </c>
      <c r="CH119" s="367">
        <f t="shared" ca="1" si="117"/>
        <v>0</v>
      </c>
      <c r="CI119" s="213" t="e">
        <f t="shared" ca="1" si="118"/>
        <v>#VALUE!</v>
      </c>
      <c r="CJ119" s="206" t="e">
        <f t="shared" ca="1" si="118"/>
        <v>#VALUE!</v>
      </c>
      <c r="CK119" s="206" t="e">
        <f t="shared" ca="1" si="118"/>
        <v>#VALUE!</v>
      </c>
      <c r="CL119" s="206" t="e">
        <f t="shared" ca="1" si="118"/>
        <v>#VALUE!</v>
      </c>
      <c r="CM119" s="214" t="e">
        <f t="shared" ca="1" si="118"/>
        <v>#VALUE!</v>
      </c>
    </row>
    <row r="120" spans="2:101" ht="15" thickBot="1" x14ac:dyDescent="0.4">
      <c r="B120" s="122"/>
      <c r="C120" s="123"/>
      <c r="D120" s="123" t="s">
        <v>13</v>
      </c>
      <c r="E120" s="124" t="s">
        <v>13</v>
      </c>
      <c r="F120" s="106">
        <v>1</v>
      </c>
      <c r="H120" s="118" t="s">
        <v>17</v>
      </c>
      <c r="I120" s="253">
        <f ca="1">MIN([1]Tables!$AV$4*[1]Tables!$AX$4, N129)</f>
        <v>0</v>
      </c>
      <c r="J120" s="254">
        <f ca="1">MIN([1]Tables!$AV$4+I120, O129)</f>
        <v>0</v>
      </c>
      <c r="K120" s="254">
        <f ca="1">MIN([1]Tables!$AV$4+J120, P129)</f>
        <v>0</v>
      </c>
      <c r="L120" s="254">
        <f ca="1">MIN([1]Tables!$AV$4+K120, Q129)</f>
        <v>0</v>
      </c>
      <c r="M120" s="270">
        <f ca="1">MIN([1]Tables!$AV$4+L120, R129)</f>
        <v>0</v>
      </c>
      <c r="N120" s="205" t="e">
        <f t="shared" ca="1" si="106"/>
        <v>#VALUE!</v>
      </c>
      <c r="O120" s="206" t="e">
        <f t="shared" ca="1" si="106"/>
        <v>#VALUE!</v>
      </c>
      <c r="P120" s="206" t="e">
        <f t="shared" ca="1" si="106"/>
        <v>#VALUE!</v>
      </c>
      <c r="Q120" s="206" t="e">
        <f t="shared" ca="1" si="106"/>
        <v>#VALUE!</v>
      </c>
      <c r="R120" s="271" t="e">
        <f t="shared" ca="1" si="106"/>
        <v>#VALUE!</v>
      </c>
      <c r="S120" s="206" t="e">
        <f t="shared" ca="1" si="107"/>
        <v>#VALUE!</v>
      </c>
      <c r="T120" s="206" t="e">
        <f t="shared" ca="1" si="107"/>
        <v>#VALUE!</v>
      </c>
      <c r="U120" s="206" t="e">
        <f t="shared" ca="1" si="107"/>
        <v>#VALUE!</v>
      </c>
      <c r="V120" s="206" t="e">
        <f t="shared" ca="1" si="107"/>
        <v>#VALUE!</v>
      </c>
      <c r="W120" s="207" t="e">
        <f t="shared" ca="1" si="107"/>
        <v>#VALUE!</v>
      </c>
      <c r="Y120" s="119" t="s">
        <v>17</v>
      </c>
      <c r="Z120" s="272">
        <f t="shared" ca="1" si="108"/>
        <v>0</v>
      </c>
      <c r="AA120" s="273">
        <f t="shared" ca="1" si="108"/>
        <v>0</v>
      </c>
      <c r="AB120" s="273">
        <f t="shared" ca="1" si="108"/>
        <v>0</v>
      </c>
      <c r="AC120" s="273">
        <f t="shared" ca="1" si="108"/>
        <v>0</v>
      </c>
      <c r="AD120" s="274">
        <f t="shared" ca="1" si="108"/>
        <v>0</v>
      </c>
      <c r="AE120" s="223">
        <f t="shared" ca="1" si="109"/>
        <v>0</v>
      </c>
      <c r="AF120" s="224">
        <f t="shared" ca="1" si="109"/>
        <v>0</v>
      </c>
      <c r="AG120" s="224">
        <f t="shared" ca="1" si="109"/>
        <v>0</v>
      </c>
      <c r="AH120" s="224">
        <f t="shared" ca="1" si="109"/>
        <v>0</v>
      </c>
      <c r="AI120" s="225">
        <f t="shared" ca="1" si="109"/>
        <v>0</v>
      </c>
      <c r="AJ120" s="224">
        <f t="shared" ca="1" si="110"/>
        <v>0</v>
      </c>
      <c r="AK120" s="224">
        <f t="shared" ca="1" si="110"/>
        <v>0</v>
      </c>
      <c r="AL120" s="224">
        <f t="shared" ca="1" si="110"/>
        <v>0</v>
      </c>
      <c r="AM120" s="224">
        <f t="shared" ca="1" si="110"/>
        <v>0</v>
      </c>
      <c r="AN120" s="225">
        <f t="shared" ca="1" si="110"/>
        <v>0</v>
      </c>
      <c r="AP120" s="120" t="s">
        <v>17</v>
      </c>
      <c r="AQ120" s="275">
        <f t="shared" ca="1" si="111"/>
        <v>0</v>
      </c>
      <c r="AR120" s="276">
        <f t="shared" ca="1" si="111"/>
        <v>0</v>
      </c>
      <c r="AS120" s="276">
        <f t="shared" ca="1" si="111"/>
        <v>0</v>
      </c>
      <c r="AT120" s="276">
        <f t="shared" ca="1" si="111"/>
        <v>0</v>
      </c>
      <c r="AU120" s="277">
        <f t="shared" ca="1" si="111"/>
        <v>0</v>
      </c>
      <c r="AV120" s="243" t="e">
        <f t="shared" ca="1" si="112"/>
        <v>#VALUE!</v>
      </c>
      <c r="AW120" s="229" t="e">
        <f t="shared" ca="1" si="112"/>
        <v>#VALUE!</v>
      </c>
      <c r="AX120" s="229" t="e">
        <f t="shared" ca="1" si="112"/>
        <v>#VALUE!</v>
      </c>
      <c r="AY120" s="229" t="e">
        <f t="shared" ca="1" si="112"/>
        <v>#VALUE!</v>
      </c>
      <c r="AZ120" s="230" t="e">
        <f t="shared" ca="1" si="112"/>
        <v>#VALUE!</v>
      </c>
      <c r="BA120" s="229" t="e">
        <f t="shared" ca="1" si="113"/>
        <v>#VALUE!</v>
      </c>
      <c r="BB120" s="229" t="e">
        <f t="shared" ca="1" si="113"/>
        <v>#VALUE!</v>
      </c>
      <c r="BC120" s="229" t="e">
        <f t="shared" ca="1" si="113"/>
        <v>#VALUE!</v>
      </c>
      <c r="BD120" s="229" t="e">
        <f t="shared" ca="1" si="113"/>
        <v>#VALUE!</v>
      </c>
      <c r="BE120" s="230" t="e">
        <f t="shared" ca="1" si="113"/>
        <v>#VALUE!</v>
      </c>
      <c r="BG120" s="121" t="s">
        <v>17</v>
      </c>
      <c r="BH120" s="278">
        <f t="shared" ca="1" si="114"/>
        <v>0</v>
      </c>
      <c r="BI120" s="279">
        <f t="shared" ca="1" si="114"/>
        <v>0</v>
      </c>
      <c r="BJ120" s="279">
        <f t="shared" ca="1" si="114"/>
        <v>0</v>
      </c>
      <c r="BK120" s="279">
        <f t="shared" ca="1" si="114"/>
        <v>0</v>
      </c>
      <c r="BL120" s="280">
        <f t="shared" ca="1" si="114"/>
        <v>0</v>
      </c>
      <c r="BM120" s="231" t="e">
        <f t="shared" ca="1" si="115"/>
        <v>#VALUE!</v>
      </c>
      <c r="BN120" s="232" t="e">
        <f t="shared" ca="1" si="115"/>
        <v>#VALUE!</v>
      </c>
      <c r="BO120" s="232" t="e">
        <f t="shared" ca="1" si="115"/>
        <v>#VALUE!</v>
      </c>
      <c r="BP120" s="232" t="e">
        <f t="shared" ca="1" si="115"/>
        <v>#VALUE!</v>
      </c>
      <c r="BQ120" s="233" t="e">
        <f t="shared" ca="1" si="115"/>
        <v>#VALUE!</v>
      </c>
      <c r="BR120" s="232" t="e">
        <f t="shared" ca="1" si="116"/>
        <v>#VALUE!</v>
      </c>
      <c r="BS120" s="232" t="e">
        <f t="shared" ca="1" si="116"/>
        <v>#VALUE!</v>
      </c>
      <c r="BT120" s="232" t="e">
        <f t="shared" ca="1" si="116"/>
        <v>#VALUE!</v>
      </c>
      <c r="BU120" s="232" t="e">
        <f t="shared" ca="1" si="116"/>
        <v>#VALUE!</v>
      </c>
      <c r="BV120" s="233" t="e">
        <f t="shared" ca="1" si="116"/>
        <v>#VALUE!</v>
      </c>
      <c r="BX120" s="121" t="s">
        <v>17</v>
      </c>
      <c r="BY120" s="281" cm="1">
        <f t="array" aca="1" ref="BY120" ca="1">_xlfn.SINGLE(IFERROR((SUMIFS(rng_out_rx_post_yr1,rng_out_sel_excl_yr_ind, "",rng_out_sel_G_ind,N$1,rng_out_sel_sp_ind,$D120,rng_out_sel_excl_ind,$E120, rng_out_post_reb_ind_yr1, 1)+
SUMIFS(rng_out_rx_post_yr1,rng_out_sel_excl_yr_ind, [1]Tables!$HN$4,rng_out_sel_G_ind,N$1,rng_out_sel_sp_ind,$D120,rng_out_sel_excl_ind,$E120, rng_out_post_reb_ind_yr1, 1)* _xlfn.XLOOKUP([1]Tables!$HN$4,'[1]RA Output'!$AY$4:$AY$5,'[1]RA Output'!AZ$4:AZ$5,0)  +
SUMIFS(rng_out_rx_post_yr1,rng_out_sel_excl_yr_ind, [1]Tables!$HN$5,rng_out_sel_G_ind,N$1,rng_out_sel_sp_ind,$D120,rng_out_sel_excl_ind,$E120, rng_out_post_reb_ind_yr1, 1)* _xlfn.XLOOKUP([1]Tables!$HN$4,'[1]RA Output'!$AY$4:$AY$5,'[1]RA Output'!AZ$4:AZ$5,0))/[1]Tables!$AT$4, 0))</f>
        <v>0</v>
      </c>
      <c r="BZ120" s="282" cm="1">
        <f t="array" aca="1" ref="BZ120" ca="1">_xlfn.SINGLE(IFERROR((SUMIFS(rng_out_rx_post_yr2,rng_out_sel_excl_yr_ind, "",rng_out_sel_G_ind,O$1,rng_out_sel_sp_ind,$D120,rng_out_sel_excl_ind,$E120, rng_out_post_reb_ind_yr2, 1)+
SUMIFS(rng_out_rx_post_yr2,rng_out_sel_excl_yr_ind, [1]Tables!$HN$4,rng_out_sel_G_ind,O$1,rng_out_sel_sp_ind,$D120,rng_out_sel_excl_ind,$E120, rng_out_post_reb_ind_yr2, 1)* _xlfn.XLOOKUP([1]Tables!$HN$4,'[1]RA Output'!$AY$4:$AY$5,'[1]RA Output'!BA$4:BA$5,0)  +
SUMIFS(rng_out_rx_post_yr2,rng_out_sel_excl_yr_ind, [1]Tables!$HN$5,rng_out_sel_G_ind,O$1,rng_out_sel_sp_ind,$D120,rng_out_sel_excl_ind,$E120, rng_out_post_reb_ind_yr2, 1)* _xlfn.XLOOKUP([1]Tables!$HN$4,'[1]RA Output'!$AY$4:$AY$5,'[1]RA Output'!BA$4:BA$5,0))/[1]Tables!$AT$4, 0))</f>
        <v>0</v>
      </c>
      <c r="CA120" s="282" cm="1">
        <f t="array" aca="1" ref="CA120" ca="1">_xlfn.SINGLE(IFERROR((SUMIFS(rng_out_rx_post_yr3,rng_out_sel_excl_yr_ind, "",rng_out_sel_G_ind,P$1,rng_out_sel_sp_ind,$D120,rng_out_sel_excl_ind,$E120, rng_out_post_reb_ind_yr3, 1)+
SUMIFS(rng_out_rx_post_yr3,rng_out_sel_excl_yr_ind, [1]Tables!$HN$4,rng_out_sel_G_ind,P$1,rng_out_sel_sp_ind,$D120,rng_out_sel_excl_ind,$E120, rng_out_post_reb_ind_yr3, 1)* _xlfn.XLOOKUP([1]Tables!$HN$4,'[1]RA Output'!$AY$4:$AY$5,'[1]RA Output'!BB$4:BB$5,0)  +
SUMIFS(rng_out_rx_post_yr3,rng_out_sel_excl_yr_ind, [1]Tables!$HN$5,rng_out_sel_G_ind,P$1,rng_out_sel_sp_ind,$D120,rng_out_sel_excl_ind,$E120, rng_out_post_reb_ind_yr3, 1)* _xlfn.XLOOKUP([1]Tables!$HN$4,'[1]RA Output'!$AY$4:$AY$5,'[1]RA Output'!BB$4:BB$5,0))/[1]Tables!$AT$4, 0))</f>
        <v>0</v>
      </c>
      <c r="CB120" s="282" cm="1">
        <f t="array" aca="1" ref="CB120" ca="1">_xlfn.SINGLE(IFERROR((SUMIFS(rng_out_rx_post_yr4,rng_out_sel_excl_yr_ind, "",rng_out_sel_G_ind,Q$1,rng_out_sel_sp_ind,$D120,rng_out_sel_excl_ind,$E120, rng_out_post_reb_ind_yr4, 1)+
SUMIFS(rng_out_rx_post_yr4,rng_out_sel_excl_yr_ind, [1]Tables!$HN$4,rng_out_sel_G_ind,Q$1,rng_out_sel_sp_ind,$D120,rng_out_sel_excl_ind,$E120, rng_out_post_reb_ind_yr4, 1)* _xlfn.XLOOKUP([1]Tables!$HN$4,'[1]RA Output'!$AY$4:$AY$5,'[1]RA Output'!BC$4:BC$5,0)  +
SUMIFS(rng_out_rx_post_yr4,rng_out_sel_excl_yr_ind, [1]Tables!$HN$5,rng_out_sel_G_ind,Q$1,rng_out_sel_sp_ind,$D120,rng_out_sel_excl_ind,$E120, rng_out_post_reb_ind_yr4, 1)* _xlfn.XLOOKUP([1]Tables!$HN$4,'[1]RA Output'!$AY$4:$AY$5,'[1]RA Output'!BC$4:BC$5,0))/[1]Tables!$AT$4, 0))</f>
        <v>0</v>
      </c>
      <c r="CC120" s="283" cm="1">
        <f t="array" aca="1" ref="CC120" ca="1">_xlfn.SINGLE(IFERROR((SUMIFS(rng_out_rx_post_yr5,rng_out_sel_excl_yr_ind, "",rng_out_sel_G_ind,R$1,rng_out_sel_sp_ind,$D120,rng_out_sel_excl_ind,$E120, rng_out_post_reb_ind_yr5, 1)+
SUMIFS(rng_out_rx_post_yr5,rng_out_sel_excl_yr_ind, [1]Tables!$HN$4,rng_out_sel_G_ind,R$1,rng_out_sel_sp_ind,$D120,rng_out_sel_excl_ind,$E120, rng_out_post_reb_ind_yr5, 1)* _xlfn.XLOOKUP([1]Tables!$HN$4,'[1]RA Output'!$AY$4:$AY$5,'[1]RA Output'!BD$4:BD$5,0)  +
SUMIFS(rng_out_rx_post_yr5,rng_out_sel_excl_yr_ind, [1]Tables!$HN$5,rng_out_sel_G_ind,R$1,rng_out_sel_sp_ind,$D120,rng_out_sel_excl_ind,$E120, rng_out_post_reb_ind_yr5, 1)* _xlfn.XLOOKUP([1]Tables!$HN$4,'[1]RA Output'!$AY$4:$AY$5,'[1]RA Output'!BD$4:BD$5,0))/[1]Tables!$AT$4, 0))</f>
        <v>0</v>
      </c>
      <c r="CD120" s="351">
        <f t="shared" ca="1" si="117"/>
        <v>0</v>
      </c>
      <c r="CE120" s="352">
        <f t="shared" ca="1" si="117"/>
        <v>0</v>
      </c>
      <c r="CF120" s="352">
        <f t="shared" ca="1" si="117"/>
        <v>0</v>
      </c>
      <c r="CG120" s="352">
        <f t="shared" ca="1" si="117"/>
        <v>0</v>
      </c>
      <c r="CH120" s="353">
        <f t="shared" ca="1" si="117"/>
        <v>0</v>
      </c>
      <c r="CI120" s="232" t="e">
        <f t="shared" ca="1" si="118"/>
        <v>#VALUE!</v>
      </c>
      <c r="CJ120" s="232" t="e">
        <f t="shared" ca="1" si="118"/>
        <v>#VALUE!</v>
      </c>
      <c r="CK120" s="232" t="e">
        <f t="shared" ca="1" si="118"/>
        <v>#VALUE!</v>
      </c>
      <c r="CL120" s="232" t="e">
        <f t="shared" ca="1" si="118"/>
        <v>#VALUE!</v>
      </c>
      <c r="CM120" s="233" t="e">
        <f t="shared" ca="1" si="118"/>
        <v>#VALUE!</v>
      </c>
    </row>
    <row r="121" spans="2:101" ht="15" thickBot="1" x14ac:dyDescent="0.4">
      <c r="H121" s="154" t="s">
        <v>18</v>
      </c>
      <c r="I121" s="287"/>
      <c r="J121" s="287"/>
      <c r="K121" s="287"/>
      <c r="L121" s="287"/>
      <c r="M121" s="288"/>
      <c r="N121" s="238" t="e">
        <f t="shared" ref="N121:W121" ca="1" si="119">SUM(N117:N120)</f>
        <v>#VALUE!</v>
      </c>
      <c r="O121" s="238" t="e">
        <f t="shared" ca="1" si="119"/>
        <v>#VALUE!</v>
      </c>
      <c r="P121" s="238" t="e">
        <f t="shared" ca="1" si="119"/>
        <v>#VALUE!</v>
      </c>
      <c r="Q121" s="238" t="e">
        <f t="shared" ca="1" si="119"/>
        <v>#VALUE!</v>
      </c>
      <c r="R121" s="239" t="e">
        <f t="shared" ca="1" si="119"/>
        <v>#VALUE!</v>
      </c>
      <c r="S121" s="238" t="e">
        <f t="shared" ca="1" si="119"/>
        <v>#VALUE!</v>
      </c>
      <c r="T121" s="238" t="e">
        <f t="shared" ca="1" si="119"/>
        <v>#VALUE!</v>
      </c>
      <c r="U121" s="238" t="e">
        <f t="shared" ca="1" si="119"/>
        <v>#VALUE!</v>
      </c>
      <c r="V121" s="238" t="e">
        <f t="shared" ca="1" si="119"/>
        <v>#VALUE!</v>
      </c>
      <c r="W121" s="239" t="e">
        <f t="shared" ca="1" si="119"/>
        <v>#VALUE!</v>
      </c>
      <c r="Y121" s="159" t="s">
        <v>18</v>
      </c>
      <c r="Z121" s="289"/>
      <c r="AA121" s="290"/>
      <c r="AB121" s="290"/>
      <c r="AC121" s="290"/>
      <c r="AD121" s="291"/>
      <c r="AE121" s="240">
        <f t="shared" ref="AE121:AN121" ca="1" si="120">SUM(AE117:AE120)</f>
        <v>0</v>
      </c>
      <c r="AF121" s="241">
        <f t="shared" ca="1" si="120"/>
        <v>0</v>
      </c>
      <c r="AG121" s="241">
        <f t="shared" ca="1" si="120"/>
        <v>0</v>
      </c>
      <c r="AH121" s="241">
        <f t="shared" ca="1" si="120"/>
        <v>0</v>
      </c>
      <c r="AI121" s="242">
        <f t="shared" ca="1" si="120"/>
        <v>0</v>
      </c>
      <c r="AJ121" s="241">
        <f t="shared" ca="1" si="120"/>
        <v>0</v>
      </c>
      <c r="AK121" s="241">
        <f t="shared" ca="1" si="120"/>
        <v>0</v>
      </c>
      <c r="AL121" s="241">
        <f t="shared" ca="1" si="120"/>
        <v>0</v>
      </c>
      <c r="AM121" s="241">
        <f t="shared" ca="1" si="120"/>
        <v>0</v>
      </c>
      <c r="AN121" s="242">
        <f t="shared" ca="1" si="120"/>
        <v>0</v>
      </c>
      <c r="AP121" s="166" t="s">
        <v>18</v>
      </c>
      <c r="AQ121" s="292"/>
      <c r="AR121" s="293"/>
      <c r="AS121" s="293"/>
      <c r="AT121" s="293"/>
      <c r="AU121" s="294"/>
      <c r="AV121" s="226" t="e">
        <f t="shared" ref="AV121:BE121" ca="1" si="121">SUM(AV117:AV120)</f>
        <v>#VALUE!</v>
      </c>
      <c r="AW121" s="227" t="e">
        <f t="shared" ca="1" si="121"/>
        <v>#VALUE!</v>
      </c>
      <c r="AX121" s="227" t="e">
        <f t="shared" ca="1" si="121"/>
        <v>#VALUE!</v>
      </c>
      <c r="AY121" s="227" t="e">
        <f t="shared" ca="1" si="121"/>
        <v>#VALUE!</v>
      </c>
      <c r="AZ121" s="228" t="e">
        <f t="shared" ca="1" si="121"/>
        <v>#VALUE!</v>
      </c>
      <c r="BA121" s="227" t="e">
        <f t="shared" ca="1" si="121"/>
        <v>#VALUE!</v>
      </c>
      <c r="BB121" s="227" t="e">
        <f t="shared" ca="1" si="121"/>
        <v>#VALUE!</v>
      </c>
      <c r="BC121" s="227" t="e">
        <f t="shared" ca="1" si="121"/>
        <v>#VALUE!</v>
      </c>
      <c r="BD121" s="227" t="e">
        <f t="shared" ca="1" si="121"/>
        <v>#VALUE!</v>
      </c>
      <c r="BE121" s="228" t="e">
        <f t="shared" ca="1" si="121"/>
        <v>#VALUE!</v>
      </c>
      <c r="BG121" s="171" t="s">
        <v>18</v>
      </c>
      <c r="BH121" s="295"/>
      <c r="BI121" s="296"/>
      <c r="BJ121" s="296"/>
      <c r="BK121" s="296"/>
      <c r="BL121" s="297"/>
      <c r="BM121" s="244" t="e">
        <f ca="1">SUM(BM117:BM120)</f>
        <v>#VALUE!</v>
      </c>
      <c r="BN121" s="245" t="e">
        <f t="shared" ref="BN121:BV121" ca="1" si="122">SUM(BN117:BN120)</f>
        <v>#VALUE!</v>
      </c>
      <c r="BO121" s="245" t="e">
        <f t="shared" ca="1" si="122"/>
        <v>#VALUE!</v>
      </c>
      <c r="BP121" s="245" t="e">
        <f t="shared" ca="1" si="122"/>
        <v>#VALUE!</v>
      </c>
      <c r="BQ121" s="234" t="e">
        <f t="shared" ca="1" si="122"/>
        <v>#VALUE!</v>
      </c>
      <c r="BR121" s="245" t="e">
        <f t="shared" ca="1" si="122"/>
        <v>#VALUE!</v>
      </c>
      <c r="BS121" s="245" t="e">
        <f t="shared" ca="1" si="122"/>
        <v>#VALUE!</v>
      </c>
      <c r="BT121" s="245" t="e">
        <f t="shared" ca="1" si="122"/>
        <v>#VALUE!</v>
      </c>
      <c r="BU121" s="245" t="e">
        <f t="shared" ca="1" si="122"/>
        <v>#VALUE!</v>
      </c>
      <c r="BV121" s="234" t="e">
        <f t="shared" ca="1" si="122"/>
        <v>#VALUE!</v>
      </c>
      <c r="BX121" s="171" t="s">
        <v>18</v>
      </c>
      <c r="BY121" s="298">
        <f ca="1">SUM(BY117:BY120)</f>
        <v>0</v>
      </c>
      <c r="BZ121" s="299">
        <f ca="1">SUM(BZ117:BZ120)</f>
        <v>0</v>
      </c>
      <c r="CA121" s="299">
        <f ca="1">SUM(CA117:CA120)</f>
        <v>0</v>
      </c>
      <c r="CB121" s="299">
        <f ca="1">SUM(CB117:CB120)</f>
        <v>0</v>
      </c>
      <c r="CC121" s="300">
        <f ca="1">SUM(CC117:CC120)</f>
        <v>0</v>
      </c>
      <c r="CD121" s="284">
        <f ca="1">IFERROR(SUMPRODUCT(CD117:CD120, CD108:CD111)/CD112, 0)</f>
        <v>0</v>
      </c>
      <c r="CE121" s="285">
        <f ca="1">IFERROR(SUMPRODUCT(CE117:CE120, CE108:CE111)/CE112, 0)</f>
        <v>0</v>
      </c>
      <c r="CF121" s="285">
        <f ca="1">IFERROR(SUMPRODUCT(CF117:CF120, CF108:CF111)/CF112, 0)</f>
        <v>0</v>
      </c>
      <c r="CG121" s="285">
        <f ca="1">IFERROR(SUMPRODUCT(CG117:CG120, CG108:CG111)/CG112, 0)</f>
        <v>0</v>
      </c>
      <c r="CH121" s="286">
        <f ca="1">IFERROR(SUMPRODUCT(CH117:CH120, CH108:CH111)/CH112, 0)</f>
        <v>0</v>
      </c>
      <c r="CI121" s="232" t="e">
        <f ca="1">SUM(CI117:CI120)</f>
        <v>#VALUE!</v>
      </c>
      <c r="CJ121" s="232" t="e">
        <f ca="1">SUM(CJ117:CJ120)</f>
        <v>#VALUE!</v>
      </c>
      <c r="CK121" s="232" t="e">
        <f ca="1">SUM(CK117:CK120)</f>
        <v>#VALUE!</v>
      </c>
      <c r="CL121" s="232" t="e">
        <f ca="1">SUM(CL117:CL120)</f>
        <v>#VALUE!</v>
      </c>
      <c r="CM121" s="233" t="e">
        <f ca="1">SUM(CM117:CM120)</f>
        <v>#VALUE!</v>
      </c>
    </row>
    <row r="122" spans="2:101" ht="15" thickBot="1" x14ac:dyDescent="0.4">
      <c r="O122" s="301"/>
      <c r="P122" s="301"/>
    </row>
    <row r="123" spans="2:101" ht="15" thickBot="1" x14ac:dyDescent="0.4">
      <c r="I123" s="21" t="s">
        <v>49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3"/>
      <c r="Z123" s="24" t="s">
        <v>49</v>
      </c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6"/>
      <c r="AQ123" s="27" t="s">
        <v>49</v>
      </c>
      <c r="AR123" s="28"/>
      <c r="AS123" s="28"/>
      <c r="AT123" s="28"/>
      <c r="AU123" s="29"/>
      <c r="AV123" s="28"/>
      <c r="AW123" s="28"/>
      <c r="AX123" s="28"/>
      <c r="AY123" s="28"/>
      <c r="AZ123" s="28"/>
      <c r="BA123" s="28"/>
      <c r="BB123" s="28"/>
      <c r="BC123" s="28"/>
      <c r="BD123" s="28"/>
      <c r="BE123" s="30"/>
      <c r="BH123" s="31" t="s">
        <v>49</v>
      </c>
      <c r="BI123" s="32"/>
      <c r="BJ123" s="32"/>
      <c r="BK123" s="32"/>
      <c r="BL123" s="32"/>
      <c r="BM123" s="32"/>
      <c r="BN123" s="32"/>
      <c r="BO123" s="32"/>
      <c r="BP123" s="32"/>
      <c r="BQ123" s="32"/>
      <c r="BR123" s="32"/>
      <c r="BS123" s="32"/>
      <c r="BT123" s="32"/>
      <c r="BU123" s="32"/>
      <c r="BV123" s="33"/>
      <c r="BY123" s="34" t="s">
        <v>49</v>
      </c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6"/>
    </row>
    <row r="124" spans="2:101" ht="15" thickBot="1" x14ac:dyDescent="0.4">
      <c r="H124" s="37"/>
      <c r="I124" s="302" t="s">
        <v>35</v>
      </c>
      <c r="J124" s="303"/>
      <c r="K124" s="303"/>
      <c r="L124" s="303"/>
      <c r="M124" s="304"/>
      <c r="N124" s="302" t="s">
        <v>36</v>
      </c>
      <c r="O124" s="303"/>
      <c r="P124" s="303"/>
      <c r="Q124" s="303"/>
      <c r="R124" s="304"/>
      <c r="S124" s="302" t="s">
        <v>37</v>
      </c>
      <c r="T124" s="303"/>
      <c r="U124" s="303"/>
      <c r="V124" s="303"/>
      <c r="W124" s="304"/>
      <c r="Z124" s="41" t="s">
        <v>35</v>
      </c>
      <c r="AA124" s="42"/>
      <c r="AB124" s="42"/>
      <c r="AC124" s="42"/>
      <c r="AD124" s="43"/>
      <c r="AE124" s="41" t="s">
        <v>36</v>
      </c>
      <c r="AF124" s="42"/>
      <c r="AG124" s="42"/>
      <c r="AH124" s="42"/>
      <c r="AI124" s="43"/>
      <c r="AJ124" s="41" t="s">
        <v>37</v>
      </c>
      <c r="AK124" s="42"/>
      <c r="AL124" s="42"/>
      <c r="AM124" s="42"/>
      <c r="AN124" s="43"/>
      <c r="AQ124" s="44" t="s">
        <v>35</v>
      </c>
      <c r="AR124" s="45"/>
      <c r="AS124" s="45"/>
      <c r="AT124" s="45"/>
      <c r="AU124" s="46"/>
      <c r="AV124" s="44" t="s">
        <v>36</v>
      </c>
      <c r="AW124" s="45"/>
      <c r="AX124" s="45"/>
      <c r="AY124" s="45"/>
      <c r="AZ124" s="46"/>
      <c r="BA124" s="45" t="s">
        <v>37</v>
      </c>
      <c r="BB124" s="45"/>
      <c r="BC124" s="45"/>
      <c r="BD124" s="45"/>
      <c r="BE124" s="46"/>
      <c r="BH124" s="305" t="s">
        <v>35</v>
      </c>
      <c r="BI124" s="306"/>
      <c r="BJ124" s="306"/>
      <c r="BK124" s="306"/>
      <c r="BL124" s="307"/>
      <c r="BM124" s="305" t="s">
        <v>36</v>
      </c>
      <c r="BN124" s="306"/>
      <c r="BO124" s="306"/>
      <c r="BP124" s="306"/>
      <c r="BQ124" s="307"/>
      <c r="BR124" s="308" t="s">
        <v>37</v>
      </c>
      <c r="BS124" s="308"/>
      <c r="BT124" s="308"/>
      <c r="BU124" s="308"/>
      <c r="BV124" s="309"/>
      <c r="BY124" s="305" t="s">
        <v>35</v>
      </c>
      <c r="BZ124" s="306"/>
      <c r="CA124" s="306"/>
      <c r="CB124" s="306"/>
      <c r="CC124" s="307"/>
      <c r="CD124" s="305" t="s">
        <v>36</v>
      </c>
      <c r="CE124" s="306"/>
      <c r="CF124" s="306"/>
      <c r="CG124" s="306"/>
      <c r="CH124" s="307"/>
      <c r="CI124" s="308" t="s">
        <v>37</v>
      </c>
      <c r="CJ124" s="308"/>
      <c r="CK124" s="308"/>
      <c r="CL124" s="308"/>
      <c r="CM124" s="309"/>
      <c r="CO124" s="310" t="s">
        <v>38</v>
      </c>
    </row>
    <row r="125" spans="2:101" ht="15" thickBot="1" x14ac:dyDescent="0.4">
      <c r="H125" s="55"/>
      <c r="I125" s="56" t="str">
        <f>[1]Tables!$AA$4</f>
        <v>07/27 - 06/28</v>
      </c>
      <c r="J125" s="55" t="str">
        <f>[1]Tables!$AA$5</f>
        <v>07/28 - 06/29</v>
      </c>
      <c r="K125" s="55" t="str">
        <f>[1]Tables!$AA$6</f>
        <v>07/29 - 06/30</v>
      </c>
      <c r="L125" s="55" t="str">
        <f>[1]Tables!$AA$7</f>
        <v>07/30 - 06/31</v>
      </c>
      <c r="M125" s="57" t="str">
        <f>[1]Tables!$AA$8</f>
        <v>07/31 - 06/32</v>
      </c>
      <c r="N125" s="56" t="str">
        <f>[1]Tables!$AA$4</f>
        <v>07/27 - 06/28</v>
      </c>
      <c r="O125" s="55" t="str">
        <f>[1]Tables!$AA$5</f>
        <v>07/28 - 06/29</v>
      </c>
      <c r="P125" s="55" t="str">
        <f>[1]Tables!$AA$6</f>
        <v>07/29 - 06/30</v>
      </c>
      <c r="Q125" s="55" t="str">
        <f>[1]Tables!$AA$7</f>
        <v>07/30 - 06/31</v>
      </c>
      <c r="R125" s="57" t="str">
        <f>[1]Tables!$AA$8</f>
        <v>07/31 - 06/32</v>
      </c>
      <c r="S125" s="56" t="str">
        <f>[1]Tables!$AA$4</f>
        <v>07/27 - 06/28</v>
      </c>
      <c r="T125" s="55" t="str">
        <f>[1]Tables!$AA$5</f>
        <v>07/28 - 06/29</v>
      </c>
      <c r="U125" s="55" t="str">
        <f>[1]Tables!$AA$6</f>
        <v>07/29 - 06/30</v>
      </c>
      <c r="V125" s="55" t="str">
        <f>[1]Tables!$AA$7</f>
        <v>07/30 - 06/31</v>
      </c>
      <c r="W125" s="57" t="str">
        <f>[1]Tables!$AA$8</f>
        <v>07/31 - 06/32</v>
      </c>
      <c r="Y125" s="58"/>
      <c r="Z125" s="59" t="str">
        <f>[1]Tables!$AA$4</f>
        <v>07/27 - 06/28</v>
      </c>
      <c r="AA125" s="60" t="str">
        <f>[1]Tables!$AA$5</f>
        <v>07/28 - 06/29</v>
      </c>
      <c r="AB125" s="60" t="str">
        <f>[1]Tables!$AA$6</f>
        <v>07/29 - 06/30</v>
      </c>
      <c r="AC125" s="60" t="str">
        <f>[1]Tables!$AA$7</f>
        <v>07/30 - 06/31</v>
      </c>
      <c r="AD125" s="61" t="str">
        <f>[1]Tables!$AA$8</f>
        <v>07/31 - 06/32</v>
      </c>
      <c r="AE125" s="59" t="str">
        <f>[1]Tables!$AA$4</f>
        <v>07/27 - 06/28</v>
      </c>
      <c r="AF125" s="60" t="str">
        <f>[1]Tables!$AA$5</f>
        <v>07/28 - 06/29</v>
      </c>
      <c r="AG125" s="60" t="str">
        <f>[1]Tables!$AA$6</f>
        <v>07/29 - 06/30</v>
      </c>
      <c r="AH125" s="60" t="str">
        <f>[1]Tables!$AA$7</f>
        <v>07/30 - 06/31</v>
      </c>
      <c r="AI125" s="61" t="str">
        <f>[1]Tables!$AA$8</f>
        <v>07/31 - 06/32</v>
      </c>
      <c r="AJ125" s="59" t="str">
        <f>[1]Tables!$AA$4</f>
        <v>07/27 - 06/28</v>
      </c>
      <c r="AK125" s="60" t="str">
        <f>[1]Tables!$AA$5</f>
        <v>07/28 - 06/29</v>
      </c>
      <c r="AL125" s="60" t="str">
        <f>[1]Tables!$AA$6</f>
        <v>07/29 - 06/30</v>
      </c>
      <c r="AM125" s="60" t="str">
        <f>[1]Tables!$AA$7</f>
        <v>07/30 - 06/31</v>
      </c>
      <c r="AN125" s="61" t="str">
        <f>[1]Tables!$AA$8</f>
        <v>07/31 - 06/32</v>
      </c>
      <c r="AP125" s="58"/>
      <c r="AQ125" s="62" t="str">
        <f>[1]Tables!$AA$4</f>
        <v>07/27 - 06/28</v>
      </c>
      <c r="AR125" s="63" t="str">
        <f>[1]Tables!$AA$5</f>
        <v>07/28 - 06/29</v>
      </c>
      <c r="AS125" s="63" t="str">
        <f>[1]Tables!$AA$6</f>
        <v>07/29 - 06/30</v>
      </c>
      <c r="AT125" s="63" t="str">
        <f>[1]Tables!$AA$7</f>
        <v>07/30 - 06/31</v>
      </c>
      <c r="AU125" s="64" t="str">
        <f>[1]Tables!$AA$8</f>
        <v>07/31 - 06/32</v>
      </c>
      <c r="AV125" s="62" t="str">
        <f>[1]Tables!$AA$4</f>
        <v>07/27 - 06/28</v>
      </c>
      <c r="AW125" s="63" t="str">
        <f>[1]Tables!$AA$5</f>
        <v>07/28 - 06/29</v>
      </c>
      <c r="AX125" s="63" t="str">
        <f>[1]Tables!$AA$6</f>
        <v>07/29 - 06/30</v>
      </c>
      <c r="AY125" s="63" t="str">
        <f>[1]Tables!$AA$7</f>
        <v>07/30 - 06/31</v>
      </c>
      <c r="AZ125" s="64" t="str">
        <f>[1]Tables!$AA$8</f>
        <v>07/31 - 06/32</v>
      </c>
      <c r="BA125" s="63" t="str">
        <f>[1]Tables!$AA$4</f>
        <v>07/27 - 06/28</v>
      </c>
      <c r="BB125" s="63" t="str">
        <f>[1]Tables!$AA$5</f>
        <v>07/28 - 06/29</v>
      </c>
      <c r="BC125" s="63" t="str">
        <f>[1]Tables!$AA$6</f>
        <v>07/29 - 06/30</v>
      </c>
      <c r="BD125" s="63" t="str">
        <f>[1]Tables!$AA$7</f>
        <v>07/30 - 06/31</v>
      </c>
      <c r="BE125" s="64" t="str">
        <f>[1]Tables!$AA$8</f>
        <v>07/31 - 06/32</v>
      </c>
      <c r="BG125" s="58"/>
      <c r="BH125" s="65" t="str">
        <f>[1]Tables!$AA$4</f>
        <v>07/27 - 06/28</v>
      </c>
      <c r="BI125" s="66" t="str">
        <f>[1]Tables!$AA$5</f>
        <v>07/28 - 06/29</v>
      </c>
      <c r="BJ125" s="66" t="str">
        <f>[1]Tables!$AA$6</f>
        <v>07/29 - 06/30</v>
      </c>
      <c r="BK125" s="66" t="str">
        <f>[1]Tables!$AA$7</f>
        <v>07/30 - 06/31</v>
      </c>
      <c r="BL125" s="67" t="str">
        <f>[1]Tables!$AA$8</f>
        <v>07/31 - 06/32</v>
      </c>
      <c r="BM125" s="65" t="str">
        <f>[1]Tables!$AA$4</f>
        <v>07/27 - 06/28</v>
      </c>
      <c r="BN125" s="66" t="str">
        <f>[1]Tables!$AA$5</f>
        <v>07/28 - 06/29</v>
      </c>
      <c r="BO125" s="66" t="str">
        <f>[1]Tables!$AA$6</f>
        <v>07/29 - 06/30</v>
      </c>
      <c r="BP125" s="66" t="str">
        <f>[1]Tables!$AA$7</f>
        <v>07/30 - 06/31</v>
      </c>
      <c r="BQ125" s="67" t="str">
        <f>[1]Tables!$AA$8</f>
        <v>07/31 - 06/32</v>
      </c>
      <c r="BR125" s="66" t="str">
        <f>[1]Tables!$AA$4</f>
        <v>07/27 - 06/28</v>
      </c>
      <c r="BS125" s="66" t="str">
        <f>[1]Tables!$AA$5</f>
        <v>07/28 - 06/29</v>
      </c>
      <c r="BT125" s="66" t="str">
        <f>[1]Tables!$AA$6</f>
        <v>07/29 - 06/30</v>
      </c>
      <c r="BU125" s="66" t="str">
        <f>[1]Tables!$AA$7</f>
        <v>07/30 - 06/31</v>
      </c>
      <c r="BV125" s="67" t="str">
        <f>[1]Tables!$AA$8</f>
        <v>07/31 - 06/32</v>
      </c>
      <c r="BX125" s="58"/>
      <c r="BY125" s="65" t="str">
        <f>[1]Tables!$AA$4</f>
        <v>07/27 - 06/28</v>
      </c>
      <c r="BZ125" s="66" t="str">
        <f>[1]Tables!$AA$5</f>
        <v>07/28 - 06/29</v>
      </c>
      <c r="CA125" s="66" t="str">
        <f>[1]Tables!$AA$6</f>
        <v>07/29 - 06/30</v>
      </c>
      <c r="CB125" s="66" t="str">
        <f>[1]Tables!$AA$7</f>
        <v>07/30 - 06/31</v>
      </c>
      <c r="CC125" s="67" t="str">
        <f>[1]Tables!$AA$8</f>
        <v>07/31 - 06/32</v>
      </c>
      <c r="CD125" s="65" t="str">
        <f>[1]Tables!$AA$4</f>
        <v>07/27 - 06/28</v>
      </c>
      <c r="CE125" s="66" t="str">
        <f>[1]Tables!$AA$5</f>
        <v>07/28 - 06/29</v>
      </c>
      <c r="CF125" s="66" t="str">
        <f>[1]Tables!$AA$6</f>
        <v>07/29 - 06/30</v>
      </c>
      <c r="CG125" s="66" t="str">
        <f>[1]Tables!$AA$7</f>
        <v>07/30 - 06/31</v>
      </c>
      <c r="CH125" s="67" t="str">
        <f>[1]Tables!$AA$8</f>
        <v>07/31 - 06/32</v>
      </c>
      <c r="CI125" s="66" t="str">
        <f>[1]Tables!$AA$4</f>
        <v>07/27 - 06/28</v>
      </c>
      <c r="CJ125" s="66" t="str">
        <f>[1]Tables!$AA$5</f>
        <v>07/28 - 06/29</v>
      </c>
      <c r="CK125" s="66" t="str">
        <f>[1]Tables!$AA$6</f>
        <v>07/29 - 06/30</v>
      </c>
      <c r="CL125" s="66" t="str">
        <f>[1]Tables!$AA$7</f>
        <v>07/30 - 06/31</v>
      </c>
      <c r="CM125" s="67" t="str">
        <f>[1]Tables!$AA$8</f>
        <v>07/31 - 06/32</v>
      </c>
      <c r="CO125" s="202" t="s">
        <v>36</v>
      </c>
    </row>
    <row r="126" spans="2:101" x14ac:dyDescent="0.35">
      <c r="B126" s="68" t="s">
        <v>11</v>
      </c>
      <c r="C126" s="69">
        <v>30</v>
      </c>
      <c r="D126" s="69" t="s">
        <v>12</v>
      </c>
      <c r="E126" s="70" t="s">
        <v>13</v>
      </c>
      <c r="F126" s="106"/>
      <c r="H126" s="71" t="s">
        <v>14</v>
      </c>
      <c r="I126" s="205" t="e">
        <f ca="1">I108-N117</f>
        <v>#VALUE!</v>
      </c>
      <c r="J126" s="206" t="e">
        <f t="shared" ref="I126:M129" ca="1" si="123">J108-O117</f>
        <v>#VALUE!</v>
      </c>
      <c r="K126" s="206" t="e">
        <f t="shared" ca="1" si="123"/>
        <v>#VALUE!</v>
      </c>
      <c r="L126" s="206" t="e">
        <f t="shared" ca="1" si="123"/>
        <v>#VALUE!</v>
      </c>
      <c r="M126" s="207" t="e">
        <f t="shared" ca="1" si="123"/>
        <v>#VALUE!</v>
      </c>
      <c r="N126" s="311">
        <f t="shared" ref="N126:R130" ca="1" si="124">IFERROR(I108/S108, 0)</f>
        <v>0</v>
      </c>
      <c r="O126" s="267">
        <f t="shared" ca="1" si="124"/>
        <v>0</v>
      </c>
      <c r="P126" s="267">
        <f t="shared" ca="1" si="124"/>
        <v>0</v>
      </c>
      <c r="Q126" s="267">
        <f t="shared" ca="1" si="124"/>
        <v>0</v>
      </c>
      <c r="R126" s="312">
        <f t="shared" ca="1" si="124"/>
        <v>0</v>
      </c>
      <c r="S126" s="311">
        <f t="shared" ref="S126:W130" ca="1" si="125">IFERROR(I126/S108, 0)</f>
        <v>0</v>
      </c>
      <c r="T126" s="267">
        <f t="shared" ca="1" si="125"/>
        <v>0</v>
      </c>
      <c r="U126" s="267">
        <f t="shared" ca="1" si="125"/>
        <v>0</v>
      </c>
      <c r="V126" s="267">
        <f t="shared" ca="1" si="125"/>
        <v>0</v>
      </c>
      <c r="W126" s="312">
        <f t="shared" ca="1" si="125"/>
        <v>0</v>
      </c>
      <c r="Y126" s="77" t="s">
        <v>14</v>
      </c>
      <c r="Z126" s="208">
        <f t="shared" ref="Z126:AD129" ca="1" si="126">Z108-AE117</f>
        <v>0</v>
      </c>
      <c r="AA126" s="206">
        <f t="shared" ca="1" si="126"/>
        <v>0</v>
      </c>
      <c r="AB126" s="206">
        <f t="shared" ca="1" si="126"/>
        <v>0</v>
      </c>
      <c r="AC126" s="206">
        <f t="shared" ca="1" si="126"/>
        <v>0</v>
      </c>
      <c r="AD126" s="209">
        <f t="shared" ca="1" si="126"/>
        <v>0</v>
      </c>
      <c r="AE126" s="313">
        <f t="shared" ref="AE126:AI130" ca="1" si="127">IFERROR(Z108/AJ108, 0)</f>
        <v>0</v>
      </c>
      <c r="AF126" s="267">
        <f t="shared" ca="1" si="127"/>
        <v>0</v>
      </c>
      <c r="AG126" s="267">
        <f t="shared" ca="1" si="127"/>
        <v>0</v>
      </c>
      <c r="AH126" s="267">
        <f t="shared" ca="1" si="127"/>
        <v>0</v>
      </c>
      <c r="AI126" s="314">
        <f t="shared" ca="1" si="127"/>
        <v>0</v>
      </c>
      <c r="AJ126" s="313">
        <f t="shared" ref="AJ126:AN130" ca="1" si="128">IFERROR(Z126/AJ108, 0)</f>
        <v>0</v>
      </c>
      <c r="AK126" s="267">
        <f t="shared" ca="1" si="128"/>
        <v>0</v>
      </c>
      <c r="AL126" s="267">
        <f t="shared" ca="1" si="128"/>
        <v>0</v>
      </c>
      <c r="AM126" s="267">
        <f t="shared" ca="1" si="128"/>
        <v>0</v>
      </c>
      <c r="AN126" s="314">
        <f t="shared" ca="1" si="128"/>
        <v>0</v>
      </c>
      <c r="AP126" s="83" t="s">
        <v>14</v>
      </c>
      <c r="AQ126" s="260" t="e">
        <f t="shared" ref="AQ126:AU129" ca="1" si="129">AQ108-AV117</f>
        <v>#VALUE!</v>
      </c>
      <c r="AR126" s="206" t="e">
        <f t="shared" ca="1" si="129"/>
        <v>#VALUE!</v>
      </c>
      <c r="AS126" s="206" t="e">
        <f t="shared" ca="1" si="129"/>
        <v>#VALUE!</v>
      </c>
      <c r="AT126" s="206" t="e">
        <f t="shared" ca="1" si="129"/>
        <v>#VALUE!</v>
      </c>
      <c r="AU126" s="212" t="e">
        <f t="shared" ca="1" si="129"/>
        <v>#VALUE!</v>
      </c>
      <c r="AV126" s="315">
        <f t="shared" ref="AV126:AZ130" ca="1" si="130">IFERROR(AQ108/BA108, 0)</f>
        <v>0</v>
      </c>
      <c r="AW126" s="267">
        <f t="shared" ca="1" si="130"/>
        <v>0</v>
      </c>
      <c r="AX126" s="267">
        <f t="shared" ca="1" si="130"/>
        <v>0</v>
      </c>
      <c r="AY126" s="267">
        <f t="shared" ca="1" si="130"/>
        <v>0</v>
      </c>
      <c r="AZ126" s="316">
        <f t="shared" ca="1" si="130"/>
        <v>0</v>
      </c>
      <c r="BA126" s="267">
        <f t="shared" ref="BA126:BE130" ca="1" si="131">IFERROR(AQ126/BA108, 0)</f>
        <v>0</v>
      </c>
      <c r="BB126" s="267">
        <f t="shared" ca="1" si="131"/>
        <v>0</v>
      </c>
      <c r="BC126" s="267">
        <f t="shared" ca="1" si="131"/>
        <v>0</v>
      </c>
      <c r="BD126" s="267">
        <f t="shared" ca="1" si="131"/>
        <v>0</v>
      </c>
      <c r="BE126" s="316">
        <f t="shared" ca="1" si="131"/>
        <v>0</v>
      </c>
      <c r="BG126" s="88" t="s">
        <v>14</v>
      </c>
      <c r="BH126" s="213" t="e">
        <f t="shared" ref="BH126:BL129" ca="1" si="132">BH108-BM117</f>
        <v>#VALUE!</v>
      </c>
      <c r="BI126" s="206" t="e">
        <f t="shared" ca="1" si="132"/>
        <v>#VALUE!</v>
      </c>
      <c r="BJ126" s="206" t="e">
        <f t="shared" ca="1" si="132"/>
        <v>#VALUE!</v>
      </c>
      <c r="BK126" s="206" t="e">
        <f t="shared" ca="1" si="132"/>
        <v>#VALUE!</v>
      </c>
      <c r="BL126" s="214" t="e">
        <f t="shared" ca="1" si="132"/>
        <v>#VALUE!</v>
      </c>
      <c r="BM126" s="266">
        <f t="shared" ref="BM126:BQ130" ca="1" si="133">IFERROR(BH108/BR108, 0)</f>
        <v>0</v>
      </c>
      <c r="BN126" s="267">
        <f t="shared" ca="1" si="133"/>
        <v>0</v>
      </c>
      <c r="BO126" s="267">
        <f t="shared" ca="1" si="133"/>
        <v>0</v>
      </c>
      <c r="BP126" s="267">
        <f t="shared" ca="1" si="133"/>
        <v>0</v>
      </c>
      <c r="BQ126" s="268">
        <f t="shared" ca="1" si="133"/>
        <v>0</v>
      </c>
      <c r="BR126" s="317">
        <f t="shared" ref="BR126:BV130" ca="1" si="134">IFERROR(BH126/BR108, 0)</f>
        <v>0</v>
      </c>
      <c r="BS126" s="318">
        <f t="shared" ca="1" si="134"/>
        <v>0</v>
      </c>
      <c r="BT126" s="318">
        <f t="shared" ca="1" si="134"/>
        <v>0</v>
      </c>
      <c r="BU126" s="318">
        <f t="shared" ca="1" si="134"/>
        <v>0</v>
      </c>
      <c r="BV126" s="319">
        <f t="shared" ca="1" si="134"/>
        <v>0</v>
      </c>
      <c r="BX126" s="88" t="s">
        <v>14</v>
      </c>
      <c r="BY126" s="320"/>
      <c r="BZ126" s="321"/>
      <c r="CA126" s="321"/>
      <c r="CB126" s="321"/>
      <c r="CC126" s="322"/>
      <c r="CD126" s="266">
        <f t="shared" ref="CD126:CH130" ca="1" si="135">IFERROR(BY108/CI108, 0)</f>
        <v>0</v>
      </c>
      <c r="CE126" s="267">
        <f t="shared" ca="1" si="135"/>
        <v>0</v>
      </c>
      <c r="CF126" s="267">
        <f t="shared" ca="1" si="135"/>
        <v>0</v>
      </c>
      <c r="CG126" s="267">
        <f t="shared" ca="1" si="135"/>
        <v>0</v>
      </c>
      <c r="CH126" s="268">
        <f t="shared" ca="1" si="135"/>
        <v>0</v>
      </c>
      <c r="CI126" s="323"/>
      <c r="CJ126" s="324"/>
      <c r="CK126" s="324"/>
      <c r="CL126" s="324"/>
      <c r="CM126" s="325"/>
      <c r="CO126" s="326">
        <f ca="1">IFERROR(CO108/CQ108, 0)</f>
        <v>0</v>
      </c>
    </row>
    <row r="127" spans="2:101" x14ac:dyDescent="0.35">
      <c r="B127" s="105" t="s">
        <v>11</v>
      </c>
      <c r="C127" s="106">
        <v>90</v>
      </c>
      <c r="D127" s="106" t="s">
        <v>12</v>
      </c>
      <c r="E127" s="107" t="s">
        <v>13</v>
      </c>
      <c r="F127" s="106"/>
      <c r="H127" s="108" t="s">
        <v>15</v>
      </c>
      <c r="I127" s="205" t="e">
        <f t="shared" ca="1" si="123"/>
        <v>#VALUE!</v>
      </c>
      <c r="J127" s="206" t="e">
        <f t="shared" ca="1" si="123"/>
        <v>#VALUE!</v>
      </c>
      <c r="K127" s="206" t="e">
        <f t="shared" ca="1" si="123"/>
        <v>#VALUE!</v>
      </c>
      <c r="L127" s="206" t="e">
        <f t="shared" ca="1" si="123"/>
        <v>#VALUE!</v>
      </c>
      <c r="M127" s="207" t="e">
        <f t="shared" ca="1" si="123"/>
        <v>#VALUE!</v>
      </c>
      <c r="N127" s="311">
        <f t="shared" ca="1" si="124"/>
        <v>0</v>
      </c>
      <c r="O127" s="267">
        <f t="shared" ca="1" si="124"/>
        <v>0</v>
      </c>
      <c r="P127" s="267">
        <f t="shared" ca="1" si="124"/>
        <v>0</v>
      </c>
      <c r="Q127" s="267">
        <f t="shared" ca="1" si="124"/>
        <v>0</v>
      </c>
      <c r="R127" s="312">
        <f t="shared" ca="1" si="124"/>
        <v>0</v>
      </c>
      <c r="S127" s="311">
        <f t="shared" ca="1" si="125"/>
        <v>0</v>
      </c>
      <c r="T127" s="267">
        <f t="shared" ca="1" si="125"/>
        <v>0</v>
      </c>
      <c r="U127" s="267">
        <f t="shared" ca="1" si="125"/>
        <v>0</v>
      </c>
      <c r="V127" s="267">
        <f t="shared" ca="1" si="125"/>
        <v>0</v>
      </c>
      <c r="W127" s="312">
        <f t="shared" ca="1" si="125"/>
        <v>0</v>
      </c>
      <c r="Y127" s="109" t="s">
        <v>15</v>
      </c>
      <c r="Z127" s="208">
        <f t="shared" ca="1" si="126"/>
        <v>0</v>
      </c>
      <c r="AA127" s="206">
        <f t="shared" ca="1" si="126"/>
        <v>0</v>
      </c>
      <c r="AB127" s="206">
        <f t="shared" ca="1" si="126"/>
        <v>0</v>
      </c>
      <c r="AC127" s="206">
        <f t="shared" ca="1" si="126"/>
        <v>0</v>
      </c>
      <c r="AD127" s="209">
        <f t="shared" ca="1" si="126"/>
        <v>0</v>
      </c>
      <c r="AE127" s="313">
        <f t="shared" ca="1" si="127"/>
        <v>0</v>
      </c>
      <c r="AF127" s="267">
        <f t="shared" ca="1" si="127"/>
        <v>0</v>
      </c>
      <c r="AG127" s="267">
        <f t="shared" ca="1" si="127"/>
        <v>0</v>
      </c>
      <c r="AH127" s="267">
        <f t="shared" ca="1" si="127"/>
        <v>0</v>
      </c>
      <c r="AI127" s="314">
        <f t="shared" ca="1" si="127"/>
        <v>0</v>
      </c>
      <c r="AJ127" s="313">
        <f t="shared" ca="1" si="128"/>
        <v>0</v>
      </c>
      <c r="AK127" s="267">
        <f t="shared" ca="1" si="128"/>
        <v>0</v>
      </c>
      <c r="AL127" s="267">
        <f t="shared" ca="1" si="128"/>
        <v>0</v>
      </c>
      <c r="AM127" s="267">
        <f t="shared" ca="1" si="128"/>
        <v>0</v>
      </c>
      <c r="AN127" s="314">
        <f t="shared" ca="1" si="128"/>
        <v>0</v>
      </c>
      <c r="AP127" s="110" t="s">
        <v>15</v>
      </c>
      <c r="AQ127" s="260" t="e">
        <f t="shared" ca="1" si="129"/>
        <v>#VALUE!</v>
      </c>
      <c r="AR127" s="206" t="e">
        <f t="shared" ca="1" si="129"/>
        <v>#VALUE!</v>
      </c>
      <c r="AS127" s="206" t="e">
        <f t="shared" ca="1" si="129"/>
        <v>#VALUE!</v>
      </c>
      <c r="AT127" s="206" t="e">
        <f t="shared" ca="1" si="129"/>
        <v>#VALUE!</v>
      </c>
      <c r="AU127" s="212" t="e">
        <f t="shared" ca="1" si="129"/>
        <v>#VALUE!</v>
      </c>
      <c r="AV127" s="315">
        <f t="shared" ca="1" si="130"/>
        <v>0</v>
      </c>
      <c r="AW127" s="267">
        <f t="shared" ca="1" si="130"/>
        <v>0</v>
      </c>
      <c r="AX127" s="267">
        <f t="shared" ca="1" si="130"/>
        <v>0</v>
      </c>
      <c r="AY127" s="267">
        <f t="shared" ca="1" si="130"/>
        <v>0</v>
      </c>
      <c r="AZ127" s="316">
        <f t="shared" ca="1" si="130"/>
        <v>0</v>
      </c>
      <c r="BA127" s="267">
        <f t="shared" ca="1" si="131"/>
        <v>0</v>
      </c>
      <c r="BB127" s="267">
        <f t="shared" ca="1" si="131"/>
        <v>0</v>
      </c>
      <c r="BC127" s="267">
        <f t="shared" ca="1" si="131"/>
        <v>0</v>
      </c>
      <c r="BD127" s="267">
        <f t="shared" ca="1" si="131"/>
        <v>0</v>
      </c>
      <c r="BE127" s="316">
        <f t="shared" ca="1" si="131"/>
        <v>0</v>
      </c>
      <c r="BG127" s="111" t="s">
        <v>15</v>
      </c>
      <c r="BH127" s="213" t="e">
        <f t="shared" ca="1" si="132"/>
        <v>#VALUE!</v>
      </c>
      <c r="BI127" s="206" t="e">
        <f t="shared" ca="1" si="132"/>
        <v>#VALUE!</v>
      </c>
      <c r="BJ127" s="206" t="e">
        <f t="shared" ca="1" si="132"/>
        <v>#VALUE!</v>
      </c>
      <c r="BK127" s="206" t="e">
        <f t="shared" ca="1" si="132"/>
        <v>#VALUE!</v>
      </c>
      <c r="BL127" s="214" t="e">
        <f t="shared" ca="1" si="132"/>
        <v>#VALUE!</v>
      </c>
      <c r="BM127" s="266">
        <f t="shared" ca="1" si="133"/>
        <v>0</v>
      </c>
      <c r="BN127" s="267">
        <f t="shared" ca="1" si="133"/>
        <v>0</v>
      </c>
      <c r="BO127" s="267">
        <f t="shared" ca="1" si="133"/>
        <v>0</v>
      </c>
      <c r="BP127" s="267">
        <f t="shared" ca="1" si="133"/>
        <v>0</v>
      </c>
      <c r="BQ127" s="268">
        <f t="shared" ca="1" si="133"/>
        <v>0</v>
      </c>
      <c r="BR127" s="266">
        <f t="shared" ca="1" si="134"/>
        <v>0</v>
      </c>
      <c r="BS127" s="267">
        <f t="shared" ca="1" si="134"/>
        <v>0</v>
      </c>
      <c r="BT127" s="267">
        <f t="shared" ca="1" si="134"/>
        <v>0</v>
      </c>
      <c r="BU127" s="267">
        <f t="shared" ca="1" si="134"/>
        <v>0</v>
      </c>
      <c r="BV127" s="268">
        <f t="shared" ca="1" si="134"/>
        <v>0</v>
      </c>
      <c r="BX127" s="111" t="s">
        <v>15</v>
      </c>
      <c r="BY127" s="320"/>
      <c r="BZ127" s="321"/>
      <c r="CA127" s="321"/>
      <c r="CB127" s="321"/>
      <c r="CC127" s="322"/>
      <c r="CD127" s="266">
        <f t="shared" ca="1" si="135"/>
        <v>0</v>
      </c>
      <c r="CE127" s="267">
        <f t="shared" ca="1" si="135"/>
        <v>0</v>
      </c>
      <c r="CF127" s="267">
        <f t="shared" ca="1" si="135"/>
        <v>0</v>
      </c>
      <c r="CG127" s="267">
        <f t="shared" ca="1" si="135"/>
        <v>0</v>
      </c>
      <c r="CH127" s="268">
        <f t="shared" ca="1" si="135"/>
        <v>0</v>
      </c>
      <c r="CI127" s="327"/>
      <c r="CJ127" s="328"/>
      <c r="CK127" s="328"/>
      <c r="CL127" s="328"/>
      <c r="CM127" s="329"/>
      <c r="CO127" s="326">
        <f ca="1">IFERROR(CO109/CQ109, 0)</f>
        <v>0</v>
      </c>
    </row>
    <row r="128" spans="2:101" x14ac:dyDescent="0.35">
      <c r="B128" s="105" t="s">
        <v>16</v>
      </c>
      <c r="C128" s="106"/>
      <c r="D128" s="106" t="s">
        <v>12</v>
      </c>
      <c r="E128" s="107" t="s">
        <v>13</v>
      </c>
      <c r="F128" s="106"/>
      <c r="H128" s="118" t="s">
        <v>7</v>
      </c>
      <c r="I128" s="205" t="e">
        <f t="shared" ca="1" si="123"/>
        <v>#VALUE!</v>
      </c>
      <c r="J128" s="206" t="e">
        <f t="shared" ca="1" si="123"/>
        <v>#VALUE!</v>
      </c>
      <c r="K128" s="206" t="e">
        <f t="shared" ca="1" si="123"/>
        <v>#VALUE!</v>
      </c>
      <c r="L128" s="206" t="e">
        <f t="shared" ca="1" si="123"/>
        <v>#VALUE!</v>
      </c>
      <c r="M128" s="207" t="e">
        <f t="shared" ca="1" si="123"/>
        <v>#VALUE!</v>
      </c>
      <c r="N128" s="311">
        <f t="shared" ca="1" si="124"/>
        <v>0</v>
      </c>
      <c r="O128" s="267">
        <f t="shared" ca="1" si="124"/>
        <v>0</v>
      </c>
      <c r="P128" s="267">
        <f t="shared" ca="1" si="124"/>
        <v>0</v>
      </c>
      <c r="Q128" s="267">
        <f t="shared" ca="1" si="124"/>
        <v>0</v>
      </c>
      <c r="R128" s="312">
        <f t="shared" ca="1" si="124"/>
        <v>0</v>
      </c>
      <c r="S128" s="311">
        <f t="shared" ca="1" si="125"/>
        <v>0</v>
      </c>
      <c r="T128" s="267">
        <f t="shared" ca="1" si="125"/>
        <v>0</v>
      </c>
      <c r="U128" s="267">
        <f t="shared" ca="1" si="125"/>
        <v>0</v>
      </c>
      <c r="V128" s="267">
        <f t="shared" ca="1" si="125"/>
        <v>0</v>
      </c>
      <c r="W128" s="312">
        <f t="shared" ca="1" si="125"/>
        <v>0</v>
      </c>
      <c r="Y128" s="119" t="s">
        <v>7</v>
      </c>
      <c r="Z128" s="208">
        <f t="shared" ca="1" si="126"/>
        <v>0</v>
      </c>
      <c r="AA128" s="206">
        <f t="shared" ca="1" si="126"/>
        <v>0</v>
      </c>
      <c r="AB128" s="206">
        <f t="shared" ca="1" si="126"/>
        <v>0</v>
      </c>
      <c r="AC128" s="206">
        <f t="shared" ca="1" si="126"/>
        <v>0</v>
      </c>
      <c r="AD128" s="209">
        <f t="shared" ca="1" si="126"/>
        <v>0</v>
      </c>
      <c r="AE128" s="313">
        <f t="shared" ca="1" si="127"/>
        <v>0</v>
      </c>
      <c r="AF128" s="267">
        <f t="shared" ca="1" si="127"/>
        <v>0</v>
      </c>
      <c r="AG128" s="267">
        <f t="shared" ca="1" si="127"/>
        <v>0</v>
      </c>
      <c r="AH128" s="267">
        <f t="shared" ca="1" si="127"/>
        <v>0</v>
      </c>
      <c r="AI128" s="314">
        <f t="shared" ca="1" si="127"/>
        <v>0</v>
      </c>
      <c r="AJ128" s="313">
        <f t="shared" ca="1" si="128"/>
        <v>0</v>
      </c>
      <c r="AK128" s="267">
        <f t="shared" ca="1" si="128"/>
        <v>0</v>
      </c>
      <c r="AL128" s="267">
        <f t="shared" ca="1" si="128"/>
        <v>0</v>
      </c>
      <c r="AM128" s="267">
        <f t="shared" ca="1" si="128"/>
        <v>0</v>
      </c>
      <c r="AN128" s="314">
        <f t="shared" ca="1" si="128"/>
        <v>0</v>
      </c>
      <c r="AP128" s="120" t="s">
        <v>7</v>
      </c>
      <c r="AQ128" s="260" t="e">
        <f t="shared" ca="1" si="129"/>
        <v>#VALUE!</v>
      </c>
      <c r="AR128" s="206" t="e">
        <f t="shared" ca="1" si="129"/>
        <v>#VALUE!</v>
      </c>
      <c r="AS128" s="206" t="e">
        <f t="shared" ca="1" si="129"/>
        <v>#VALUE!</v>
      </c>
      <c r="AT128" s="206" t="e">
        <f t="shared" ca="1" si="129"/>
        <v>#VALUE!</v>
      </c>
      <c r="AU128" s="212" t="e">
        <f t="shared" ca="1" si="129"/>
        <v>#VALUE!</v>
      </c>
      <c r="AV128" s="315">
        <f t="shared" ca="1" si="130"/>
        <v>0</v>
      </c>
      <c r="AW128" s="267">
        <f t="shared" ca="1" si="130"/>
        <v>0</v>
      </c>
      <c r="AX128" s="267">
        <f t="shared" ca="1" si="130"/>
        <v>0</v>
      </c>
      <c r="AY128" s="267">
        <f t="shared" ca="1" si="130"/>
        <v>0</v>
      </c>
      <c r="AZ128" s="316">
        <f t="shared" ca="1" si="130"/>
        <v>0</v>
      </c>
      <c r="BA128" s="267">
        <f t="shared" ca="1" si="131"/>
        <v>0</v>
      </c>
      <c r="BB128" s="267">
        <f t="shared" ca="1" si="131"/>
        <v>0</v>
      </c>
      <c r="BC128" s="267">
        <f t="shared" ca="1" si="131"/>
        <v>0</v>
      </c>
      <c r="BD128" s="267">
        <f t="shared" ca="1" si="131"/>
        <v>0</v>
      </c>
      <c r="BE128" s="316">
        <f t="shared" ca="1" si="131"/>
        <v>0</v>
      </c>
      <c r="BG128" s="121" t="s">
        <v>7</v>
      </c>
      <c r="BH128" s="213" t="e">
        <f t="shared" ca="1" si="132"/>
        <v>#VALUE!</v>
      </c>
      <c r="BI128" s="206" t="e">
        <f t="shared" ca="1" si="132"/>
        <v>#VALUE!</v>
      </c>
      <c r="BJ128" s="206" t="e">
        <f t="shared" ca="1" si="132"/>
        <v>#VALUE!</v>
      </c>
      <c r="BK128" s="206" t="e">
        <f t="shared" ca="1" si="132"/>
        <v>#VALUE!</v>
      </c>
      <c r="BL128" s="214" t="e">
        <f t="shared" ca="1" si="132"/>
        <v>#VALUE!</v>
      </c>
      <c r="BM128" s="266">
        <f t="shared" ca="1" si="133"/>
        <v>0</v>
      </c>
      <c r="BN128" s="267">
        <f t="shared" ca="1" si="133"/>
        <v>0</v>
      </c>
      <c r="BO128" s="267">
        <f t="shared" ca="1" si="133"/>
        <v>0</v>
      </c>
      <c r="BP128" s="267">
        <f t="shared" ca="1" si="133"/>
        <v>0</v>
      </c>
      <c r="BQ128" s="268">
        <f t="shared" ca="1" si="133"/>
        <v>0</v>
      </c>
      <c r="BR128" s="266">
        <f t="shared" ca="1" si="134"/>
        <v>0</v>
      </c>
      <c r="BS128" s="267">
        <f t="shared" ca="1" si="134"/>
        <v>0</v>
      </c>
      <c r="BT128" s="267">
        <f t="shared" ca="1" si="134"/>
        <v>0</v>
      </c>
      <c r="BU128" s="267">
        <f t="shared" ca="1" si="134"/>
        <v>0</v>
      </c>
      <c r="BV128" s="268">
        <f t="shared" ca="1" si="134"/>
        <v>0</v>
      </c>
      <c r="BX128" s="121" t="s">
        <v>7</v>
      </c>
      <c r="BY128" s="320"/>
      <c r="BZ128" s="321"/>
      <c r="CA128" s="321"/>
      <c r="CB128" s="321"/>
      <c r="CC128" s="322"/>
      <c r="CD128" s="266">
        <f t="shared" ca="1" si="135"/>
        <v>0</v>
      </c>
      <c r="CE128" s="267">
        <f t="shared" ca="1" si="135"/>
        <v>0</v>
      </c>
      <c r="CF128" s="267">
        <f t="shared" ca="1" si="135"/>
        <v>0</v>
      </c>
      <c r="CG128" s="267">
        <f t="shared" ca="1" si="135"/>
        <v>0</v>
      </c>
      <c r="CH128" s="268">
        <f t="shared" ca="1" si="135"/>
        <v>0</v>
      </c>
      <c r="CI128" s="327"/>
      <c r="CJ128" s="328"/>
      <c r="CK128" s="328"/>
      <c r="CL128" s="328"/>
      <c r="CM128" s="329"/>
      <c r="CO128" s="326">
        <f ca="1">IFERROR(CO110/CQ110, 0)</f>
        <v>0</v>
      </c>
    </row>
    <row r="129" spans="1:111" ht="15" thickBot="1" x14ac:dyDescent="0.4">
      <c r="B129" s="122"/>
      <c r="C129" s="123"/>
      <c r="D129" s="123" t="s">
        <v>13</v>
      </c>
      <c r="E129" s="124" t="s">
        <v>13</v>
      </c>
      <c r="F129" s="106"/>
      <c r="H129" s="118" t="s">
        <v>17</v>
      </c>
      <c r="I129" s="205" t="e">
        <f t="shared" ca="1" si="123"/>
        <v>#VALUE!</v>
      </c>
      <c r="J129" s="206" t="e">
        <f t="shared" ca="1" si="123"/>
        <v>#VALUE!</v>
      </c>
      <c r="K129" s="206" t="e">
        <f t="shared" ca="1" si="123"/>
        <v>#VALUE!</v>
      </c>
      <c r="L129" s="206" t="e">
        <f t="shared" ca="1" si="123"/>
        <v>#VALUE!</v>
      </c>
      <c r="M129" s="271" t="e">
        <f t="shared" ca="1" si="123"/>
        <v>#VALUE!</v>
      </c>
      <c r="N129" s="311">
        <f t="shared" ca="1" si="124"/>
        <v>0</v>
      </c>
      <c r="O129" s="267">
        <f t="shared" ca="1" si="124"/>
        <v>0</v>
      </c>
      <c r="P129" s="267">
        <f t="shared" ca="1" si="124"/>
        <v>0</v>
      </c>
      <c r="Q129" s="267">
        <f t="shared" ca="1" si="124"/>
        <v>0</v>
      </c>
      <c r="R129" s="330">
        <f t="shared" ca="1" si="124"/>
        <v>0</v>
      </c>
      <c r="S129" s="267">
        <f t="shared" ca="1" si="125"/>
        <v>0</v>
      </c>
      <c r="T129" s="267">
        <f t="shared" ca="1" si="125"/>
        <v>0</v>
      </c>
      <c r="U129" s="267">
        <f t="shared" ca="1" si="125"/>
        <v>0</v>
      </c>
      <c r="V129" s="267">
        <f t="shared" ca="1" si="125"/>
        <v>0</v>
      </c>
      <c r="W129" s="312">
        <f t="shared" ca="1" si="125"/>
        <v>0</v>
      </c>
      <c r="Y129" s="119" t="s">
        <v>17</v>
      </c>
      <c r="Z129" s="223">
        <f t="shared" ca="1" si="126"/>
        <v>0</v>
      </c>
      <c r="AA129" s="224">
        <f t="shared" ca="1" si="126"/>
        <v>0</v>
      </c>
      <c r="AB129" s="224">
        <f t="shared" ca="1" si="126"/>
        <v>0</v>
      </c>
      <c r="AC129" s="224">
        <f t="shared" ca="1" si="126"/>
        <v>0</v>
      </c>
      <c r="AD129" s="225">
        <f t="shared" ca="1" si="126"/>
        <v>0</v>
      </c>
      <c r="AE129" s="331">
        <f t="shared" ca="1" si="127"/>
        <v>0</v>
      </c>
      <c r="AF129" s="332">
        <f t="shared" ca="1" si="127"/>
        <v>0</v>
      </c>
      <c r="AG129" s="332">
        <f t="shared" ca="1" si="127"/>
        <v>0</v>
      </c>
      <c r="AH129" s="332">
        <f t="shared" ca="1" si="127"/>
        <v>0</v>
      </c>
      <c r="AI129" s="333">
        <f t="shared" ca="1" si="127"/>
        <v>0</v>
      </c>
      <c r="AJ129" s="332">
        <f t="shared" ca="1" si="128"/>
        <v>0</v>
      </c>
      <c r="AK129" s="332">
        <f t="shared" ca="1" si="128"/>
        <v>0</v>
      </c>
      <c r="AL129" s="332">
        <f t="shared" ca="1" si="128"/>
        <v>0</v>
      </c>
      <c r="AM129" s="332">
        <f t="shared" ca="1" si="128"/>
        <v>0</v>
      </c>
      <c r="AN129" s="333">
        <f t="shared" ca="1" si="128"/>
        <v>0</v>
      </c>
      <c r="AP129" s="120" t="s">
        <v>17</v>
      </c>
      <c r="AQ129" s="243" t="e">
        <f t="shared" ca="1" si="129"/>
        <v>#VALUE!</v>
      </c>
      <c r="AR129" s="229" t="e">
        <f t="shared" ca="1" si="129"/>
        <v>#VALUE!</v>
      </c>
      <c r="AS129" s="229" t="e">
        <f t="shared" ca="1" si="129"/>
        <v>#VALUE!</v>
      </c>
      <c r="AT129" s="229" t="e">
        <f t="shared" ca="1" si="129"/>
        <v>#VALUE!</v>
      </c>
      <c r="AU129" s="230" t="e">
        <f t="shared" ca="1" si="129"/>
        <v>#VALUE!</v>
      </c>
      <c r="AV129" s="334">
        <f t="shared" ca="1" si="130"/>
        <v>0</v>
      </c>
      <c r="AW129" s="335">
        <f t="shared" ca="1" si="130"/>
        <v>0</v>
      </c>
      <c r="AX129" s="335">
        <f t="shared" ca="1" si="130"/>
        <v>0</v>
      </c>
      <c r="AY129" s="335">
        <f t="shared" ca="1" si="130"/>
        <v>0</v>
      </c>
      <c r="AZ129" s="336">
        <f t="shared" ca="1" si="130"/>
        <v>0</v>
      </c>
      <c r="BA129" s="335">
        <f t="shared" ca="1" si="131"/>
        <v>0</v>
      </c>
      <c r="BB129" s="335">
        <f t="shared" ca="1" si="131"/>
        <v>0</v>
      </c>
      <c r="BC129" s="335">
        <f t="shared" ca="1" si="131"/>
        <v>0</v>
      </c>
      <c r="BD129" s="335">
        <f t="shared" ca="1" si="131"/>
        <v>0</v>
      </c>
      <c r="BE129" s="336">
        <f t="shared" ca="1" si="131"/>
        <v>0</v>
      </c>
      <c r="BG129" s="121" t="s">
        <v>17</v>
      </c>
      <c r="BH129" s="231" t="e">
        <f t="shared" ca="1" si="132"/>
        <v>#VALUE!</v>
      </c>
      <c r="BI129" s="232" t="e">
        <f t="shared" ca="1" si="132"/>
        <v>#VALUE!</v>
      </c>
      <c r="BJ129" s="232" t="e">
        <f t="shared" ca="1" si="132"/>
        <v>#VALUE!</v>
      </c>
      <c r="BK129" s="232" t="e">
        <f t="shared" ca="1" si="132"/>
        <v>#VALUE!</v>
      </c>
      <c r="BL129" s="233" t="e">
        <f t="shared" ca="1" si="132"/>
        <v>#VALUE!</v>
      </c>
      <c r="BM129" s="284">
        <f t="shared" ca="1" si="133"/>
        <v>0</v>
      </c>
      <c r="BN129" s="285">
        <f t="shared" ca="1" si="133"/>
        <v>0</v>
      </c>
      <c r="BO129" s="285">
        <f t="shared" ca="1" si="133"/>
        <v>0</v>
      </c>
      <c r="BP129" s="285">
        <f t="shared" ca="1" si="133"/>
        <v>0</v>
      </c>
      <c r="BQ129" s="286">
        <f t="shared" ca="1" si="133"/>
        <v>0</v>
      </c>
      <c r="BR129" s="285">
        <f t="shared" ca="1" si="134"/>
        <v>0</v>
      </c>
      <c r="BS129" s="285">
        <f t="shared" ca="1" si="134"/>
        <v>0</v>
      </c>
      <c r="BT129" s="285">
        <f t="shared" ca="1" si="134"/>
        <v>0</v>
      </c>
      <c r="BU129" s="285">
        <f t="shared" ca="1" si="134"/>
        <v>0</v>
      </c>
      <c r="BV129" s="286">
        <f t="shared" ca="1" si="134"/>
        <v>0</v>
      </c>
      <c r="BX129" s="121" t="s">
        <v>17</v>
      </c>
      <c r="BY129" s="337"/>
      <c r="BZ129" s="338"/>
      <c r="CA129" s="338"/>
      <c r="CB129" s="338"/>
      <c r="CC129" s="339"/>
      <c r="CD129" s="284">
        <f t="shared" ca="1" si="135"/>
        <v>0</v>
      </c>
      <c r="CE129" s="285">
        <f t="shared" ca="1" si="135"/>
        <v>0</v>
      </c>
      <c r="CF129" s="285">
        <f t="shared" ca="1" si="135"/>
        <v>0</v>
      </c>
      <c r="CG129" s="285">
        <f t="shared" ca="1" si="135"/>
        <v>0</v>
      </c>
      <c r="CH129" s="286">
        <f t="shared" ca="1" si="135"/>
        <v>0</v>
      </c>
      <c r="CI129" s="340"/>
      <c r="CJ129" s="340"/>
      <c r="CK129" s="340"/>
      <c r="CL129" s="340"/>
      <c r="CM129" s="341"/>
      <c r="CO129" s="342">
        <f ca="1">IFERROR(CO111/CQ111, 0)</f>
        <v>0</v>
      </c>
    </row>
    <row r="130" spans="1:111" ht="15" thickBot="1" x14ac:dyDescent="0.4">
      <c r="H130" s="154" t="s">
        <v>18</v>
      </c>
      <c r="I130" s="238" t="e">
        <f ca="1">SUM(I126:I129)</f>
        <v>#VALUE!</v>
      </c>
      <c r="J130" s="238" t="e">
        <f ca="1">SUM(J126:J129)</f>
        <v>#VALUE!</v>
      </c>
      <c r="K130" s="238" t="e">
        <f ca="1">SUM(K126:K129)</f>
        <v>#VALUE!</v>
      </c>
      <c r="L130" s="238" t="e">
        <f ca="1">SUM(L126:L129)</f>
        <v>#VALUE!</v>
      </c>
      <c r="M130" s="239" t="e">
        <f ca="1">SUM(M126:M129)</f>
        <v>#VALUE!</v>
      </c>
      <c r="N130" s="343">
        <f t="shared" ca="1" si="124"/>
        <v>0</v>
      </c>
      <c r="O130" s="343">
        <f t="shared" ca="1" si="124"/>
        <v>0</v>
      </c>
      <c r="P130" s="343">
        <f t="shared" ca="1" si="124"/>
        <v>0</v>
      </c>
      <c r="Q130" s="343">
        <f t="shared" ca="1" si="124"/>
        <v>0</v>
      </c>
      <c r="R130" s="344">
        <f t="shared" ca="1" si="124"/>
        <v>0</v>
      </c>
      <c r="S130" s="343">
        <f t="shared" ca="1" si="125"/>
        <v>0</v>
      </c>
      <c r="T130" s="343">
        <f t="shared" ca="1" si="125"/>
        <v>0</v>
      </c>
      <c r="U130" s="343">
        <f t="shared" ca="1" si="125"/>
        <v>0</v>
      </c>
      <c r="V130" s="343">
        <f t="shared" ca="1" si="125"/>
        <v>0</v>
      </c>
      <c r="W130" s="344">
        <f t="shared" ca="1" si="125"/>
        <v>0</v>
      </c>
      <c r="Y130" s="159" t="s">
        <v>18</v>
      </c>
      <c r="Z130" s="240">
        <f ca="1">SUM(Z126:Z129)</f>
        <v>0</v>
      </c>
      <c r="AA130" s="241">
        <f ca="1">SUM(AA126:AA129)</f>
        <v>0</v>
      </c>
      <c r="AB130" s="241">
        <f ca="1">SUM(AB126:AB129)</f>
        <v>0</v>
      </c>
      <c r="AC130" s="241">
        <f ca="1">SUM(AC126:AC129)</f>
        <v>0</v>
      </c>
      <c r="AD130" s="242">
        <f ca="1">SUM(AD126:AD129)</f>
        <v>0</v>
      </c>
      <c r="AE130" s="345">
        <f t="shared" ca="1" si="127"/>
        <v>0</v>
      </c>
      <c r="AF130" s="346">
        <f t="shared" ca="1" si="127"/>
        <v>0</v>
      </c>
      <c r="AG130" s="346">
        <f t="shared" ca="1" si="127"/>
        <v>0</v>
      </c>
      <c r="AH130" s="346">
        <f t="shared" ca="1" si="127"/>
        <v>0</v>
      </c>
      <c r="AI130" s="347">
        <f t="shared" ca="1" si="127"/>
        <v>0</v>
      </c>
      <c r="AJ130" s="346">
        <f t="shared" ca="1" si="128"/>
        <v>0</v>
      </c>
      <c r="AK130" s="346">
        <f t="shared" ca="1" si="128"/>
        <v>0</v>
      </c>
      <c r="AL130" s="346">
        <f t="shared" ca="1" si="128"/>
        <v>0</v>
      </c>
      <c r="AM130" s="346">
        <f t="shared" ca="1" si="128"/>
        <v>0</v>
      </c>
      <c r="AN130" s="347">
        <f t="shared" ca="1" si="128"/>
        <v>0</v>
      </c>
      <c r="AP130" s="166" t="s">
        <v>18</v>
      </c>
      <c r="AQ130" s="226" t="e">
        <f ca="1">SUM(AQ126:AQ129)</f>
        <v>#VALUE!</v>
      </c>
      <c r="AR130" s="227" t="e">
        <f ca="1">SUM(AR126:AR129)</f>
        <v>#VALUE!</v>
      </c>
      <c r="AS130" s="227" t="e">
        <f ca="1">SUM(AS126:AS129)</f>
        <v>#VALUE!</v>
      </c>
      <c r="AT130" s="227" t="e">
        <f ca="1">SUM(AT126:AT129)</f>
        <v>#VALUE!</v>
      </c>
      <c r="AU130" s="228" t="e">
        <f ca="1">SUM(AU126:AU129)</f>
        <v>#VALUE!</v>
      </c>
      <c r="AV130" s="348">
        <f t="shared" ca="1" si="130"/>
        <v>0</v>
      </c>
      <c r="AW130" s="349">
        <f t="shared" ca="1" si="130"/>
        <v>0</v>
      </c>
      <c r="AX130" s="349">
        <f t="shared" ca="1" si="130"/>
        <v>0</v>
      </c>
      <c r="AY130" s="349">
        <f t="shared" ca="1" si="130"/>
        <v>0</v>
      </c>
      <c r="AZ130" s="350">
        <f t="shared" ca="1" si="130"/>
        <v>0</v>
      </c>
      <c r="BA130" s="349">
        <f t="shared" ca="1" si="131"/>
        <v>0</v>
      </c>
      <c r="BB130" s="349">
        <f t="shared" ca="1" si="131"/>
        <v>0</v>
      </c>
      <c r="BC130" s="349">
        <f t="shared" ca="1" si="131"/>
        <v>0</v>
      </c>
      <c r="BD130" s="349">
        <f t="shared" ca="1" si="131"/>
        <v>0</v>
      </c>
      <c r="BE130" s="350">
        <f t="shared" ca="1" si="131"/>
        <v>0</v>
      </c>
      <c r="BG130" s="171" t="s">
        <v>18</v>
      </c>
      <c r="BH130" s="244" t="e">
        <f ca="1">SUM(BH126:BH129)</f>
        <v>#VALUE!</v>
      </c>
      <c r="BI130" s="245" t="e">
        <f ca="1">SUM(BI126:BI129)</f>
        <v>#VALUE!</v>
      </c>
      <c r="BJ130" s="245" t="e">
        <f ca="1">SUM(BJ126:BJ129)</f>
        <v>#VALUE!</v>
      </c>
      <c r="BK130" s="245" t="e">
        <f ca="1">SUM(BK126:BK129)</f>
        <v>#VALUE!</v>
      </c>
      <c r="BL130" s="234" t="e">
        <f ca="1">SUM(BL126:BL129)</f>
        <v>#VALUE!</v>
      </c>
      <c r="BM130" s="351">
        <f t="shared" ca="1" si="133"/>
        <v>0</v>
      </c>
      <c r="BN130" s="352">
        <f t="shared" ca="1" si="133"/>
        <v>0</v>
      </c>
      <c r="BO130" s="352">
        <f t="shared" ca="1" si="133"/>
        <v>0</v>
      </c>
      <c r="BP130" s="352">
        <f t="shared" ca="1" si="133"/>
        <v>0</v>
      </c>
      <c r="BQ130" s="353">
        <f t="shared" ca="1" si="133"/>
        <v>0</v>
      </c>
      <c r="BR130" s="352">
        <f t="shared" ca="1" si="134"/>
        <v>0</v>
      </c>
      <c r="BS130" s="352">
        <f t="shared" ca="1" si="134"/>
        <v>0</v>
      </c>
      <c r="BT130" s="352">
        <f t="shared" ca="1" si="134"/>
        <v>0</v>
      </c>
      <c r="BU130" s="352">
        <f t="shared" ca="1" si="134"/>
        <v>0</v>
      </c>
      <c r="BV130" s="353">
        <f t="shared" ca="1" si="134"/>
        <v>0</v>
      </c>
      <c r="BX130" s="171" t="s">
        <v>18</v>
      </c>
      <c r="BY130" s="337"/>
      <c r="BZ130" s="338"/>
      <c r="CA130" s="338"/>
      <c r="CB130" s="338"/>
      <c r="CC130" s="339"/>
      <c r="CD130" s="351">
        <f t="shared" ca="1" si="135"/>
        <v>0</v>
      </c>
      <c r="CE130" s="352">
        <f t="shared" ca="1" si="135"/>
        <v>0</v>
      </c>
      <c r="CF130" s="352">
        <f t="shared" ca="1" si="135"/>
        <v>0</v>
      </c>
      <c r="CG130" s="352">
        <f t="shared" ca="1" si="135"/>
        <v>0</v>
      </c>
      <c r="CH130" s="353">
        <f t="shared" ca="1" si="135"/>
        <v>0</v>
      </c>
      <c r="CI130" s="340"/>
      <c r="CJ130" s="340"/>
      <c r="CK130" s="340"/>
      <c r="CL130" s="340"/>
      <c r="CM130" s="341"/>
      <c r="CO130" s="342">
        <f ca="1">IFERROR(CO112/CQ112, 0)</f>
        <v>0</v>
      </c>
    </row>
    <row r="131" spans="1:111" x14ac:dyDescent="0.35">
      <c r="S131" s="301"/>
    </row>
    <row r="132" spans="1:111" ht="2" customHeight="1" x14ac:dyDescent="0.35">
      <c r="A132" s="194"/>
      <c r="B132" s="194"/>
      <c r="C132" s="194"/>
      <c r="D132" s="194"/>
      <c r="E132" s="194"/>
      <c r="F132" s="194"/>
      <c r="G132" s="194"/>
      <c r="H132" s="194"/>
      <c r="I132" s="194"/>
      <c r="J132" s="194"/>
      <c r="K132" s="194"/>
      <c r="L132" s="194"/>
      <c r="M132" s="194"/>
      <c r="N132" s="194"/>
      <c r="O132" s="194"/>
      <c r="P132" s="194"/>
      <c r="Q132" s="194"/>
      <c r="R132" s="194"/>
      <c r="S132" s="194"/>
      <c r="T132" s="194"/>
      <c r="U132" s="194"/>
      <c r="V132" s="194"/>
      <c r="W132" s="194"/>
      <c r="X132" s="194"/>
      <c r="Y132" s="194"/>
      <c r="Z132" s="194"/>
      <c r="AA132" s="194"/>
      <c r="AB132" s="194"/>
      <c r="AC132" s="194"/>
      <c r="AD132" s="194"/>
      <c r="AE132" s="194"/>
      <c r="AF132" s="194"/>
      <c r="AG132" s="194"/>
      <c r="AH132" s="194"/>
      <c r="AI132" s="194"/>
      <c r="AJ132" s="194"/>
      <c r="AK132" s="194"/>
      <c r="AL132" s="194"/>
      <c r="AM132" s="194"/>
      <c r="AN132" s="194"/>
      <c r="AO132" s="194"/>
      <c r="AP132" s="194"/>
      <c r="AQ132" s="194"/>
      <c r="AR132" s="194"/>
      <c r="AS132" s="194"/>
      <c r="AT132" s="194"/>
      <c r="AU132" s="194"/>
      <c r="AV132" s="194"/>
      <c r="AW132" s="194"/>
      <c r="AX132" s="194"/>
      <c r="AY132" s="194"/>
      <c r="AZ132" s="194"/>
      <c r="BA132" s="194"/>
      <c r="BB132" s="194"/>
      <c r="BC132" s="194"/>
      <c r="BD132" s="194"/>
      <c r="BE132" s="194"/>
      <c r="BF132" s="194"/>
      <c r="BG132" s="194"/>
      <c r="BH132" s="194"/>
      <c r="BI132" s="194"/>
      <c r="BJ132" s="194"/>
      <c r="BK132" s="194"/>
      <c r="BL132" s="194"/>
      <c r="BM132" s="194"/>
      <c r="BN132" s="194"/>
      <c r="BO132" s="194"/>
      <c r="BP132" s="194"/>
      <c r="BQ132" s="194"/>
      <c r="BR132" s="194"/>
      <c r="BS132" s="194"/>
      <c r="BT132" s="194"/>
      <c r="BU132" s="194"/>
      <c r="BV132" s="194"/>
      <c r="BW132" s="194"/>
      <c r="BX132" s="194"/>
      <c r="BY132" s="194"/>
      <c r="BZ132" s="194"/>
      <c r="CA132" s="194"/>
      <c r="CB132" s="194"/>
      <c r="CC132" s="194"/>
      <c r="CD132" s="194"/>
      <c r="CE132" s="194"/>
      <c r="CF132" s="194"/>
      <c r="CG132" s="194"/>
      <c r="CH132" s="194"/>
      <c r="CI132" s="194"/>
      <c r="CJ132" s="194"/>
      <c r="CK132" s="194"/>
      <c r="CL132" s="194"/>
      <c r="CM132" s="194"/>
    </row>
    <row r="133" spans="1:111" ht="15" thickBot="1" x14ac:dyDescent="0.4"/>
    <row r="134" spans="1:111" ht="15" thickBot="1" x14ac:dyDescent="0.4">
      <c r="I134" s="21" t="s">
        <v>50</v>
      </c>
      <c r="J134" s="22"/>
      <c r="K134" s="22"/>
      <c r="L134" s="22"/>
      <c r="M134" s="22"/>
      <c r="N134" s="22"/>
      <c r="O134" s="22"/>
      <c r="P134" s="22"/>
      <c r="Q134" s="22"/>
      <c r="R134" s="23"/>
      <c r="S134" s="301"/>
      <c r="Z134" s="24" t="s">
        <v>50</v>
      </c>
      <c r="AA134" s="25"/>
      <c r="AB134" s="25"/>
      <c r="AC134" s="25"/>
      <c r="AD134" s="25"/>
      <c r="AE134" s="25"/>
      <c r="AF134" s="25"/>
      <c r="AG134" s="25"/>
      <c r="AH134" s="25"/>
      <c r="AI134" s="26"/>
      <c r="AQ134" s="354" t="s">
        <v>50</v>
      </c>
      <c r="AR134" s="29"/>
      <c r="AS134" s="29"/>
      <c r="AT134" s="29"/>
      <c r="AU134" s="29"/>
      <c r="AV134" s="29"/>
      <c r="AW134" s="29"/>
      <c r="AX134" s="29"/>
      <c r="AY134" s="29"/>
      <c r="AZ134" s="355"/>
      <c r="BH134" s="31" t="s">
        <v>50</v>
      </c>
      <c r="BI134" s="32"/>
      <c r="BJ134" s="32"/>
      <c r="BK134" s="32"/>
      <c r="BL134" s="32"/>
      <c r="BM134" s="32"/>
      <c r="BN134" s="32"/>
      <c r="BO134" s="32"/>
      <c r="BP134" s="32"/>
      <c r="BQ134" s="33"/>
      <c r="BY134" s="34" t="s">
        <v>50</v>
      </c>
      <c r="BZ134" s="35"/>
      <c r="CA134" s="35"/>
      <c r="CB134" s="35"/>
      <c r="CC134" s="35"/>
      <c r="CD134" s="35"/>
      <c r="CE134" s="35"/>
      <c r="CF134" s="35"/>
      <c r="CG134" s="35"/>
      <c r="CH134" s="36"/>
      <c r="CO134" s="196" t="s">
        <v>39</v>
      </c>
      <c r="CP134" s="197"/>
      <c r="CQ134" s="197"/>
      <c r="CR134" s="197"/>
      <c r="CS134" s="197"/>
      <c r="CT134" s="198"/>
    </row>
    <row r="135" spans="1:111" ht="15" thickBot="1" x14ac:dyDescent="0.4">
      <c r="H135" s="37"/>
      <c r="I135" s="302" t="s">
        <v>40</v>
      </c>
      <c r="J135" s="303"/>
      <c r="K135" s="303"/>
      <c r="L135" s="303"/>
      <c r="M135" s="304"/>
      <c r="N135" s="302" t="s">
        <v>41</v>
      </c>
      <c r="O135" s="303"/>
      <c r="P135" s="303"/>
      <c r="Q135" s="303"/>
      <c r="R135" s="304"/>
      <c r="Z135" s="41" t="s">
        <v>40</v>
      </c>
      <c r="AA135" s="42"/>
      <c r="AB135" s="42"/>
      <c r="AC135" s="42"/>
      <c r="AD135" s="43"/>
      <c r="AE135" s="41" t="s">
        <v>41</v>
      </c>
      <c r="AF135" s="42"/>
      <c r="AG135" s="42"/>
      <c r="AH135" s="42"/>
      <c r="AI135" s="43"/>
      <c r="AQ135" s="44" t="s">
        <v>40</v>
      </c>
      <c r="AR135" s="45"/>
      <c r="AS135" s="45"/>
      <c r="AT135" s="45"/>
      <c r="AU135" s="46"/>
      <c r="AV135" s="44" t="s">
        <v>41</v>
      </c>
      <c r="AW135" s="45"/>
      <c r="AX135" s="45"/>
      <c r="AY135" s="45"/>
      <c r="AZ135" s="46"/>
      <c r="BH135" s="305" t="s">
        <v>40</v>
      </c>
      <c r="BI135" s="306"/>
      <c r="BJ135" s="306"/>
      <c r="BK135" s="306"/>
      <c r="BL135" s="307"/>
      <c r="BM135" s="305" t="s">
        <v>41</v>
      </c>
      <c r="BN135" s="306"/>
      <c r="BO135" s="306"/>
      <c r="BP135" s="306"/>
      <c r="BQ135" s="307"/>
      <c r="BY135" s="305" t="s">
        <v>40</v>
      </c>
      <c r="BZ135" s="306"/>
      <c r="CA135" s="306"/>
      <c r="CB135" s="306"/>
      <c r="CC135" s="307"/>
      <c r="CD135" s="305" t="s">
        <v>41</v>
      </c>
      <c r="CE135" s="306"/>
      <c r="CF135" s="306"/>
      <c r="CG135" s="306"/>
      <c r="CH135" s="307"/>
      <c r="CO135" s="199" t="s">
        <v>38</v>
      </c>
      <c r="CP135" s="200"/>
      <c r="CQ135" s="200"/>
      <c r="CR135" s="200"/>
      <c r="CS135" s="200"/>
      <c r="CT135" s="201"/>
    </row>
    <row r="136" spans="1:111" ht="29.5" thickBot="1" x14ac:dyDescent="0.4">
      <c r="H136" s="55"/>
      <c r="I136" s="56" t="str">
        <f>[1]Tables!$AA$4</f>
        <v>07/27 - 06/28</v>
      </c>
      <c r="J136" s="55" t="str">
        <f>[1]Tables!$AA$5</f>
        <v>07/28 - 06/29</v>
      </c>
      <c r="K136" s="55" t="str">
        <f>[1]Tables!$AA$6</f>
        <v>07/29 - 06/30</v>
      </c>
      <c r="L136" s="55" t="str">
        <f>[1]Tables!$AA$7</f>
        <v>07/30 - 06/31</v>
      </c>
      <c r="M136" s="57" t="str">
        <f>[1]Tables!$AA$8</f>
        <v>07/31 - 06/32</v>
      </c>
      <c r="N136" s="56" t="str">
        <f>[1]Tables!$AA$4</f>
        <v>07/27 - 06/28</v>
      </c>
      <c r="O136" s="55" t="str">
        <f>[1]Tables!$AA$5</f>
        <v>07/28 - 06/29</v>
      </c>
      <c r="P136" s="55" t="str">
        <f>[1]Tables!$AA$6</f>
        <v>07/29 - 06/30</v>
      </c>
      <c r="Q136" s="55" t="str">
        <f>[1]Tables!$AA$7</f>
        <v>07/30 - 06/31</v>
      </c>
      <c r="R136" s="57" t="str">
        <f>[1]Tables!$AA$8</f>
        <v>07/31 - 06/32</v>
      </c>
      <c r="Y136" s="58"/>
      <c r="Z136" s="59" t="str">
        <f>[1]Tables!$AA$4</f>
        <v>07/27 - 06/28</v>
      </c>
      <c r="AA136" s="60" t="str">
        <f>[1]Tables!$AA$5</f>
        <v>07/28 - 06/29</v>
      </c>
      <c r="AB136" s="60" t="str">
        <f>[1]Tables!$AA$6</f>
        <v>07/29 - 06/30</v>
      </c>
      <c r="AC136" s="60" t="str">
        <f>[1]Tables!$AA$7</f>
        <v>07/30 - 06/31</v>
      </c>
      <c r="AD136" s="61" t="str">
        <f>[1]Tables!$AA$8</f>
        <v>07/31 - 06/32</v>
      </c>
      <c r="AE136" s="59" t="str">
        <f>[1]Tables!$AA$4</f>
        <v>07/27 - 06/28</v>
      </c>
      <c r="AF136" s="60" t="str">
        <f>[1]Tables!$AA$5</f>
        <v>07/28 - 06/29</v>
      </c>
      <c r="AG136" s="60" t="str">
        <f>[1]Tables!$AA$6</f>
        <v>07/29 - 06/30</v>
      </c>
      <c r="AH136" s="60" t="str">
        <f>[1]Tables!$AA$7</f>
        <v>07/30 - 06/31</v>
      </c>
      <c r="AI136" s="61" t="str">
        <f>[1]Tables!$AA$8</f>
        <v>07/31 - 06/32</v>
      </c>
      <c r="AP136" s="58"/>
      <c r="AQ136" s="62" t="str">
        <f>[1]Tables!$AA$4</f>
        <v>07/27 - 06/28</v>
      </c>
      <c r="AR136" s="63" t="str">
        <f>[1]Tables!$AA$5</f>
        <v>07/28 - 06/29</v>
      </c>
      <c r="AS136" s="63" t="str">
        <f>[1]Tables!$AA$6</f>
        <v>07/29 - 06/30</v>
      </c>
      <c r="AT136" s="63" t="str">
        <f>[1]Tables!$AA$7</f>
        <v>07/30 - 06/31</v>
      </c>
      <c r="AU136" s="64" t="str">
        <f>[1]Tables!$AA$8</f>
        <v>07/31 - 06/32</v>
      </c>
      <c r="AV136" s="62" t="str">
        <f>[1]Tables!$AA$4</f>
        <v>07/27 - 06/28</v>
      </c>
      <c r="AW136" s="63" t="str">
        <f>[1]Tables!$AA$5</f>
        <v>07/28 - 06/29</v>
      </c>
      <c r="AX136" s="63" t="str">
        <f>[1]Tables!$AA$6</f>
        <v>07/29 - 06/30</v>
      </c>
      <c r="AY136" s="63" t="str">
        <f>[1]Tables!$AA$7</f>
        <v>07/30 - 06/31</v>
      </c>
      <c r="AZ136" s="64" t="str">
        <f>[1]Tables!$AA$8</f>
        <v>07/31 - 06/32</v>
      </c>
      <c r="BG136" s="58"/>
      <c r="BH136" s="65" t="str">
        <f>[1]Tables!$AA$4</f>
        <v>07/27 - 06/28</v>
      </c>
      <c r="BI136" s="66" t="str">
        <f>[1]Tables!$AA$5</f>
        <v>07/28 - 06/29</v>
      </c>
      <c r="BJ136" s="66" t="str">
        <f>[1]Tables!$AA$6</f>
        <v>07/29 - 06/30</v>
      </c>
      <c r="BK136" s="66" t="str">
        <f>[1]Tables!$AA$7</f>
        <v>07/30 - 06/31</v>
      </c>
      <c r="BL136" s="67" t="str">
        <f>[1]Tables!$AA$8</f>
        <v>07/31 - 06/32</v>
      </c>
      <c r="BM136" s="65" t="str">
        <f>[1]Tables!$AA$4</f>
        <v>07/27 - 06/28</v>
      </c>
      <c r="BN136" s="66" t="str">
        <f>[1]Tables!$AA$5</f>
        <v>07/28 - 06/29</v>
      </c>
      <c r="BO136" s="66" t="str">
        <f>[1]Tables!$AA$6</f>
        <v>07/29 - 06/30</v>
      </c>
      <c r="BP136" s="66" t="str">
        <f>[1]Tables!$AA$7</f>
        <v>07/30 - 06/31</v>
      </c>
      <c r="BQ136" s="67" t="str">
        <f>[1]Tables!$AA$8</f>
        <v>07/31 - 06/32</v>
      </c>
      <c r="BX136" s="58"/>
      <c r="BY136" s="65" t="str">
        <f>[1]Tables!$AA$4</f>
        <v>07/27 - 06/28</v>
      </c>
      <c r="BZ136" s="66" t="str">
        <f>[1]Tables!$AA$5</f>
        <v>07/28 - 06/29</v>
      </c>
      <c r="CA136" s="66" t="str">
        <f>[1]Tables!$AA$6</f>
        <v>07/29 - 06/30</v>
      </c>
      <c r="CB136" s="66" t="str">
        <f>[1]Tables!$AA$7</f>
        <v>07/30 - 06/31</v>
      </c>
      <c r="CC136" s="67" t="str">
        <f>[1]Tables!$AA$8</f>
        <v>07/31 - 06/32</v>
      </c>
      <c r="CD136" s="65" t="str">
        <f>[1]Tables!$AA$4</f>
        <v>07/27 - 06/28</v>
      </c>
      <c r="CE136" s="66" t="str">
        <f>[1]Tables!$AA$5</f>
        <v>07/28 - 06/29</v>
      </c>
      <c r="CF136" s="66" t="str">
        <f>[1]Tables!$AA$6</f>
        <v>07/29 - 06/30</v>
      </c>
      <c r="CG136" s="66" t="str">
        <f>[1]Tables!$AA$7</f>
        <v>07/30 - 06/31</v>
      </c>
      <c r="CH136" s="67" t="str">
        <f>[1]Tables!$AA$8</f>
        <v>07/31 - 06/32</v>
      </c>
      <c r="CO136" s="65" t="s">
        <v>40</v>
      </c>
      <c r="CP136" s="66" t="s">
        <v>42</v>
      </c>
      <c r="CQ136" s="202" t="s">
        <v>18</v>
      </c>
      <c r="CR136" s="65" t="s">
        <v>41</v>
      </c>
      <c r="CS136" s="66" t="s">
        <v>43</v>
      </c>
      <c r="CT136" s="202" t="s">
        <v>44</v>
      </c>
    </row>
    <row r="137" spans="1:111" x14ac:dyDescent="0.35">
      <c r="B137" s="68" t="s">
        <v>11</v>
      </c>
      <c r="C137" s="69">
        <v>30</v>
      </c>
      <c r="D137" s="69" t="s">
        <v>12</v>
      </c>
      <c r="E137" s="70" t="s">
        <v>13</v>
      </c>
      <c r="F137" s="106">
        <v>1</v>
      </c>
      <c r="H137" s="71" t="s">
        <v>14</v>
      </c>
      <c r="I137" s="72" t="e" cm="1">
        <f t="array" aca="1" ref="I137" ca="1">SUMIFS(rng_out_awp_pre_yr1,rng_out_sel_excl_yr_ind, "",rng_out_sel_G_ind,I$1,rng_out_mail_ind,$B108,rng_out_ds,$C108,rng_out_sel_sp_ind,$D108,rng_out_sel_excl_ind,$E137)+
SUMIFS(rng_out_awp_pre_yr1,rng_out_sel_excl_yr_ind, [1]Tables!$HN$4,rng_out_sel_G_ind,I$1,rng_out_mail_ind,$B108,rng_out_ds,$C108,rng_out_sel_sp_ind,$D108,rng_out_sel_excl_ind,$E137)*         _xlfn.XLOOKUP([1]Tables!$HN$4,'[1]RA Output'!$AY$4:$AY$5,'[1]RA Output'!AZ$4:AZ$5,0)  +
SUMIFS(rng_out_awp_pre_yr1,rng_out_sel_excl_yr_ind, [1]Tables!$HN$5,rng_out_sel_G_ind,I$1,rng_out_mail_ind,$B108,rng_out_ds,$C108,rng_out_sel_sp_ind,$D108,rng_out_sel_excl_ind,$E137)* _xlfn.XLOOKUP([1]Tables!$HN$5,'[1]RA Output'!$AY$4:$AY$5,'[1]RA Output'!AZ$4:AZ$5,0)+
IF($E$141="Y", SUMIFS(rng_out_awp_pre_yr1, rng_out_sel_G_ind, "G", rng_out_mail_ind, $B137, rng_out_ds, $C137, rng_out_sel_sp_ind, $D137, rng_out_sel_excl_ind,"N", rng_out_post_reb_ind_yr1, 0), 0)</f>
        <v>#VALUE!</v>
      </c>
      <c r="J137" s="5" t="e" cm="1">
        <f t="array" aca="1" ref="J137" ca="1">SUMIFS(rng_out_awp_pre_yr2,rng_out_sel_excl_yr_ind, "",rng_out_sel_G_ind,J$1,rng_out_mail_ind,$B108,rng_out_ds,$C108,rng_out_sel_sp_ind,$D108,rng_out_sel_excl_ind,$E137)+
SUMIFS(rng_out_awp_pre_yr2,rng_out_sel_excl_yr_ind, [1]Tables!$HN$4,rng_out_sel_G_ind,J$1,rng_out_mail_ind,$B108,rng_out_ds,$C108,rng_out_sel_sp_ind,$D108,rng_out_sel_excl_ind,$E137)*         _xlfn.XLOOKUP([1]Tables!$HN$4,'[1]RA Output'!$AY$4:$AY$5,'[1]RA Output'!BA$4:BA$5,0)  +
SUMIFS(rng_out_awp_pre_yr2,rng_out_sel_excl_yr_ind, [1]Tables!$HN$5,rng_out_sel_G_ind,J$1,rng_out_mail_ind,$B108,rng_out_ds,$C108,rng_out_sel_sp_ind,$D108,rng_out_sel_excl_ind,$E137)* _xlfn.XLOOKUP([1]Tables!$HN$5,'[1]RA Output'!$AY$4:$AY$5,'[1]RA Output'!BA$4:BA$5,0)+
IF($E$141="Y", SUMIFS(rng_out_awp_pre_yr2, rng_out_sel_G_ind, "G", rng_out_mail_ind, $B137, rng_out_ds, $C137, rng_out_sel_sp_ind, $D137, rng_out_sel_excl_ind,"N", rng_out_post_reb_ind_yr2, 0), 0)</f>
        <v>#VALUE!</v>
      </c>
      <c r="K137" s="5" t="e" cm="1">
        <f t="array" aca="1" ref="K137" ca="1">SUMIFS(rng_out_awp_pre_yr3,rng_out_sel_excl_yr_ind, "",rng_out_sel_G_ind,K$1,rng_out_mail_ind,$B108,rng_out_ds,$C108,rng_out_sel_sp_ind,$D108,rng_out_sel_excl_ind,$E137)+
SUMIFS(rng_out_awp_pre_yr3,rng_out_sel_excl_yr_ind, [1]Tables!$HN$4,rng_out_sel_G_ind,K$1,rng_out_mail_ind,$B108,rng_out_ds,$C108,rng_out_sel_sp_ind,$D108,rng_out_sel_excl_ind,$E137)*         _xlfn.XLOOKUP([1]Tables!$HN$4,'[1]RA Output'!$AY$4:$AY$5,'[1]RA Output'!BB$4:BB$5,0)  +
SUMIFS(rng_out_awp_pre_yr3,rng_out_sel_excl_yr_ind, [1]Tables!$HN$5,rng_out_sel_G_ind,K$1,rng_out_mail_ind,$B108,rng_out_ds,$C108,rng_out_sel_sp_ind,$D108,rng_out_sel_excl_ind,$E137)* _xlfn.XLOOKUP([1]Tables!$HN$5,'[1]RA Output'!$AY$4:$AY$5,'[1]RA Output'!BB$4:BB$5,0)+
IF($E$141="Y", SUMIFS(rng_out_awp_pre_yr3, rng_out_sel_G_ind, "G", rng_out_mail_ind, $B137, rng_out_ds, $C137, rng_out_sel_sp_ind, $D137, rng_out_sel_excl_ind,"N", rng_out_post_reb_ind_yr3, 0), 0)</f>
        <v>#VALUE!</v>
      </c>
      <c r="L137" s="5" t="e" cm="1">
        <f t="array" aca="1" ref="L137" ca="1">SUMIFS(rng_out_awp_pre_yr4,rng_out_sel_excl_yr_ind, "",rng_out_sel_G_ind,L$1,rng_out_mail_ind,$B108,rng_out_ds,$C108,rng_out_sel_sp_ind,$D108,rng_out_sel_excl_ind,$E137)+
SUMIFS(rng_out_awp_pre_yr4,rng_out_sel_excl_yr_ind, [1]Tables!$HN$4,rng_out_sel_G_ind,L$1,rng_out_mail_ind,$B108,rng_out_ds,$C108,rng_out_sel_sp_ind,$D108,rng_out_sel_excl_ind,$E137)*         _xlfn.XLOOKUP([1]Tables!$HN$4,'[1]RA Output'!$AY$4:$AY$5,'[1]RA Output'!BC$4:BC$5,0)  +
SUMIFS(rng_out_awp_pre_yr4,rng_out_sel_excl_yr_ind, [1]Tables!$HN$5,rng_out_sel_G_ind,L$1,rng_out_mail_ind,$B108,rng_out_ds,$C108,rng_out_sel_sp_ind,$D108,rng_out_sel_excl_ind,$E137)* _xlfn.XLOOKUP([1]Tables!$HN$5,'[1]RA Output'!$AY$4:$AY$5,'[1]RA Output'!BC$4:BC$5,0)+
IF($E$141="Y", SUMIFS(rng_out_awp_pre_yr4, rng_out_sel_G_ind, "G", rng_out_mail_ind, $B137, rng_out_ds, $C137, rng_out_sel_sp_ind, $D137, rng_out_sel_excl_ind,"N", rng_out_post_reb_ind_yr4, 0), 0)</f>
        <v>#VALUE!</v>
      </c>
      <c r="M137" s="73" t="e" cm="1">
        <f t="array" aca="1" ref="M137" ca="1">SUMIFS(rng_out_awp_pre_yr5,rng_out_sel_excl_yr_ind, "",rng_out_sel_G_ind,M$1,rng_out_mail_ind,$B108,rng_out_ds,$C108,rng_out_sel_sp_ind,$D108,rng_out_sel_excl_ind,$E137)+
SUMIFS(rng_out_awp_pre_yr5,rng_out_sel_excl_yr_ind, [1]Tables!$HN$4,rng_out_sel_G_ind,M$1,rng_out_mail_ind,$B108,rng_out_ds,$C108,rng_out_sel_sp_ind,$D108,rng_out_sel_excl_ind,$E137)*         _xlfn.XLOOKUP([1]Tables!$HN$4,'[1]RA Output'!$AY$4:$AY$5,'[1]RA Output'!BD$4:BD$5,0)  +
SUMIFS(rng_out_awp_pre_yr5,rng_out_sel_excl_yr_ind, [1]Tables!$HN$5,rng_out_sel_G_ind,M$1,rng_out_mail_ind,$B108,rng_out_ds,$C108,rng_out_sel_sp_ind,$D108,rng_out_sel_excl_ind,$E137)* _xlfn.XLOOKUP([1]Tables!$HN$5,'[1]RA Output'!$AY$4:$AY$5,'[1]RA Output'!BD$4:BD$5,0)+
IF($E$141="Y", SUMIFS(rng_out_awp_pre_yr5, rng_out_sel_G_ind, "G", rng_out_mail_ind, $B137, rng_out_ds, $C137, rng_out_sel_sp_ind, $D137, rng_out_sel_excl_ind,"N", rng_out_post_reb_ind_yr5, 0), 0)</f>
        <v>#VALUE!</v>
      </c>
      <c r="N137" s="74">
        <f t="shared" ref="N137:R141" ca="1" si="136">IFERROR(I137/I108, 0)</f>
        <v>0</v>
      </c>
      <c r="O137" s="75">
        <f t="shared" ca="1" si="136"/>
        <v>0</v>
      </c>
      <c r="P137" s="75">
        <f t="shared" ca="1" si="136"/>
        <v>0</v>
      </c>
      <c r="Q137" s="75">
        <f t="shared" ca="1" si="136"/>
        <v>0</v>
      </c>
      <c r="R137" s="76">
        <f t="shared" ca="1" si="136"/>
        <v>0</v>
      </c>
      <c r="Y137" s="77" t="s">
        <v>14</v>
      </c>
      <c r="Z137" s="78">
        <f ca="1">IFERROR(I137/[1]Tables!$AT$4, 0)</f>
        <v>0</v>
      </c>
      <c r="AA137" s="79">
        <f ca="1">IFERROR(J137/[1]Tables!$AT$4, 0)</f>
        <v>0</v>
      </c>
      <c r="AB137" s="79">
        <f ca="1">IFERROR(K137/[1]Tables!$AT$4, 0)</f>
        <v>0</v>
      </c>
      <c r="AC137" s="79">
        <f ca="1">IFERROR(L137/[1]Tables!$AT$4, 0)</f>
        <v>0</v>
      </c>
      <c r="AD137" s="80">
        <f ca="1">IFERROR(M137/[1]Tables!$AT$4, 0)</f>
        <v>0</v>
      </c>
      <c r="AE137" s="81">
        <f t="shared" ref="AE137:AI141" ca="1" si="137">IFERROR(Z137/Z108, 0)</f>
        <v>0</v>
      </c>
      <c r="AF137" s="75">
        <f t="shared" ca="1" si="137"/>
        <v>0</v>
      </c>
      <c r="AG137" s="75">
        <f t="shared" ca="1" si="137"/>
        <v>0</v>
      </c>
      <c r="AH137" s="75">
        <f t="shared" ca="1" si="137"/>
        <v>0</v>
      </c>
      <c r="AI137" s="82">
        <f t="shared" ca="1" si="137"/>
        <v>0</v>
      </c>
      <c r="AP137" s="83" t="s">
        <v>14</v>
      </c>
      <c r="AQ137" s="356" cm="1">
        <f t="array" aca="1" ref="AQ137" ca="1">IF($E$141="N", IFERROR(IF(OR(input_Shift="No", [1]Tables!$BN$4=1), 0, (SUMIFS(rng_out_awp_post_yr1,rng_out_sel_excl_yr_ind, "",rng_out_sel_G_ind,N$1,rng_out_mail_ind,$B137,rng_out_ds,$C137,rng_out_sel_sp_ind,$D137,rng_out_sel_excl_ind,$E137, rng_out_MSB_excl, $F137)+
SUMIFS(rng_out_awp_post_yr1,rng_out_sel_excl_yr_ind, [1]Tables!$HN$4,rng_out_sel_G_ind,N$1,rng_out_mail_ind,$B137,rng_out_ds,$C137,rng_out_sel_sp_ind,$D137,rng_out_sel_excl_ind,$E137, rng_out_MSB_excl, $F137)*         _xlfn.XLOOKUP([1]Tables!$HN$4,'[1]RA Output'!$AY$4:$AY$5,'[1]RA Output'!AZ$4:AZ$5,0)  +
SUMIFS(rng_out_awp_post_yr1,rng_out_sel_excl_yr_ind, [1]Tables!$HN$5,rng_out_sel_G_ind,N$1,rng_out_mail_ind,$B137,rng_out_ds,$C137,rng_out_sel_sp_ind,$D137,rng_out_sel_excl_ind,$E137, rng_out_MSB_excl, $F137)* _xlfn.XLOOKUP([1]Tables!$HN$5,'[1]RA Output'!$AY$4:$AY$5,'[1]RA Output'!AZ$4:AZ$5,0)) * ((1-[1]Tables!$BN$4)/[1]Tables!$BN$4) * [1]Tables!$BN$5)/[1]Tables!$AT$4, 0)
+ IFERROR((SUMIFS(rng_out_awp_post_yr1,rng_out_sel_excl_yr_ind, "",rng_out_sel_G_ind,I$1,rng_out_mail_ind,$B137,rng_out_ds,$C137,rng_out_sel_sp_ind,$D137,rng_out_sel_excl_ind,$E137)+
SUMIFS(rng_out_awp_post_yr1,rng_out_sel_excl_yr_ind, [1]Tables!$HN$4,rng_out_sel_G_ind,I$1,rng_out_mail_ind,$B137,rng_out_ds,$C137,rng_out_sel_sp_ind,$D137,rng_out_sel_excl_ind,$E137)*         _xlfn.XLOOKUP([1]Tables!$HN$4,'[1]RA Output'!$AY$4:$AY$5,'[1]RA Output'!AZ$4:AZ$5,0)  +
SUMIFS(rng_out_awp_post_yr1,rng_out_sel_excl_yr_ind, [1]Tables!$HN$5,rng_out_sel_G_ind,I$1,rng_out_mail_ind,$B137,rng_out_ds,$C137,rng_out_sel_sp_ind,$D137,rng_out_sel_excl_ind,$E137)* _xlfn.XLOOKUP([1]Tables!$HN$5,'[1]RA Output'!$AY$4:$AY$5,'[1]RA Output'!AZ$4:AZ$5,0))/[1]Tables!$AT$4, 0),
IFERROR(IF(OR(input_Shift="No", [1]Tables!$BN$4=1), 0, (SUMIFS(rng_out_awp_post_yr1,rng_out_sel_excl_yr_ind, "",rng_out_sel_G_ind,N$1,rng_out_mail_ind,$B137,rng_out_ds,$C137,rng_out_sel_sp_ind,$D137,rng_out_sel_excl_ind,$E137, rng_out_MSB_excl, $F137)+
SUMIFS(rng_out_awp_post_yr1,rng_out_sel_excl_yr_ind, [1]Tables!$HN$4,rng_out_sel_G_ind,N$1,rng_out_mail_ind,$B137,rng_out_ds,$C137,rng_out_sel_sp_ind,$D137,rng_out_sel_excl_ind,$E137, rng_out_MSB_excl, $F137)*         _xlfn.XLOOKUP([1]Tables!$HN$4,'[1]RA Output'!$AY$4:$AY$5,'[1]RA Output'!AZ$4:AZ$5,0)  +
SUMIFS(rng_out_awp_post_yr1,rng_out_sel_excl_yr_ind, [1]Tables!$HN$5,rng_out_sel_G_ind,N$1,rng_out_mail_ind,$B137,rng_out_ds,$C137,rng_out_sel_sp_ind,$D137,rng_out_sel_excl_ind,$E137, rng_out_MSB_excl, $F137)* _xlfn.XLOOKUP([1]Tables!$HN$5,'[1]RA Output'!$AY$4:$AY$5,'[1]RA Output'!AZ$4:AZ$5,0) +
SUMIFS(rng_out_awp_post_yr1, rng_out_mail_ind, $B137, rng_out_sel_G_ind, "B", rng_out_ds, $C137, rng_out_sel_sp_ind, $D137, rng_out_sel_excl_ind,"N", rng_out_MSB_excl, $F137, rng_out_post_reb_ind_yr1, 0)) * ((1-[1]Tables!$BN$4)/[1]Tables!$BN$4) * [1]Tables!$BN$5)/[1]Tables!$AT$4, 0) +
IFERROR((SUMIFS(rng_out_awp_post_yr1,rng_out_sel_excl_yr_ind, "",rng_out_sel_G_ind,I$1,rng_out_mail_ind,$B137,rng_out_ds,$C137,rng_out_sel_sp_ind,$D137,rng_out_sel_excl_ind,$E137)+
SUMIFS(rng_out_awp_post_yr1,rng_out_sel_excl_yr_ind, [1]Tables!$HN$4,rng_out_sel_G_ind,I$1,rng_out_mail_ind,$B137,rng_out_ds,$C137,rng_out_sel_sp_ind,$D137,rng_out_sel_excl_ind,$E137)*         _xlfn.XLOOKUP([1]Tables!$HN$4,'[1]RA Output'!$AY$4:$AY$5,'[1]RA Output'!AZ$4:AZ$5,0)  +
SUMIFS(rng_out_awp_post_yr1,rng_out_sel_excl_yr_ind, [1]Tables!$HN$5,rng_out_sel_G_ind,I$1,rng_out_mail_ind,$B137,rng_out_ds,$C137,rng_out_sel_sp_ind,$D137,rng_out_sel_excl_ind,$E137)* _xlfn.XLOOKUP([1]Tables!$HN$5,'[1]RA Output'!$AY$4:$AY$5,'[1]RA Output'!AZ$4:AZ$5,0) +
SUMIFS(rng_out_awp_post_yr1, rng_out_sel_G_ind, "G", rng_out_mail_ind, $B137, rng_out_ds, $C137, rng_out_sel_sp_ind, $D137, rng_out_sel_excl_ind,"N", rng_out_post_reb_ind_yr1, 0))/[1]Tables!$AT$4, 0))</f>
        <v>0</v>
      </c>
      <c r="AR137" s="5" cm="1">
        <f t="array" aca="1" ref="AR137" ca="1">IF($E$141="N", IFERROR(IF(OR(input_Shift="No", [1]Tables!$BN$4=1), 0, (SUMIFS(rng_out_awp_post_yr2,rng_out_sel_excl_yr_ind, "",rng_out_sel_G_ind,O$1,rng_out_mail_ind,$B137,rng_out_ds,$C137,rng_out_sel_sp_ind,$D137,rng_out_sel_excl_ind,$E137, rng_out_MSB_excl, $F137)+
SUMIFS(rng_out_awp_post_yr2,rng_out_sel_excl_yr_ind, [1]Tables!$HN$4,rng_out_sel_G_ind,O$1,rng_out_mail_ind,$B137,rng_out_ds,$C137,rng_out_sel_sp_ind,$D137,rng_out_sel_excl_ind,$E137, rng_out_MSB_excl, $F137)*         _xlfn.XLOOKUP([1]Tables!$HN$4,'[1]RA Output'!$AY$4:$AY$5,'[1]RA Output'!BA$4:BA$5,0)  +
SUMIFS(rng_out_awp_post_yr2,rng_out_sel_excl_yr_ind, [1]Tables!$HN$5,rng_out_sel_G_ind,O$1,rng_out_mail_ind,$B137,rng_out_ds,$C137,rng_out_sel_sp_ind,$D137,rng_out_sel_excl_ind,$E137, rng_out_MSB_excl, $F137)* _xlfn.XLOOKUP([1]Tables!$HN$5,'[1]RA Output'!$AY$4:$AY$5,'[1]RA Output'!BA$4:BA$5,0)) * ((1-[1]Tables!$BN$4)/[1]Tables!$BN$4) * [1]Tables!$BN$5)/[1]Tables!$AT$4, 0)
+ IFERROR((SUMIFS(rng_out_awp_post_yr2,rng_out_sel_excl_yr_ind, "",rng_out_sel_G_ind,J$1,rng_out_mail_ind,$B137,rng_out_ds,$C137,rng_out_sel_sp_ind,$D137,rng_out_sel_excl_ind,$E137)+
SUMIFS(rng_out_awp_post_yr2,rng_out_sel_excl_yr_ind, [1]Tables!$HN$4,rng_out_sel_G_ind,J$1,rng_out_mail_ind,$B137,rng_out_ds,$C137,rng_out_sel_sp_ind,$D137,rng_out_sel_excl_ind,$E137)*         _xlfn.XLOOKUP([1]Tables!$HN$4,'[1]RA Output'!$AY$4:$AY$5,'[1]RA Output'!BA$4:BA$5,0)  +
SUMIFS(rng_out_awp_post_yr2,rng_out_sel_excl_yr_ind, [1]Tables!$HN$5,rng_out_sel_G_ind,J$1,rng_out_mail_ind,$B137,rng_out_ds,$C137,rng_out_sel_sp_ind,$D137,rng_out_sel_excl_ind,$E137)* _xlfn.XLOOKUP([1]Tables!$HN$5,'[1]RA Output'!$AY$4:$AY$5,'[1]RA Output'!BA$4:BA$5,0))/[1]Tables!$AT$4, 0),
IFERROR(IF(OR(input_Shift="No", [1]Tables!$BN$4=1), 0, (SUMIFS(rng_out_awp_post_yr2,rng_out_sel_excl_yr_ind, "",rng_out_sel_G_ind,O$1,rng_out_mail_ind,$B137,rng_out_ds,$C137,rng_out_sel_sp_ind,$D137,rng_out_sel_excl_ind,$E137, rng_out_MSB_excl, $F137)+
SUMIFS(rng_out_awp_post_yr2,rng_out_sel_excl_yr_ind, [1]Tables!$HN$4,rng_out_sel_G_ind,O$1,rng_out_mail_ind,$B137,rng_out_ds,$C137,rng_out_sel_sp_ind,$D137,rng_out_sel_excl_ind,$E137, rng_out_MSB_excl, $F137)*         _xlfn.XLOOKUP([1]Tables!$HN$4,'[1]RA Output'!$AY$4:$AY$5,'[1]RA Output'!BA$4:BA$5,0)  +
SUMIFS(rng_out_awp_post_yr2,rng_out_sel_excl_yr_ind, [1]Tables!$HN$5,rng_out_sel_G_ind,O$1,rng_out_mail_ind,$B137,rng_out_ds,$C137,rng_out_sel_sp_ind,$D137,rng_out_sel_excl_ind,$E137, rng_out_MSB_excl, $F137)* _xlfn.XLOOKUP([1]Tables!$HN$5,'[1]RA Output'!$AY$4:$AY$5,'[1]RA Output'!BA$4:BA$5,0) +
SUMIFS(rng_out_awp_post_yr2, rng_out_mail_ind, $B137, rng_out_sel_G_ind, "B", rng_out_ds, $C137, rng_out_sel_sp_ind, $D137, rng_out_sel_excl_ind,"N", rng_out_MSB_excl, $F137, rng_out_post_reb_ind_yr2, 0)) * ((1-[1]Tables!$BN$4)/[1]Tables!$BN$4) * [1]Tables!$BN$5)/[1]Tables!$AT$4, 0) +
IFERROR((SUMIFS(rng_out_awp_post_yr2,rng_out_sel_excl_yr_ind, "",rng_out_sel_G_ind,J$1,rng_out_mail_ind,$B137,rng_out_ds,$C137,rng_out_sel_sp_ind,$D137,rng_out_sel_excl_ind,$E137)+
SUMIFS(rng_out_awp_post_yr2,rng_out_sel_excl_yr_ind, [1]Tables!$HN$4,rng_out_sel_G_ind,J$1,rng_out_mail_ind,$B137,rng_out_ds,$C137,rng_out_sel_sp_ind,$D137,rng_out_sel_excl_ind,$E137)*         _xlfn.XLOOKUP([1]Tables!$HN$4,'[1]RA Output'!$AY$4:$AY$5,'[1]RA Output'!BA$4:BA$5,0)  +
SUMIFS(rng_out_awp_post_yr2,rng_out_sel_excl_yr_ind, [1]Tables!$HN$5,rng_out_sel_G_ind,J$1,rng_out_mail_ind,$B137,rng_out_ds,$C137,rng_out_sel_sp_ind,$D137,rng_out_sel_excl_ind,$E137)* _xlfn.XLOOKUP([1]Tables!$HN$5,'[1]RA Output'!$AY$4:$AY$5,'[1]RA Output'!BA$4:BA$5,0) +
SUMIFS(rng_out_awp_post_yr2, rng_out_sel_G_ind, "G", rng_out_mail_ind, $B137, rng_out_ds, $C137, rng_out_sel_sp_ind, $D137, rng_out_sel_excl_ind,"N", rng_out_post_reb_ind_yr2, 0))/[1]Tables!$AT$4, 0))</f>
        <v>0</v>
      </c>
      <c r="AS137" s="5" cm="1">
        <f t="array" aca="1" ref="AS137" ca="1">IF($E$141="N", IFERROR(IF(OR(input_Shift="No", [1]Tables!$BN$4=1), 0, (SUMIFS(rng_out_awp_post_yr3,rng_out_sel_excl_yr_ind, "",rng_out_sel_G_ind,P$1,rng_out_mail_ind,$B137,rng_out_ds,$C137,rng_out_sel_sp_ind,$D137,rng_out_sel_excl_ind,$E137, rng_out_MSB_excl, $F137)+
SUMIFS(rng_out_awp_post_yr3,rng_out_sel_excl_yr_ind, [1]Tables!$HN$4,rng_out_sel_G_ind,P$1,rng_out_mail_ind,$B137,rng_out_ds,$C137,rng_out_sel_sp_ind,$D137,rng_out_sel_excl_ind,$E137, rng_out_MSB_excl, $F137)*         _xlfn.XLOOKUP([1]Tables!$HN$4,'[1]RA Output'!$AY$4:$AY$5,'[1]RA Output'!BB$4:BB$5,0)  +
SUMIFS(rng_out_awp_post_yr3,rng_out_sel_excl_yr_ind, [1]Tables!$HN$5,rng_out_sel_G_ind,P$1,rng_out_mail_ind,$B137,rng_out_ds,$C137,rng_out_sel_sp_ind,$D137,rng_out_sel_excl_ind,$E137, rng_out_MSB_excl, $F137)* _xlfn.XLOOKUP([1]Tables!$HN$5,'[1]RA Output'!$AY$4:$AY$5,'[1]RA Output'!BB$4:BB$5,0)) * ((1-[1]Tables!$BN$4)/[1]Tables!$BN$4) * [1]Tables!$BN$5)/[1]Tables!$AT$4, 0)
+ IFERROR((SUMIFS(rng_out_awp_post_yr3,rng_out_sel_excl_yr_ind, "",rng_out_sel_G_ind,K$1,rng_out_mail_ind,$B137,rng_out_ds,$C137,rng_out_sel_sp_ind,$D137,rng_out_sel_excl_ind,$E137)+
SUMIFS(rng_out_awp_post_yr3,rng_out_sel_excl_yr_ind, [1]Tables!$HN$4,rng_out_sel_G_ind,K$1,rng_out_mail_ind,$B137,rng_out_ds,$C137,rng_out_sel_sp_ind,$D137,rng_out_sel_excl_ind,$E137)*         _xlfn.XLOOKUP([1]Tables!$HN$4,'[1]RA Output'!$AY$4:$AY$5,'[1]RA Output'!BB$4:BB$5,0)  +
SUMIFS(rng_out_awp_post_yr3,rng_out_sel_excl_yr_ind, [1]Tables!$HN$5,rng_out_sel_G_ind,K$1,rng_out_mail_ind,$B137,rng_out_ds,$C137,rng_out_sel_sp_ind,$D137,rng_out_sel_excl_ind,$E137)* _xlfn.XLOOKUP([1]Tables!$HN$5,'[1]RA Output'!$AY$4:$AY$5,'[1]RA Output'!BB$4:BB$5,0))/[1]Tables!$AT$4, 0),
IFERROR(IF(OR(input_Shift="No", [1]Tables!$BN$4=1), 0, (SUMIFS(rng_out_awp_post_yr3,rng_out_sel_excl_yr_ind, "",rng_out_sel_G_ind,P$1,rng_out_mail_ind,$B137,rng_out_ds,$C137,rng_out_sel_sp_ind,$D137,rng_out_sel_excl_ind,$E137, rng_out_MSB_excl, $F137)+
SUMIFS(rng_out_awp_post_yr3,rng_out_sel_excl_yr_ind, [1]Tables!$HN$4,rng_out_sel_G_ind,P$1,rng_out_mail_ind,$B137,rng_out_ds,$C137,rng_out_sel_sp_ind,$D137,rng_out_sel_excl_ind,$E137, rng_out_MSB_excl, $F137)*         _xlfn.XLOOKUP([1]Tables!$HN$4,'[1]RA Output'!$AY$4:$AY$5,'[1]RA Output'!BB$4:BB$5,0)  +
SUMIFS(rng_out_awp_post_yr3,rng_out_sel_excl_yr_ind, [1]Tables!$HN$5,rng_out_sel_G_ind,P$1,rng_out_mail_ind,$B137,rng_out_ds,$C137,rng_out_sel_sp_ind,$D137,rng_out_sel_excl_ind,$E137, rng_out_MSB_excl, $F137)* _xlfn.XLOOKUP([1]Tables!$HN$5,'[1]RA Output'!$AY$4:$AY$5,'[1]RA Output'!BB$4:BB$5,0) +
SUMIFS(rng_out_awp_post_yr3, rng_out_mail_ind, $B137, rng_out_sel_G_ind, "B", rng_out_ds, $C137, rng_out_sel_sp_ind, $D137, rng_out_sel_excl_ind,"N", rng_out_MSB_excl, $F137, rng_out_post_reb_ind_yr3, 0)) * ((1-[1]Tables!$BN$4)/[1]Tables!$BN$4) * [1]Tables!$BN$5)/[1]Tables!$AT$4, 0) +
IFERROR((SUMIFS(rng_out_awp_post_yr3,rng_out_sel_excl_yr_ind, "",rng_out_sel_G_ind,K$1,rng_out_mail_ind,$B137,rng_out_ds,$C137,rng_out_sel_sp_ind,$D137,rng_out_sel_excl_ind,$E137)+
SUMIFS(rng_out_awp_post_yr3,rng_out_sel_excl_yr_ind, [1]Tables!$HN$4,rng_out_sel_G_ind,K$1,rng_out_mail_ind,$B137,rng_out_ds,$C137,rng_out_sel_sp_ind,$D137,rng_out_sel_excl_ind,$E137)*         _xlfn.XLOOKUP([1]Tables!$HN$4,'[1]RA Output'!$AY$4:$AY$5,'[1]RA Output'!BB$4:BB$5,0)  +
SUMIFS(rng_out_awp_post_yr3,rng_out_sel_excl_yr_ind, [1]Tables!$HN$5,rng_out_sel_G_ind,K$1,rng_out_mail_ind,$B137,rng_out_ds,$C137,rng_out_sel_sp_ind,$D137,rng_out_sel_excl_ind,$E137)* _xlfn.XLOOKUP([1]Tables!$HN$5,'[1]RA Output'!$AY$4:$AY$5,'[1]RA Output'!BB$4:BB$5,0) +
SUMIFS(rng_out_awp_post_yr3, rng_out_sel_G_ind, "G", rng_out_mail_ind, $B137, rng_out_ds, $C137, rng_out_sel_sp_ind, $D137, rng_out_sel_excl_ind,"N", rng_out_post_reb_ind_yr3, 0))/[1]Tables!$AT$4, 0))</f>
        <v>0</v>
      </c>
      <c r="AT137" s="5" cm="1">
        <f t="array" aca="1" ref="AT137" ca="1">IF($E$141="N", IFERROR(IF(OR(input_Shift="No", [1]Tables!$BN$4=1), 0, (SUMIFS(rng_out_awp_post_yr4,rng_out_sel_excl_yr_ind, "",rng_out_sel_G_ind,Q$1,rng_out_mail_ind,$B137,rng_out_ds,$C137,rng_out_sel_sp_ind,$D137,rng_out_sel_excl_ind,$E137, rng_out_MSB_excl, $F137)+
SUMIFS(rng_out_awp_post_yr4,rng_out_sel_excl_yr_ind, [1]Tables!$HN$4,rng_out_sel_G_ind,Q$1,rng_out_mail_ind,$B137,rng_out_ds,$C137,rng_out_sel_sp_ind,$D137,rng_out_sel_excl_ind,$E137, rng_out_MSB_excl, $F137)*         _xlfn.XLOOKUP([1]Tables!$HN$4,'[1]RA Output'!$AY$4:$AY$5,'[1]RA Output'!BC$4:BC$5,0)  +
SUMIFS(rng_out_awp_post_yr4,rng_out_sel_excl_yr_ind, [1]Tables!$HN$5,rng_out_sel_G_ind,Q$1,rng_out_mail_ind,$B137,rng_out_ds,$C137,rng_out_sel_sp_ind,$D137,rng_out_sel_excl_ind,$E137, rng_out_MSB_excl, $F137)* _xlfn.XLOOKUP([1]Tables!$HN$5,'[1]RA Output'!$AY$4:$AY$5,'[1]RA Output'!BC$4:BC$5,0)) * ((1-[1]Tables!$BN$4)/[1]Tables!$BN$4) * [1]Tables!$BN$5)/[1]Tables!$AT$4, 0)
+ IFERROR((SUMIFS(rng_out_awp_post_yr4,rng_out_sel_excl_yr_ind, "",rng_out_sel_G_ind,L$1,rng_out_mail_ind,$B137,rng_out_ds,$C137,rng_out_sel_sp_ind,$D137,rng_out_sel_excl_ind,$E137)+
SUMIFS(rng_out_awp_post_yr4,rng_out_sel_excl_yr_ind, [1]Tables!$HN$4,rng_out_sel_G_ind,L$1,rng_out_mail_ind,$B137,rng_out_ds,$C137,rng_out_sel_sp_ind,$D137,rng_out_sel_excl_ind,$E137)*         _xlfn.XLOOKUP([1]Tables!$HN$4,'[1]RA Output'!$AY$4:$AY$5,'[1]RA Output'!BC$4:BC$5,0)  +
SUMIFS(rng_out_awp_post_yr4,rng_out_sel_excl_yr_ind, [1]Tables!$HN$5,rng_out_sel_G_ind,L$1,rng_out_mail_ind,$B137,rng_out_ds,$C137,rng_out_sel_sp_ind,$D137,rng_out_sel_excl_ind,$E137)* _xlfn.XLOOKUP([1]Tables!$HN$5,'[1]RA Output'!$AY$4:$AY$5,'[1]RA Output'!BC$4:BC$5,0))/[1]Tables!$AT$4, 0),
IFERROR(IF(OR(input_Shift="No", [1]Tables!$BN$4=1), 0, (SUMIFS(rng_out_awp_post_yr4,rng_out_sel_excl_yr_ind, "",rng_out_sel_G_ind,Q$1,rng_out_mail_ind,$B137,rng_out_ds,$C137,rng_out_sel_sp_ind,$D137,rng_out_sel_excl_ind,$E137, rng_out_MSB_excl, $F137)+
SUMIFS(rng_out_awp_post_yr4,rng_out_sel_excl_yr_ind, [1]Tables!$HN$4,rng_out_sel_G_ind,Q$1,rng_out_mail_ind,$B137,rng_out_ds,$C137,rng_out_sel_sp_ind,$D137,rng_out_sel_excl_ind,$E137, rng_out_MSB_excl, $F137)*         _xlfn.XLOOKUP([1]Tables!$HN$4,'[1]RA Output'!$AY$4:$AY$5,'[1]RA Output'!BC$4:BC$5,0)  +
SUMIFS(rng_out_awp_post_yr4,rng_out_sel_excl_yr_ind, [1]Tables!$HN$5,rng_out_sel_G_ind,Q$1,rng_out_mail_ind,$B137,rng_out_ds,$C137,rng_out_sel_sp_ind,$D137,rng_out_sel_excl_ind,$E137, rng_out_MSB_excl, $F137)* _xlfn.XLOOKUP([1]Tables!$HN$5,'[1]RA Output'!$AY$4:$AY$5,'[1]RA Output'!BC$4:BC$5,0) +
SUMIFS(rng_out_awp_post_yr4, rng_out_mail_ind, $B137, rng_out_sel_G_ind, "B", rng_out_ds, $C137, rng_out_sel_sp_ind, $D137, rng_out_sel_excl_ind,"N", rng_out_MSB_excl, $F137, rng_out_post_reb_ind_yr4, 0)) * ((1-[1]Tables!$BN$4)/[1]Tables!$BN$4) * [1]Tables!$BN$5)/[1]Tables!$AT$4, 0) +
IFERROR((SUMIFS(rng_out_awp_post_yr4,rng_out_sel_excl_yr_ind, "",rng_out_sel_G_ind,L$1,rng_out_mail_ind,$B137,rng_out_ds,$C137,rng_out_sel_sp_ind,$D137,rng_out_sel_excl_ind,$E137)+
SUMIFS(rng_out_awp_post_yr4,rng_out_sel_excl_yr_ind, [1]Tables!$HN$4,rng_out_sel_G_ind,L$1,rng_out_mail_ind,$B137,rng_out_ds,$C137,rng_out_sel_sp_ind,$D137,rng_out_sel_excl_ind,$E137)*         _xlfn.XLOOKUP([1]Tables!$HN$4,'[1]RA Output'!$AY$4:$AY$5,'[1]RA Output'!BC$4:BC$5,0)  +
SUMIFS(rng_out_awp_post_yr4,rng_out_sel_excl_yr_ind, [1]Tables!$HN$5,rng_out_sel_G_ind,L$1,rng_out_mail_ind,$B137,rng_out_ds,$C137,rng_out_sel_sp_ind,$D137,rng_out_sel_excl_ind,$E137)* _xlfn.XLOOKUP([1]Tables!$HN$5,'[1]RA Output'!$AY$4:$AY$5,'[1]RA Output'!BC$4:BC$5,0) +
SUMIFS(rng_out_awp_post_yr4, rng_out_sel_G_ind, "G", rng_out_mail_ind, $B137, rng_out_ds, $C137, rng_out_sel_sp_ind, $D137, rng_out_sel_excl_ind,"N", rng_out_post_reb_ind_yr4, 0))/[1]Tables!$AT$4, 0))</f>
        <v>0</v>
      </c>
      <c r="AU137" s="85" cm="1">
        <f t="array" aca="1" ref="AU137" ca="1">IF($E$141="N", IFERROR(IF(OR(input_Shift="No", [1]Tables!$BN$4=1), 0, (SUMIFS(rng_out_awp_post_yr5,rng_out_sel_excl_yr_ind, "",rng_out_sel_G_ind,R$1,rng_out_mail_ind,$B137,rng_out_ds,$C137,rng_out_sel_sp_ind,$D137,rng_out_sel_excl_ind,$E137, rng_out_MSB_excl, $F137)+
SUMIFS(rng_out_awp_post_yr5,rng_out_sel_excl_yr_ind, [1]Tables!$HN$4,rng_out_sel_G_ind,R$1,rng_out_mail_ind,$B137,rng_out_ds,$C137,rng_out_sel_sp_ind,$D137,rng_out_sel_excl_ind,$E137, rng_out_MSB_excl, $F137)*         _xlfn.XLOOKUP([1]Tables!$HN$4,'[1]RA Output'!$AY$4:$AY$5,'[1]RA Output'!BD$4:BD$5,0)  +
SUMIFS(rng_out_awp_post_yr5,rng_out_sel_excl_yr_ind, [1]Tables!$HN$5,rng_out_sel_G_ind,R$1,rng_out_mail_ind,$B137,rng_out_ds,$C137,rng_out_sel_sp_ind,$D137,rng_out_sel_excl_ind,$E137, rng_out_MSB_excl, $F137)* _xlfn.XLOOKUP([1]Tables!$HN$5,'[1]RA Output'!$AY$4:$AY$5,'[1]RA Output'!BD$4:BD$5,0)) * ((1-[1]Tables!$BN$4)/[1]Tables!$BN$4) * [1]Tables!$BN$5)/[1]Tables!$AT$4, 0)
+ IFERROR((SUMIFS(rng_out_awp_post_yr5,rng_out_sel_excl_yr_ind, "",rng_out_sel_G_ind,M$1,rng_out_mail_ind,$B137,rng_out_ds,$C137,rng_out_sel_sp_ind,$D137,rng_out_sel_excl_ind,$E137)+
SUMIFS(rng_out_awp_post_yr5,rng_out_sel_excl_yr_ind, [1]Tables!$HN$4,rng_out_sel_G_ind,M$1,rng_out_mail_ind,$B137,rng_out_ds,$C137,rng_out_sel_sp_ind,$D137,rng_out_sel_excl_ind,$E137)*         _xlfn.XLOOKUP([1]Tables!$HN$4,'[1]RA Output'!$AY$4:$AY$5,'[1]RA Output'!BD$4:BD$5,0)  +
SUMIFS(rng_out_awp_post_yr5,rng_out_sel_excl_yr_ind, [1]Tables!$HN$5,rng_out_sel_G_ind,M$1,rng_out_mail_ind,$B137,rng_out_ds,$C137,rng_out_sel_sp_ind,$D137,rng_out_sel_excl_ind,$E137)* _xlfn.XLOOKUP([1]Tables!$HN$5,'[1]RA Output'!$AY$4:$AY$5,'[1]RA Output'!BD$4:BD$5,0))/[1]Tables!$AT$4, 0),
IFERROR(IF(OR(input_Shift="No", [1]Tables!$BN$4=1), 0, (SUMIFS(rng_out_awp_post_yr5,rng_out_sel_excl_yr_ind, "",rng_out_sel_G_ind,R$1,rng_out_mail_ind,$B137,rng_out_ds,$C137,rng_out_sel_sp_ind,$D137,rng_out_sel_excl_ind,$E137, rng_out_MSB_excl, $F137)+
SUMIFS(rng_out_awp_post_yr5,rng_out_sel_excl_yr_ind, [1]Tables!$HN$4,rng_out_sel_G_ind,R$1,rng_out_mail_ind,$B137,rng_out_ds,$C137,rng_out_sel_sp_ind,$D137,rng_out_sel_excl_ind,$E137, rng_out_MSB_excl, $F137)*         _xlfn.XLOOKUP([1]Tables!$HN$4,'[1]RA Output'!$AY$4:$AY$5,'[1]RA Output'!BD$4:BD$5,0)  +
SUMIFS(rng_out_awp_post_yr5,rng_out_sel_excl_yr_ind, [1]Tables!$HN$5,rng_out_sel_G_ind,R$1,rng_out_mail_ind,$B137,rng_out_ds,$C137,rng_out_sel_sp_ind,$D137,rng_out_sel_excl_ind,$E137, rng_out_MSB_excl, $F137)* _xlfn.XLOOKUP([1]Tables!$HN$5,'[1]RA Output'!$AY$4:$AY$5,'[1]RA Output'!BD$4:BD$5,0) +
SUMIFS(rng_out_awp_post_yr5, rng_out_mail_ind, $B137, rng_out_sel_G_ind, "B", rng_out_ds, $C137, rng_out_sel_sp_ind, $D137, rng_out_sel_excl_ind,"N", rng_out_MSB_excl, $F137, rng_out_post_reb_ind_yr5, 0)) * ((1-[1]Tables!$BN$4)/[1]Tables!$BN$4) * [1]Tables!$BN$5)/[1]Tables!$AT$4, 0) +
IFERROR((SUMIFS(rng_out_awp_post_yr5,rng_out_sel_excl_yr_ind, "",rng_out_sel_G_ind,M$1,rng_out_mail_ind,$B137,rng_out_ds,$C137,rng_out_sel_sp_ind,$D137,rng_out_sel_excl_ind,$E137)+
SUMIFS(rng_out_awp_post_yr5,rng_out_sel_excl_yr_ind, [1]Tables!$HN$4,rng_out_sel_G_ind,M$1,rng_out_mail_ind,$B137,rng_out_ds,$C137,rng_out_sel_sp_ind,$D137,rng_out_sel_excl_ind,$E137)*         _xlfn.XLOOKUP([1]Tables!$HN$4,'[1]RA Output'!$AY$4:$AY$5,'[1]RA Output'!BD$4:BD$5,0)  +
SUMIFS(rng_out_awp_post_yr5,rng_out_sel_excl_yr_ind, [1]Tables!$HN$5,rng_out_sel_G_ind,M$1,rng_out_mail_ind,$B137,rng_out_ds,$C137,rng_out_sel_sp_ind,$D137,rng_out_sel_excl_ind,$E137)* _xlfn.XLOOKUP([1]Tables!$HN$5,'[1]RA Output'!$AY$4:$AY$5,'[1]RA Output'!BD$4:BD$5,0) +
SUMIFS(rng_out_awp_post_yr5, rng_out_sel_G_ind, "G", rng_out_mail_ind, $B137, rng_out_ds, $C137, rng_out_sel_sp_ind, $D137, rng_out_sel_excl_ind,"N", rng_out_post_reb_ind_yr5, 0))/[1]Tables!$AT$4, 0))</f>
        <v>0</v>
      </c>
      <c r="AV137" s="86">
        <f t="shared" ref="AV137:AZ141" ca="1" si="138">IFERROR(AQ137/AQ108, 0)</f>
        <v>0</v>
      </c>
      <c r="AW137" s="75">
        <f t="shared" ca="1" si="138"/>
        <v>0</v>
      </c>
      <c r="AX137" s="75">
        <f t="shared" ca="1" si="138"/>
        <v>0</v>
      </c>
      <c r="AY137" s="75">
        <f t="shared" ca="1" si="138"/>
        <v>0</v>
      </c>
      <c r="AZ137" s="87">
        <f t="shared" ca="1" si="138"/>
        <v>0</v>
      </c>
      <c r="BG137" s="88" t="s">
        <v>14</v>
      </c>
      <c r="BH137" s="97">
        <f t="shared" ref="BH137:BL140" ca="1" si="139">AQ137</f>
        <v>0</v>
      </c>
      <c r="BI137" s="79">
        <f t="shared" ca="1" si="139"/>
        <v>0</v>
      </c>
      <c r="BJ137" s="79">
        <f t="shared" ca="1" si="139"/>
        <v>0</v>
      </c>
      <c r="BK137" s="79">
        <f t="shared" ca="1" si="139"/>
        <v>0</v>
      </c>
      <c r="BL137" s="98">
        <f t="shared" ca="1" si="139"/>
        <v>0</v>
      </c>
      <c r="BM137" s="92">
        <f t="shared" ref="BM137:BQ141" ca="1" si="140">IFERROR(BH137/BH108, 0)</f>
        <v>0</v>
      </c>
      <c r="BN137" s="75">
        <f t="shared" ca="1" si="140"/>
        <v>0</v>
      </c>
      <c r="BO137" s="75">
        <f t="shared" ca="1" si="140"/>
        <v>0</v>
      </c>
      <c r="BP137" s="75">
        <f t="shared" ca="1" si="140"/>
        <v>0</v>
      </c>
      <c r="BQ137" s="93">
        <f t="shared" ca="1" si="140"/>
        <v>0</v>
      </c>
      <c r="BX137" s="88" t="s">
        <v>14</v>
      </c>
      <c r="BY137" s="97" t="e">
        <f t="shared" ref="BY137:CC140" ca="1" si="141">CD137*BY108</f>
        <v>#VALUE!</v>
      </c>
      <c r="BZ137" s="79" t="e">
        <f t="shared" ca="1" si="141"/>
        <v>#VALUE!</v>
      </c>
      <c r="CA137" s="79" t="e">
        <f t="shared" ca="1" si="141"/>
        <v>#VALUE!</v>
      </c>
      <c r="CB137" s="79" t="e">
        <f t="shared" ca="1" si="141"/>
        <v>#VALUE!</v>
      </c>
      <c r="CC137" s="98" t="e">
        <f t="shared" ca="1" si="141"/>
        <v>#VALUE!</v>
      </c>
      <c r="CD137" s="92">
        <f t="shared" ref="CD137:CH140" ca="1" si="142">BM137</f>
        <v>0</v>
      </c>
      <c r="CE137" s="75">
        <f t="shared" ca="1" si="142"/>
        <v>0</v>
      </c>
      <c r="CF137" s="75">
        <f t="shared" ca="1" si="142"/>
        <v>0</v>
      </c>
      <c r="CG137" s="75">
        <f t="shared" ca="1" si="142"/>
        <v>0</v>
      </c>
      <c r="CH137" s="93">
        <f t="shared" ca="1" si="142"/>
        <v>0</v>
      </c>
      <c r="CO137" s="215" cm="1">
        <f t="array" aca="1" ref="CO137" ca="1">_xlfn.SINGLE(IFERROR(SUMIFS(rng_out_awp_base, rng_out_sel_G_ind, "G", rng_out_mail_ind, $B137, rng_out_ds, $C137, rng_out_sel_sp_ind, $D137, rng_out_sel_excl_ind,"Y")/[1]Tables!$AT$4, 0))</f>
        <v>0</v>
      </c>
      <c r="CP137" s="217" cm="1">
        <f t="array" aca="1" ref="CP137" ca="1">_xlfn.SINGLE(IFERROR(SUMIFS(rng_out_awp_base, rng_out_sel_G_ind, "B", rng_out_mail_ind, $B137, rng_out_ds, $C137, rng_out_sel_sp_ind, $D137, rng_out_sel_excl_ind,"Y")/[1]Tables!$AT$4, 0))</f>
        <v>0</v>
      </c>
      <c r="CQ137" s="218">
        <f ca="1">SUM(CO137:CP137)</f>
        <v>0</v>
      </c>
      <c r="CR137" s="94">
        <f t="shared" ref="CR137:CT141" ca="1" si="143">IFERROR(CO137/CO108, 0)</f>
        <v>0</v>
      </c>
      <c r="CS137" s="96">
        <f t="shared" ca="1" si="143"/>
        <v>0</v>
      </c>
      <c r="CT137" s="357">
        <f t="shared" ca="1" si="143"/>
        <v>0</v>
      </c>
    </row>
    <row r="138" spans="1:111" x14ac:dyDescent="0.35">
      <c r="B138" s="105" t="s">
        <v>11</v>
      </c>
      <c r="C138" s="106">
        <v>90</v>
      </c>
      <c r="D138" s="106" t="s">
        <v>12</v>
      </c>
      <c r="E138" s="107" t="s">
        <v>13</v>
      </c>
      <c r="F138" s="106">
        <v>1</v>
      </c>
      <c r="H138" s="108" t="s">
        <v>15</v>
      </c>
      <c r="I138" s="72" t="e" cm="1">
        <f t="array" aca="1" ref="I138" ca="1">SUMIFS(rng_out_awp_pre_yr1,rng_out_sel_excl_yr_ind, "",rng_out_sel_G_ind,I$1,rng_out_mail_ind,$B109,rng_out_ds,$C109,rng_out_sel_sp_ind,$D109,rng_out_sel_excl_ind,$E138)+
SUMIFS(rng_out_awp_pre_yr1,rng_out_sel_excl_yr_ind, [1]Tables!$HN$4,rng_out_sel_G_ind,I$1,rng_out_mail_ind,$B109,rng_out_ds,$C109,rng_out_sel_sp_ind,$D109,rng_out_sel_excl_ind,$E138)*         _xlfn.XLOOKUP([1]Tables!$HN$4,'[1]RA Output'!$AY$4:$AY$5,'[1]RA Output'!AZ$4:AZ$5,0)  +
SUMIFS(rng_out_awp_pre_yr1,rng_out_sel_excl_yr_ind, [1]Tables!$HN$5,rng_out_sel_G_ind,I$1,rng_out_mail_ind,$B109,rng_out_ds,$C109,rng_out_sel_sp_ind,$D109,rng_out_sel_excl_ind,$E138)* _xlfn.XLOOKUP([1]Tables!$HN$5,'[1]RA Output'!$AY$4:$AY$5,'[1]RA Output'!AZ$4:AZ$5,0)+
IF($E$141="Y", SUMIFS(rng_out_awp_pre_yr1, rng_out_sel_G_ind, "G", rng_out_mail_ind, $B138, rng_out_ds, $C138, rng_out_sel_sp_ind, $D138, rng_out_sel_excl_ind,"N", rng_out_post_reb_ind_yr1, 0), 0)</f>
        <v>#VALUE!</v>
      </c>
      <c r="J138" s="5" t="e" cm="1">
        <f t="array" aca="1" ref="J138" ca="1">SUMIFS(rng_out_awp_pre_yr2,rng_out_sel_excl_yr_ind, "",rng_out_sel_G_ind,J$1,rng_out_mail_ind,$B109,rng_out_ds,$C109,rng_out_sel_sp_ind,$D109,rng_out_sel_excl_ind,$E138)+
SUMIFS(rng_out_awp_pre_yr2,rng_out_sel_excl_yr_ind, [1]Tables!$HN$4,rng_out_sel_G_ind,J$1,rng_out_mail_ind,$B109,rng_out_ds,$C109,rng_out_sel_sp_ind,$D109,rng_out_sel_excl_ind,$E138)*         _xlfn.XLOOKUP([1]Tables!$HN$4,'[1]RA Output'!$AY$4:$AY$5,'[1]RA Output'!BA$4:BA$5,0)  +
SUMIFS(rng_out_awp_pre_yr2,rng_out_sel_excl_yr_ind, [1]Tables!$HN$5,rng_out_sel_G_ind,J$1,rng_out_mail_ind,$B109,rng_out_ds,$C109,rng_out_sel_sp_ind,$D109,rng_out_sel_excl_ind,$E138)* _xlfn.XLOOKUP([1]Tables!$HN$5,'[1]RA Output'!$AY$4:$AY$5,'[1]RA Output'!BA$4:BA$5,0)+
IF($E$141="Y", SUMIFS(rng_out_awp_pre_yr2, rng_out_sel_G_ind, "G", rng_out_mail_ind, $B138, rng_out_ds, $C138, rng_out_sel_sp_ind, $D138, rng_out_sel_excl_ind,"N", rng_out_post_reb_ind_yr2, 0), 0)</f>
        <v>#VALUE!</v>
      </c>
      <c r="K138" s="5" t="e" cm="1">
        <f t="array" aca="1" ref="K138" ca="1">SUMIFS(rng_out_awp_pre_yr3,rng_out_sel_excl_yr_ind, "",rng_out_sel_G_ind,K$1,rng_out_mail_ind,$B109,rng_out_ds,$C109,rng_out_sel_sp_ind,$D109,rng_out_sel_excl_ind,$E138)+
SUMIFS(rng_out_awp_pre_yr3,rng_out_sel_excl_yr_ind, [1]Tables!$HN$4,rng_out_sel_G_ind,K$1,rng_out_mail_ind,$B109,rng_out_ds,$C109,rng_out_sel_sp_ind,$D109,rng_out_sel_excl_ind,$E138)*         _xlfn.XLOOKUP([1]Tables!$HN$4,'[1]RA Output'!$AY$4:$AY$5,'[1]RA Output'!BB$4:BB$5,0)  +
SUMIFS(rng_out_awp_pre_yr3,rng_out_sel_excl_yr_ind, [1]Tables!$HN$5,rng_out_sel_G_ind,K$1,rng_out_mail_ind,$B109,rng_out_ds,$C109,rng_out_sel_sp_ind,$D109,rng_out_sel_excl_ind,$E138)* _xlfn.XLOOKUP([1]Tables!$HN$5,'[1]RA Output'!$AY$4:$AY$5,'[1]RA Output'!BB$4:BB$5,0)+
IF($E$141="Y", SUMIFS(rng_out_awp_pre_yr3, rng_out_sel_G_ind, "G", rng_out_mail_ind, $B138, rng_out_ds, $C138, rng_out_sel_sp_ind, $D138, rng_out_sel_excl_ind,"N", rng_out_post_reb_ind_yr3, 0), 0)</f>
        <v>#VALUE!</v>
      </c>
      <c r="L138" s="5" t="e" cm="1">
        <f t="array" aca="1" ref="L138" ca="1">SUMIFS(rng_out_awp_pre_yr4,rng_out_sel_excl_yr_ind, "",rng_out_sel_G_ind,L$1,rng_out_mail_ind,$B109,rng_out_ds,$C109,rng_out_sel_sp_ind,$D109,rng_out_sel_excl_ind,$E138)+
SUMIFS(rng_out_awp_pre_yr4,rng_out_sel_excl_yr_ind, [1]Tables!$HN$4,rng_out_sel_G_ind,L$1,rng_out_mail_ind,$B109,rng_out_ds,$C109,rng_out_sel_sp_ind,$D109,rng_out_sel_excl_ind,$E138)*         _xlfn.XLOOKUP([1]Tables!$HN$4,'[1]RA Output'!$AY$4:$AY$5,'[1]RA Output'!BC$4:BC$5,0)  +
SUMIFS(rng_out_awp_pre_yr4,rng_out_sel_excl_yr_ind, [1]Tables!$HN$5,rng_out_sel_G_ind,L$1,rng_out_mail_ind,$B109,rng_out_ds,$C109,rng_out_sel_sp_ind,$D109,rng_out_sel_excl_ind,$E138)* _xlfn.XLOOKUP([1]Tables!$HN$5,'[1]RA Output'!$AY$4:$AY$5,'[1]RA Output'!BC$4:BC$5,0)+
IF($E$141="Y", SUMIFS(rng_out_awp_pre_yr4, rng_out_sel_G_ind, "G", rng_out_mail_ind, $B138, rng_out_ds, $C138, rng_out_sel_sp_ind, $D138, rng_out_sel_excl_ind,"N", rng_out_post_reb_ind_yr4, 0), 0)</f>
        <v>#VALUE!</v>
      </c>
      <c r="M138" s="73" t="e" cm="1">
        <f t="array" aca="1" ref="M138" ca="1">SUMIFS(rng_out_awp_pre_yr5,rng_out_sel_excl_yr_ind, "",rng_out_sel_G_ind,M$1,rng_out_mail_ind,$B109,rng_out_ds,$C109,rng_out_sel_sp_ind,$D109,rng_out_sel_excl_ind,$E138)+
SUMIFS(rng_out_awp_pre_yr5,rng_out_sel_excl_yr_ind, [1]Tables!$HN$4,rng_out_sel_G_ind,M$1,rng_out_mail_ind,$B109,rng_out_ds,$C109,rng_out_sel_sp_ind,$D109,rng_out_sel_excl_ind,$E138)*         _xlfn.XLOOKUP([1]Tables!$HN$4,'[1]RA Output'!$AY$4:$AY$5,'[1]RA Output'!BD$4:BD$5,0)  +
SUMIFS(rng_out_awp_pre_yr5,rng_out_sel_excl_yr_ind, [1]Tables!$HN$5,rng_out_sel_G_ind,M$1,rng_out_mail_ind,$B109,rng_out_ds,$C109,rng_out_sel_sp_ind,$D109,rng_out_sel_excl_ind,$E138)* _xlfn.XLOOKUP([1]Tables!$HN$5,'[1]RA Output'!$AY$4:$AY$5,'[1]RA Output'!BD$4:BD$5,0)+
IF($E$141="Y", SUMIFS(rng_out_awp_pre_yr5, rng_out_sel_G_ind, "G", rng_out_mail_ind, $B138, rng_out_ds, $C138, rng_out_sel_sp_ind, $D138, rng_out_sel_excl_ind,"N", rng_out_post_reb_ind_yr5, 0), 0)</f>
        <v>#VALUE!</v>
      </c>
      <c r="N138" s="74">
        <f t="shared" ca="1" si="136"/>
        <v>0</v>
      </c>
      <c r="O138" s="75">
        <f t="shared" ca="1" si="136"/>
        <v>0</v>
      </c>
      <c r="P138" s="75">
        <f t="shared" ca="1" si="136"/>
        <v>0</v>
      </c>
      <c r="Q138" s="75">
        <f t="shared" ca="1" si="136"/>
        <v>0</v>
      </c>
      <c r="R138" s="76">
        <f t="shared" ca="1" si="136"/>
        <v>0</v>
      </c>
      <c r="Y138" s="109" t="s">
        <v>15</v>
      </c>
      <c r="Z138" s="78">
        <f ca="1">IFERROR(I138/[1]Tables!$AT$4, 0)</f>
        <v>0</v>
      </c>
      <c r="AA138" s="79">
        <f ca="1">IFERROR(J138/[1]Tables!$AT$4, 0)</f>
        <v>0</v>
      </c>
      <c r="AB138" s="79">
        <f ca="1">IFERROR(K138/[1]Tables!$AT$4, 0)</f>
        <v>0</v>
      </c>
      <c r="AC138" s="79">
        <f ca="1">IFERROR(L138/[1]Tables!$AT$4, 0)</f>
        <v>0</v>
      </c>
      <c r="AD138" s="80">
        <f ca="1">IFERROR(M138/[1]Tables!$AT$4, 0)</f>
        <v>0</v>
      </c>
      <c r="AE138" s="81">
        <f t="shared" ca="1" si="137"/>
        <v>0</v>
      </c>
      <c r="AF138" s="75">
        <f t="shared" ca="1" si="137"/>
        <v>0</v>
      </c>
      <c r="AG138" s="75">
        <f t="shared" ca="1" si="137"/>
        <v>0</v>
      </c>
      <c r="AH138" s="75">
        <f t="shared" ca="1" si="137"/>
        <v>0</v>
      </c>
      <c r="AI138" s="82">
        <f t="shared" ca="1" si="137"/>
        <v>0</v>
      </c>
      <c r="AP138" s="110" t="s">
        <v>15</v>
      </c>
      <c r="AQ138" s="356" cm="1">
        <f t="array" aca="1" ref="AQ138" ca="1">IF($E$141="N", IFERROR(IF(OR(input_Shift="No", [1]Tables!$BN$4=1), 0, (SUMIFS(rng_out_awp_post_yr1,rng_out_sel_excl_yr_ind, "",rng_out_sel_G_ind,N$1,rng_out_mail_ind,$B138,rng_out_ds,$C138,rng_out_sel_sp_ind,$D138,rng_out_sel_excl_ind,$E138, rng_out_MSB_excl, $F138)+
SUMIFS(rng_out_awp_post_yr1,rng_out_sel_excl_yr_ind, [1]Tables!$HN$4,rng_out_sel_G_ind,N$1,rng_out_mail_ind,$B138,rng_out_ds,$C138,rng_out_sel_sp_ind,$D138,rng_out_sel_excl_ind,$E138, rng_out_MSB_excl, $F138)*         _xlfn.XLOOKUP([1]Tables!$HN$4,'[1]RA Output'!$AY$4:$AY$5,'[1]RA Output'!AZ$4:AZ$5,0)  +
SUMIFS(rng_out_awp_post_yr1,rng_out_sel_excl_yr_ind, [1]Tables!$HN$5,rng_out_sel_G_ind,N$1,rng_out_mail_ind,$B138,rng_out_ds,$C138,rng_out_sel_sp_ind,$D138,rng_out_sel_excl_ind,$E138, rng_out_MSB_excl, $F138)* _xlfn.XLOOKUP([1]Tables!$HN$5,'[1]RA Output'!$AY$4:$AY$5,'[1]RA Output'!AZ$4:AZ$5,0)) * ((1-[1]Tables!$BN$4)/[1]Tables!$BN$4) * [1]Tables!$BN$5)/[1]Tables!$AT$4, 0)
+ IFERROR((SUMIFS(rng_out_awp_post_yr1,rng_out_sel_excl_yr_ind, "",rng_out_sel_G_ind,I$1,rng_out_mail_ind,$B138,rng_out_ds,$C138,rng_out_sel_sp_ind,$D138,rng_out_sel_excl_ind,$E138)+
SUMIFS(rng_out_awp_post_yr1,rng_out_sel_excl_yr_ind, [1]Tables!$HN$4,rng_out_sel_G_ind,I$1,rng_out_mail_ind,$B138,rng_out_ds,$C138,rng_out_sel_sp_ind,$D138,rng_out_sel_excl_ind,$E138)*         _xlfn.XLOOKUP([1]Tables!$HN$4,'[1]RA Output'!$AY$4:$AY$5,'[1]RA Output'!AZ$4:AZ$5,0)  +
SUMIFS(rng_out_awp_post_yr1,rng_out_sel_excl_yr_ind, [1]Tables!$HN$5,rng_out_sel_G_ind,I$1,rng_out_mail_ind,$B138,rng_out_ds,$C138,rng_out_sel_sp_ind,$D138,rng_out_sel_excl_ind,$E138)* _xlfn.XLOOKUP([1]Tables!$HN$5,'[1]RA Output'!$AY$4:$AY$5,'[1]RA Output'!AZ$4:AZ$5,0))/[1]Tables!$AT$4, 0),
IFERROR(IF(OR(input_Shift="No", [1]Tables!$BN$4=1), 0, (SUMIFS(rng_out_awp_post_yr1,rng_out_sel_excl_yr_ind, "",rng_out_sel_G_ind,N$1,rng_out_mail_ind,$B138,rng_out_ds,$C138,rng_out_sel_sp_ind,$D138,rng_out_sel_excl_ind,$E138, rng_out_MSB_excl, $F138)+
SUMIFS(rng_out_awp_post_yr1,rng_out_sel_excl_yr_ind, [1]Tables!$HN$4,rng_out_sel_G_ind,N$1,rng_out_mail_ind,$B138,rng_out_ds,$C138,rng_out_sel_sp_ind,$D138,rng_out_sel_excl_ind,$E138, rng_out_MSB_excl, $F138)*         _xlfn.XLOOKUP([1]Tables!$HN$4,'[1]RA Output'!$AY$4:$AY$5,'[1]RA Output'!AZ$4:AZ$5,0)  +
SUMIFS(rng_out_awp_post_yr1,rng_out_sel_excl_yr_ind, [1]Tables!$HN$5,rng_out_sel_G_ind,N$1,rng_out_mail_ind,$B138,rng_out_ds,$C138,rng_out_sel_sp_ind,$D138,rng_out_sel_excl_ind,$E138, rng_out_MSB_excl, $F138)* _xlfn.XLOOKUP([1]Tables!$HN$5,'[1]RA Output'!$AY$4:$AY$5,'[1]RA Output'!AZ$4:AZ$5,0) +
SUMIFS(rng_out_awp_post_yr1, rng_out_mail_ind, $B138, rng_out_sel_G_ind, "B", rng_out_ds, $C138, rng_out_sel_sp_ind, $D138, rng_out_sel_excl_ind,"N", rng_out_MSB_excl, $F138, rng_out_post_reb_ind_yr1, 0)) * ((1-[1]Tables!$BN$4)/[1]Tables!$BN$4) * [1]Tables!$BN$5)/[1]Tables!$AT$4, 0) +
IFERROR((SUMIFS(rng_out_awp_post_yr1,rng_out_sel_excl_yr_ind, "",rng_out_sel_G_ind,I$1,rng_out_mail_ind,$B138,rng_out_ds,$C138,rng_out_sel_sp_ind,$D138,rng_out_sel_excl_ind,$E138)+
SUMIFS(rng_out_awp_post_yr1,rng_out_sel_excl_yr_ind, [1]Tables!$HN$4,rng_out_sel_G_ind,I$1,rng_out_mail_ind,$B138,rng_out_ds,$C138,rng_out_sel_sp_ind,$D138,rng_out_sel_excl_ind,$E138)*         _xlfn.XLOOKUP([1]Tables!$HN$4,'[1]RA Output'!$AY$4:$AY$5,'[1]RA Output'!AZ$4:AZ$5,0)  +
SUMIFS(rng_out_awp_post_yr1,rng_out_sel_excl_yr_ind, [1]Tables!$HN$5,rng_out_sel_G_ind,I$1,rng_out_mail_ind,$B138,rng_out_ds,$C138,rng_out_sel_sp_ind,$D138,rng_out_sel_excl_ind,$E138)* _xlfn.XLOOKUP([1]Tables!$HN$5,'[1]RA Output'!$AY$4:$AY$5,'[1]RA Output'!AZ$4:AZ$5,0) +
SUMIFS(rng_out_awp_post_yr1, rng_out_sel_G_ind, "G", rng_out_mail_ind, $B138, rng_out_ds, $C138, rng_out_sel_sp_ind, $D138, rng_out_sel_excl_ind,"N", rng_out_post_reb_ind_yr1, 0))/[1]Tables!$AT$4, 0))</f>
        <v>0</v>
      </c>
      <c r="AR138" s="5" cm="1">
        <f t="array" aca="1" ref="AR138" ca="1">IF($E$141="N", IFERROR(IF(OR(input_Shift="No", [1]Tables!$BN$4=1), 0, (SUMIFS(rng_out_awp_post_yr2,rng_out_sel_excl_yr_ind, "",rng_out_sel_G_ind,O$1,rng_out_mail_ind,$B138,rng_out_ds,$C138,rng_out_sel_sp_ind,$D138,rng_out_sel_excl_ind,$E138, rng_out_MSB_excl, $F138)+
SUMIFS(rng_out_awp_post_yr2,rng_out_sel_excl_yr_ind, [1]Tables!$HN$4,rng_out_sel_G_ind,O$1,rng_out_mail_ind,$B138,rng_out_ds,$C138,rng_out_sel_sp_ind,$D138,rng_out_sel_excl_ind,$E138, rng_out_MSB_excl, $F138)*         _xlfn.XLOOKUP([1]Tables!$HN$4,'[1]RA Output'!$AY$4:$AY$5,'[1]RA Output'!BA$4:BA$5,0)  +
SUMIFS(rng_out_awp_post_yr2,rng_out_sel_excl_yr_ind, [1]Tables!$HN$5,rng_out_sel_G_ind,O$1,rng_out_mail_ind,$B138,rng_out_ds,$C138,rng_out_sel_sp_ind,$D138,rng_out_sel_excl_ind,$E138, rng_out_MSB_excl, $F138)* _xlfn.XLOOKUP([1]Tables!$HN$5,'[1]RA Output'!$AY$4:$AY$5,'[1]RA Output'!BA$4:BA$5,0)) * ((1-[1]Tables!$BN$4)/[1]Tables!$BN$4) * [1]Tables!$BN$5)/[1]Tables!$AT$4, 0)
+ IFERROR((SUMIFS(rng_out_awp_post_yr2,rng_out_sel_excl_yr_ind, "",rng_out_sel_G_ind,J$1,rng_out_mail_ind,$B138,rng_out_ds,$C138,rng_out_sel_sp_ind,$D138,rng_out_sel_excl_ind,$E138)+
SUMIFS(rng_out_awp_post_yr2,rng_out_sel_excl_yr_ind, [1]Tables!$HN$4,rng_out_sel_G_ind,J$1,rng_out_mail_ind,$B138,rng_out_ds,$C138,rng_out_sel_sp_ind,$D138,rng_out_sel_excl_ind,$E138)*         _xlfn.XLOOKUP([1]Tables!$HN$4,'[1]RA Output'!$AY$4:$AY$5,'[1]RA Output'!BA$4:BA$5,0)  +
SUMIFS(rng_out_awp_post_yr2,rng_out_sel_excl_yr_ind, [1]Tables!$HN$5,rng_out_sel_G_ind,J$1,rng_out_mail_ind,$B138,rng_out_ds,$C138,rng_out_sel_sp_ind,$D138,rng_out_sel_excl_ind,$E138)* _xlfn.XLOOKUP([1]Tables!$HN$5,'[1]RA Output'!$AY$4:$AY$5,'[1]RA Output'!BA$4:BA$5,0))/[1]Tables!$AT$4, 0),
IFERROR(IF(OR(input_Shift="No", [1]Tables!$BN$4=1), 0, (SUMIFS(rng_out_awp_post_yr2,rng_out_sel_excl_yr_ind, "",rng_out_sel_G_ind,O$1,rng_out_mail_ind,$B138,rng_out_ds,$C138,rng_out_sel_sp_ind,$D138,rng_out_sel_excl_ind,$E138, rng_out_MSB_excl, $F138)+
SUMIFS(rng_out_awp_post_yr2,rng_out_sel_excl_yr_ind, [1]Tables!$HN$4,rng_out_sel_G_ind,O$1,rng_out_mail_ind,$B138,rng_out_ds,$C138,rng_out_sel_sp_ind,$D138,rng_out_sel_excl_ind,$E138, rng_out_MSB_excl, $F138)*         _xlfn.XLOOKUP([1]Tables!$HN$4,'[1]RA Output'!$AY$4:$AY$5,'[1]RA Output'!BA$4:BA$5,0)  +
SUMIFS(rng_out_awp_post_yr2,rng_out_sel_excl_yr_ind, [1]Tables!$HN$5,rng_out_sel_G_ind,O$1,rng_out_mail_ind,$B138,rng_out_ds,$C138,rng_out_sel_sp_ind,$D138,rng_out_sel_excl_ind,$E138, rng_out_MSB_excl, $F138)* _xlfn.XLOOKUP([1]Tables!$HN$5,'[1]RA Output'!$AY$4:$AY$5,'[1]RA Output'!BA$4:BA$5,0) +
SUMIFS(rng_out_awp_post_yr2, rng_out_mail_ind, $B138, rng_out_sel_G_ind, "B", rng_out_ds, $C138, rng_out_sel_sp_ind, $D138, rng_out_sel_excl_ind,"N", rng_out_MSB_excl, $F138, rng_out_post_reb_ind_yr2, 0)) * ((1-[1]Tables!$BN$4)/[1]Tables!$BN$4) * [1]Tables!$BN$5)/[1]Tables!$AT$4, 0) +
IFERROR((SUMIFS(rng_out_awp_post_yr2,rng_out_sel_excl_yr_ind, "",rng_out_sel_G_ind,J$1,rng_out_mail_ind,$B138,rng_out_ds,$C138,rng_out_sel_sp_ind,$D138,rng_out_sel_excl_ind,$E138)+
SUMIFS(rng_out_awp_post_yr2,rng_out_sel_excl_yr_ind, [1]Tables!$HN$4,rng_out_sel_G_ind,J$1,rng_out_mail_ind,$B138,rng_out_ds,$C138,rng_out_sel_sp_ind,$D138,rng_out_sel_excl_ind,$E138)*         _xlfn.XLOOKUP([1]Tables!$HN$4,'[1]RA Output'!$AY$4:$AY$5,'[1]RA Output'!BA$4:BA$5,0)  +
SUMIFS(rng_out_awp_post_yr2,rng_out_sel_excl_yr_ind, [1]Tables!$HN$5,rng_out_sel_G_ind,J$1,rng_out_mail_ind,$B138,rng_out_ds,$C138,rng_out_sel_sp_ind,$D138,rng_out_sel_excl_ind,$E138)* _xlfn.XLOOKUP([1]Tables!$HN$5,'[1]RA Output'!$AY$4:$AY$5,'[1]RA Output'!BA$4:BA$5,0) +
SUMIFS(rng_out_awp_post_yr2, rng_out_sel_G_ind, "G", rng_out_mail_ind, $B138, rng_out_ds, $C138, rng_out_sel_sp_ind, $D138, rng_out_sel_excl_ind,"N", rng_out_post_reb_ind_yr2, 0))/[1]Tables!$AT$4, 0))</f>
        <v>0</v>
      </c>
      <c r="AS138" s="5" cm="1">
        <f t="array" aca="1" ref="AS138" ca="1">IF($E$141="N", IFERROR(IF(OR(input_Shift="No", [1]Tables!$BN$4=1), 0, (SUMIFS(rng_out_awp_post_yr3,rng_out_sel_excl_yr_ind, "",rng_out_sel_G_ind,P$1,rng_out_mail_ind,$B138,rng_out_ds,$C138,rng_out_sel_sp_ind,$D138,rng_out_sel_excl_ind,$E138, rng_out_MSB_excl, $F138)+
SUMIFS(rng_out_awp_post_yr3,rng_out_sel_excl_yr_ind, [1]Tables!$HN$4,rng_out_sel_G_ind,P$1,rng_out_mail_ind,$B138,rng_out_ds,$C138,rng_out_sel_sp_ind,$D138,rng_out_sel_excl_ind,$E138, rng_out_MSB_excl, $F138)*         _xlfn.XLOOKUP([1]Tables!$HN$4,'[1]RA Output'!$AY$4:$AY$5,'[1]RA Output'!BB$4:BB$5,0)  +
SUMIFS(rng_out_awp_post_yr3,rng_out_sel_excl_yr_ind, [1]Tables!$HN$5,rng_out_sel_G_ind,P$1,rng_out_mail_ind,$B138,rng_out_ds,$C138,rng_out_sel_sp_ind,$D138,rng_out_sel_excl_ind,$E138, rng_out_MSB_excl, $F138)* _xlfn.XLOOKUP([1]Tables!$HN$5,'[1]RA Output'!$AY$4:$AY$5,'[1]RA Output'!BB$4:BB$5,0)) * ((1-[1]Tables!$BN$4)/[1]Tables!$BN$4) * [1]Tables!$BN$5)/[1]Tables!$AT$4, 0)
+ IFERROR((SUMIFS(rng_out_awp_post_yr3,rng_out_sel_excl_yr_ind, "",rng_out_sel_G_ind,K$1,rng_out_mail_ind,$B138,rng_out_ds,$C138,rng_out_sel_sp_ind,$D138,rng_out_sel_excl_ind,$E138)+
SUMIFS(rng_out_awp_post_yr3,rng_out_sel_excl_yr_ind, [1]Tables!$HN$4,rng_out_sel_G_ind,K$1,rng_out_mail_ind,$B138,rng_out_ds,$C138,rng_out_sel_sp_ind,$D138,rng_out_sel_excl_ind,$E138)*         _xlfn.XLOOKUP([1]Tables!$HN$4,'[1]RA Output'!$AY$4:$AY$5,'[1]RA Output'!BB$4:BB$5,0)  +
SUMIFS(rng_out_awp_post_yr3,rng_out_sel_excl_yr_ind, [1]Tables!$HN$5,rng_out_sel_G_ind,K$1,rng_out_mail_ind,$B138,rng_out_ds,$C138,rng_out_sel_sp_ind,$D138,rng_out_sel_excl_ind,$E138)* _xlfn.XLOOKUP([1]Tables!$HN$5,'[1]RA Output'!$AY$4:$AY$5,'[1]RA Output'!BB$4:BB$5,0))/[1]Tables!$AT$4, 0),
IFERROR(IF(OR(input_Shift="No", [1]Tables!$BN$4=1), 0, (SUMIFS(rng_out_awp_post_yr3,rng_out_sel_excl_yr_ind, "",rng_out_sel_G_ind,P$1,rng_out_mail_ind,$B138,rng_out_ds,$C138,rng_out_sel_sp_ind,$D138,rng_out_sel_excl_ind,$E138, rng_out_MSB_excl, $F138)+
SUMIFS(rng_out_awp_post_yr3,rng_out_sel_excl_yr_ind, [1]Tables!$HN$4,rng_out_sel_G_ind,P$1,rng_out_mail_ind,$B138,rng_out_ds,$C138,rng_out_sel_sp_ind,$D138,rng_out_sel_excl_ind,$E138, rng_out_MSB_excl, $F138)*         _xlfn.XLOOKUP([1]Tables!$HN$4,'[1]RA Output'!$AY$4:$AY$5,'[1]RA Output'!BB$4:BB$5,0)  +
SUMIFS(rng_out_awp_post_yr3,rng_out_sel_excl_yr_ind, [1]Tables!$HN$5,rng_out_sel_G_ind,P$1,rng_out_mail_ind,$B138,rng_out_ds,$C138,rng_out_sel_sp_ind,$D138,rng_out_sel_excl_ind,$E138, rng_out_MSB_excl, $F138)* _xlfn.XLOOKUP([1]Tables!$HN$5,'[1]RA Output'!$AY$4:$AY$5,'[1]RA Output'!BB$4:BB$5,0) +
SUMIFS(rng_out_awp_post_yr3, rng_out_mail_ind, $B138, rng_out_sel_G_ind, "B", rng_out_ds, $C138, rng_out_sel_sp_ind, $D138, rng_out_sel_excl_ind,"N", rng_out_MSB_excl, $F138, rng_out_post_reb_ind_yr3, 0)) * ((1-[1]Tables!$BN$4)/[1]Tables!$BN$4) * [1]Tables!$BN$5)/[1]Tables!$AT$4, 0) +
IFERROR((SUMIFS(rng_out_awp_post_yr3,rng_out_sel_excl_yr_ind, "",rng_out_sel_G_ind,K$1,rng_out_mail_ind,$B138,rng_out_ds,$C138,rng_out_sel_sp_ind,$D138,rng_out_sel_excl_ind,$E138)+
SUMIFS(rng_out_awp_post_yr3,rng_out_sel_excl_yr_ind, [1]Tables!$HN$4,rng_out_sel_G_ind,K$1,rng_out_mail_ind,$B138,rng_out_ds,$C138,rng_out_sel_sp_ind,$D138,rng_out_sel_excl_ind,$E138)*         _xlfn.XLOOKUP([1]Tables!$HN$4,'[1]RA Output'!$AY$4:$AY$5,'[1]RA Output'!BB$4:BB$5,0)  +
SUMIFS(rng_out_awp_post_yr3,rng_out_sel_excl_yr_ind, [1]Tables!$HN$5,rng_out_sel_G_ind,K$1,rng_out_mail_ind,$B138,rng_out_ds,$C138,rng_out_sel_sp_ind,$D138,rng_out_sel_excl_ind,$E138)* _xlfn.XLOOKUP([1]Tables!$HN$5,'[1]RA Output'!$AY$4:$AY$5,'[1]RA Output'!BB$4:BB$5,0) +
SUMIFS(rng_out_awp_post_yr3, rng_out_sel_G_ind, "G", rng_out_mail_ind, $B138, rng_out_ds, $C138, rng_out_sel_sp_ind, $D138, rng_out_sel_excl_ind,"N", rng_out_post_reb_ind_yr3, 0))/[1]Tables!$AT$4, 0))</f>
        <v>0</v>
      </c>
      <c r="AT138" s="5" cm="1">
        <f t="array" aca="1" ref="AT138" ca="1">IF($E$141="N", IFERROR(IF(OR(input_Shift="No", [1]Tables!$BN$4=1), 0, (SUMIFS(rng_out_awp_post_yr4,rng_out_sel_excl_yr_ind, "",rng_out_sel_G_ind,Q$1,rng_out_mail_ind,$B138,rng_out_ds,$C138,rng_out_sel_sp_ind,$D138,rng_out_sel_excl_ind,$E138, rng_out_MSB_excl, $F138)+
SUMIFS(rng_out_awp_post_yr4,rng_out_sel_excl_yr_ind, [1]Tables!$HN$4,rng_out_sel_G_ind,Q$1,rng_out_mail_ind,$B138,rng_out_ds,$C138,rng_out_sel_sp_ind,$D138,rng_out_sel_excl_ind,$E138, rng_out_MSB_excl, $F138)*         _xlfn.XLOOKUP([1]Tables!$HN$4,'[1]RA Output'!$AY$4:$AY$5,'[1]RA Output'!BC$4:BC$5,0)  +
SUMIFS(rng_out_awp_post_yr4,rng_out_sel_excl_yr_ind, [1]Tables!$HN$5,rng_out_sel_G_ind,Q$1,rng_out_mail_ind,$B138,rng_out_ds,$C138,rng_out_sel_sp_ind,$D138,rng_out_sel_excl_ind,$E138, rng_out_MSB_excl, $F138)* _xlfn.XLOOKUP([1]Tables!$HN$5,'[1]RA Output'!$AY$4:$AY$5,'[1]RA Output'!BC$4:BC$5,0)) * ((1-[1]Tables!$BN$4)/[1]Tables!$BN$4) * [1]Tables!$BN$5)/[1]Tables!$AT$4, 0)
+ IFERROR((SUMIFS(rng_out_awp_post_yr4,rng_out_sel_excl_yr_ind, "",rng_out_sel_G_ind,L$1,rng_out_mail_ind,$B138,rng_out_ds,$C138,rng_out_sel_sp_ind,$D138,rng_out_sel_excl_ind,$E138)+
SUMIFS(rng_out_awp_post_yr4,rng_out_sel_excl_yr_ind, [1]Tables!$HN$4,rng_out_sel_G_ind,L$1,rng_out_mail_ind,$B138,rng_out_ds,$C138,rng_out_sel_sp_ind,$D138,rng_out_sel_excl_ind,$E138)*         _xlfn.XLOOKUP([1]Tables!$HN$4,'[1]RA Output'!$AY$4:$AY$5,'[1]RA Output'!BC$4:BC$5,0)  +
SUMIFS(rng_out_awp_post_yr4,rng_out_sel_excl_yr_ind, [1]Tables!$HN$5,rng_out_sel_G_ind,L$1,rng_out_mail_ind,$B138,rng_out_ds,$C138,rng_out_sel_sp_ind,$D138,rng_out_sel_excl_ind,$E138)* _xlfn.XLOOKUP([1]Tables!$HN$5,'[1]RA Output'!$AY$4:$AY$5,'[1]RA Output'!BC$4:BC$5,0))/[1]Tables!$AT$4, 0),
IFERROR(IF(OR(input_Shift="No", [1]Tables!$BN$4=1), 0, (SUMIFS(rng_out_awp_post_yr4,rng_out_sel_excl_yr_ind, "",rng_out_sel_G_ind,Q$1,rng_out_mail_ind,$B138,rng_out_ds,$C138,rng_out_sel_sp_ind,$D138,rng_out_sel_excl_ind,$E138, rng_out_MSB_excl, $F138)+
SUMIFS(rng_out_awp_post_yr4,rng_out_sel_excl_yr_ind, [1]Tables!$HN$4,rng_out_sel_G_ind,Q$1,rng_out_mail_ind,$B138,rng_out_ds,$C138,rng_out_sel_sp_ind,$D138,rng_out_sel_excl_ind,$E138, rng_out_MSB_excl, $F138)*         _xlfn.XLOOKUP([1]Tables!$HN$4,'[1]RA Output'!$AY$4:$AY$5,'[1]RA Output'!BC$4:BC$5,0)  +
SUMIFS(rng_out_awp_post_yr4,rng_out_sel_excl_yr_ind, [1]Tables!$HN$5,rng_out_sel_G_ind,Q$1,rng_out_mail_ind,$B138,rng_out_ds,$C138,rng_out_sel_sp_ind,$D138,rng_out_sel_excl_ind,$E138, rng_out_MSB_excl, $F138)* _xlfn.XLOOKUP([1]Tables!$HN$5,'[1]RA Output'!$AY$4:$AY$5,'[1]RA Output'!BC$4:BC$5,0) +
SUMIFS(rng_out_awp_post_yr4, rng_out_mail_ind, $B138, rng_out_sel_G_ind, "B", rng_out_ds, $C138, rng_out_sel_sp_ind, $D138, rng_out_sel_excl_ind,"N", rng_out_MSB_excl, $F138, rng_out_post_reb_ind_yr4, 0)) * ((1-[1]Tables!$BN$4)/[1]Tables!$BN$4) * [1]Tables!$BN$5)/[1]Tables!$AT$4, 0) +
IFERROR((SUMIFS(rng_out_awp_post_yr4,rng_out_sel_excl_yr_ind, "",rng_out_sel_G_ind,L$1,rng_out_mail_ind,$B138,rng_out_ds,$C138,rng_out_sel_sp_ind,$D138,rng_out_sel_excl_ind,$E138)+
SUMIFS(rng_out_awp_post_yr4,rng_out_sel_excl_yr_ind, [1]Tables!$HN$4,rng_out_sel_G_ind,L$1,rng_out_mail_ind,$B138,rng_out_ds,$C138,rng_out_sel_sp_ind,$D138,rng_out_sel_excl_ind,$E138)*         _xlfn.XLOOKUP([1]Tables!$HN$4,'[1]RA Output'!$AY$4:$AY$5,'[1]RA Output'!BC$4:BC$5,0)  +
SUMIFS(rng_out_awp_post_yr4,rng_out_sel_excl_yr_ind, [1]Tables!$HN$5,rng_out_sel_G_ind,L$1,rng_out_mail_ind,$B138,rng_out_ds,$C138,rng_out_sel_sp_ind,$D138,rng_out_sel_excl_ind,$E138)* _xlfn.XLOOKUP([1]Tables!$HN$5,'[1]RA Output'!$AY$4:$AY$5,'[1]RA Output'!BC$4:BC$5,0) +
SUMIFS(rng_out_awp_post_yr4, rng_out_sel_G_ind, "G", rng_out_mail_ind, $B138, rng_out_ds, $C138, rng_out_sel_sp_ind, $D138, rng_out_sel_excl_ind,"N", rng_out_post_reb_ind_yr4, 0))/[1]Tables!$AT$4, 0))</f>
        <v>0</v>
      </c>
      <c r="AU138" s="85" cm="1">
        <f t="array" aca="1" ref="AU138" ca="1">IF($E$141="N", IFERROR(IF(OR(input_Shift="No", [1]Tables!$BN$4=1), 0, (SUMIFS(rng_out_awp_post_yr5,rng_out_sel_excl_yr_ind, "",rng_out_sel_G_ind,R$1,rng_out_mail_ind,$B138,rng_out_ds,$C138,rng_out_sel_sp_ind,$D138,rng_out_sel_excl_ind,$E138, rng_out_MSB_excl, $F138)+
SUMIFS(rng_out_awp_post_yr5,rng_out_sel_excl_yr_ind, [1]Tables!$HN$4,rng_out_sel_G_ind,R$1,rng_out_mail_ind,$B138,rng_out_ds,$C138,rng_out_sel_sp_ind,$D138,rng_out_sel_excl_ind,$E138, rng_out_MSB_excl, $F138)*         _xlfn.XLOOKUP([1]Tables!$HN$4,'[1]RA Output'!$AY$4:$AY$5,'[1]RA Output'!BD$4:BD$5,0)  +
SUMIFS(rng_out_awp_post_yr5,rng_out_sel_excl_yr_ind, [1]Tables!$HN$5,rng_out_sel_G_ind,R$1,rng_out_mail_ind,$B138,rng_out_ds,$C138,rng_out_sel_sp_ind,$D138,rng_out_sel_excl_ind,$E138, rng_out_MSB_excl, $F138)* _xlfn.XLOOKUP([1]Tables!$HN$5,'[1]RA Output'!$AY$4:$AY$5,'[1]RA Output'!BD$4:BD$5,0)) * ((1-[1]Tables!$BN$4)/[1]Tables!$BN$4) * [1]Tables!$BN$5)/[1]Tables!$AT$4, 0)
+ IFERROR((SUMIFS(rng_out_awp_post_yr5,rng_out_sel_excl_yr_ind, "",rng_out_sel_G_ind,M$1,rng_out_mail_ind,$B138,rng_out_ds,$C138,rng_out_sel_sp_ind,$D138,rng_out_sel_excl_ind,$E138)+
SUMIFS(rng_out_awp_post_yr5,rng_out_sel_excl_yr_ind, [1]Tables!$HN$4,rng_out_sel_G_ind,M$1,rng_out_mail_ind,$B138,rng_out_ds,$C138,rng_out_sel_sp_ind,$D138,rng_out_sel_excl_ind,$E138)*         _xlfn.XLOOKUP([1]Tables!$HN$4,'[1]RA Output'!$AY$4:$AY$5,'[1]RA Output'!BD$4:BD$5,0)  +
SUMIFS(rng_out_awp_post_yr5,rng_out_sel_excl_yr_ind, [1]Tables!$HN$5,rng_out_sel_G_ind,M$1,rng_out_mail_ind,$B138,rng_out_ds,$C138,rng_out_sel_sp_ind,$D138,rng_out_sel_excl_ind,$E138)* _xlfn.XLOOKUP([1]Tables!$HN$5,'[1]RA Output'!$AY$4:$AY$5,'[1]RA Output'!BD$4:BD$5,0))/[1]Tables!$AT$4, 0),
IFERROR(IF(OR(input_Shift="No", [1]Tables!$BN$4=1), 0, (SUMIFS(rng_out_awp_post_yr5,rng_out_sel_excl_yr_ind, "",rng_out_sel_G_ind,R$1,rng_out_mail_ind,$B138,rng_out_ds,$C138,rng_out_sel_sp_ind,$D138,rng_out_sel_excl_ind,$E138, rng_out_MSB_excl, $F138)+
SUMIFS(rng_out_awp_post_yr5,rng_out_sel_excl_yr_ind, [1]Tables!$HN$4,rng_out_sel_G_ind,R$1,rng_out_mail_ind,$B138,rng_out_ds,$C138,rng_out_sel_sp_ind,$D138,rng_out_sel_excl_ind,$E138, rng_out_MSB_excl, $F138)*         _xlfn.XLOOKUP([1]Tables!$HN$4,'[1]RA Output'!$AY$4:$AY$5,'[1]RA Output'!BD$4:BD$5,0)  +
SUMIFS(rng_out_awp_post_yr5,rng_out_sel_excl_yr_ind, [1]Tables!$HN$5,rng_out_sel_G_ind,R$1,rng_out_mail_ind,$B138,rng_out_ds,$C138,rng_out_sel_sp_ind,$D138,rng_out_sel_excl_ind,$E138, rng_out_MSB_excl, $F138)* _xlfn.XLOOKUP([1]Tables!$HN$5,'[1]RA Output'!$AY$4:$AY$5,'[1]RA Output'!BD$4:BD$5,0) +
SUMIFS(rng_out_awp_post_yr5, rng_out_mail_ind, $B138, rng_out_sel_G_ind, "B", rng_out_ds, $C138, rng_out_sel_sp_ind, $D138, rng_out_sel_excl_ind,"N", rng_out_MSB_excl, $F138, rng_out_post_reb_ind_yr5, 0)) * ((1-[1]Tables!$BN$4)/[1]Tables!$BN$4) * [1]Tables!$BN$5)/[1]Tables!$AT$4, 0) +
IFERROR((SUMIFS(rng_out_awp_post_yr5,rng_out_sel_excl_yr_ind, "",rng_out_sel_G_ind,M$1,rng_out_mail_ind,$B138,rng_out_ds,$C138,rng_out_sel_sp_ind,$D138,rng_out_sel_excl_ind,$E138)+
SUMIFS(rng_out_awp_post_yr5,rng_out_sel_excl_yr_ind, [1]Tables!$HN$4,rng_out_sel_G_ind,M$1,rng_out_mail_ind,$B138,rng_out_ds,$C138,rng_out_sel_sp_ind,$D138,rng_out_sel_excl_ind,$E138)*         _xlfn.XLOOKUP([1]Tables!$HN$4,'[1]RA Output'!$AY$4:$AY$5,'[1]RA Output'!BD$4:BD$5,0)  +
SUMIFS(rng_out_awp_post_yr5,rng_out_sel_excl_yr_ind, [1]Tables!$HN$5,rng_out_sel_G_ind,M$1,rng_out_mail_ind,$B138,rng_out_ds,$C138,rng_out_sel_sp_ind,$D138,rng_out_sel_excl_ind,$E138)* _xlfn.XLOOKUP([1]Tables!$HN$5,'[1]RA Output'!$AY$4:$AY$5,'[1]RA Output'!BD$4:BD$5,0) +
SUMIFS(rng_out_awp_post_yr5, rng_out_sel_G_ind, "G", rng_out_mail_ind, $B138, rng_out_ds, $C138, rng_out_sel_sp_ind, $D138, rng_out_sel_excl_ind,"N", rng_out_post_reb_ind_yr5, 0))/[1]Tables!$AT$4, 0))</f>
        <v>0</v>
      </c>
      <c r="AV138" s="86">
        <f t="shared" ca="1" si="138"/>
        <v>0</v>
      </c>
      <c r="AW138" s="75">
        <f t="shared" ca="1" si="138"/>
        <v>0</v>
      </c>
      <c r="AX138" s="75">
        <f t="shared" ca="1" si="138"/>
        <v>0</v>
      </c>
      <c r="AY138" s="75">
        <f t="shared" ca="1" si="138"/>
        <v>0</v>
      </c>
      <c r="AZ138" s="87">
        <f t="shared" ca="1" si="138"/>
        <v>0</v>
      </c>
      <c r="BG138" s="111" t="s">
        <v>15</v>
      </c>
      <c r="BH138" s="97">
        <f t="shared" ca="1" si="139"/>
        <v>0</v>
      </c>
      <c r="BI138" s="79">
        <f t="shared" ca="1" si="139"/>
        <v>0</v>
      </c>
      <c r="BJ138" s="79">
        <f t="shared" ca="1" si="139"/>
        <v>0</v>
      </c>
      <c r="BK138" s="79">
        <f t="shared" ca="1" si="139"/>
        <v>0</v>
      </c>
      <c r="BL138" s="98">
        <f t="shared" ca="1" si="139"/>
        <v>0</v>
      </c>
      <c r="BM138" s="92">
        <f t="shared" ca="1" si="140"/>
        <v>0</v>
      </c>
      <c r="BN138" s="75">
        <f t="shared" ca="1" si="140"/>
        <v>0</v>
      </c>
      <c r="BO138" s="75">
        <f t="shared" ca="1" si="140"/>
        <v>0</v>
      </c>
      <c r="BP138" s="75">
        <f t="shared" ca="1" si="140"/>
        <v>0</v>
      </c>
      <c r="BQ138" s="93">
        <f t="shared" ca="1" si="140"/>
        <v>0</v>
      </c>
      <c r="BX138" s="111" t="s">
        <v>15</v>
      </c>
      <c r="BY138" s="97" t="e">
        <f t="shared" ca="1" si="141"/>
        <v>#VALUE!</v>
      </c>
      <c r="BZ138" s="79" t="e">
        <f t="shared" ca="1" si="141"/>
        <v>#VALUE!</v>
      </c>
      <c r="CA138" s="79" t="e">
        <f t="shared" ca="1" si="141"/>
        <v>#VALUE!</v>
      </c>
      <c r="CB138" s="79" t="e">
        <f t="shared" ca="1" si="141"/>
        <v>#VALUE!</v>
      </c>
      <c r="CC138" s="98" t="e">
        <f t="shared" ca="1" si="141"/>
        <v>#VALUE!</v>
      </c>
      <c r="CD138" s="92">
        <f t="shared" ca="1" si="142"/>
        <v>0</v>
      </c>
      <c r="CE138" s="75">
        <f t="shared" ca="1" si="142"/>
        <v>0</v>
      </c>
      <c r="CF138" s="75">
        <f t="shared" ca="1" si="142"/>
        <v>0</v>
      </c>
      <c r="CG138" s="75">
        <f t="shared" ca="1" si="142"/>
        <v>0</v>
      </c>
      <c r="CH138" s="93">
        <f t="shared" ca="1" si="142"/>
        <v>0</v>
      </c>
      <c r="CO138" s="213" cm="1">
        <f t="array" aca="1" ref="CO138" ca="1">_xlfn.SINGLE(IFERROR(SUMIFS(rng_out_awp_base, rng_out_sel_G_ind, "G", rng_out_mail_ind, $B138, rng_out_ds, $C138, rng_out_sel_sp_ind, $D138, rng_out_sel_excl_ind,"Y")/[1]Tables!$AT$4, 0))</f>
        <v>0</v>
      </c>
      <c r="CP138" s="214" cm="1">
        <f t="array" aca="1" ref="CP138" ca="1">_xlfn.SINGLE(IFERROR(SUMIFS(rng_out_awp_base, rng_out_sel_G_ind, "B", rng_out_mail_ind, $B138, rng_out_ds, $C138, rng_out_sel_sp_ind, $D138, rng_out_sel_excl_ind,"Y")/[1]Tables!$AT$4, 0))</f>
        <v>0</v>
      </c>
      <c r="CQ138" s="220">
        <f ca="1">SUM(CO138:CP138)</f>
        <v>0</v>
      </c>
      <c r="CR138" s="92">
        <f t="shared" ca="1" si="143"/>
        <v>0</v>
      </c>
      <c r="CS138" s="93">
        <f t="shared" ca="1" si="143"/>
        <v>0</v>
      </c>
      <c r="CT138" s="358">
        <f t="shared" ca="1" si="143"/>
        <v>0</v>
      </c>
    </row>
    <row r="139" spans="1:111" x14ac:dyDescent="0.35">
      <c r="B139" s="105" t="s">
        <v>16</v>
      </c>
      <c r="C139" s="106"/>
      <c r="D139" s="106" t="s">
        <v>12</v>
      </c>
      <c r="E139" s="107" t="s">
        <v>13</v>
      </c>
      <c r="F139" s="106">
        <v>1</v>
      </c>
      <c r="H139" s="118" t="s">
        <v>7</v>
      </c>
      <c r="I139" s="72" t="e" cm="1">
        <f t="array" aca="1" ref="I139" ca="1">SUMIFS(rng_out_awp_pre_yr1,rng_out_sel_excl_yr_ind, "",rng_out_sel_G_ind,I$1,rng_out_mail_ind,$B110,rng_out_sel_sp_ind,$D110,rng_out_sel_excl_ind,$E139)+
SUMIFS(rng_out_awp_pre_yr1,rng_out_sel_excl_yr_ind, [1]Tables!$HN$4,rng_out_sel_G_ind,I$1,rng_out_mail_ind,$B110,rng_out_sel_sp_ind,$D110,rng_out_sel_excl_ind,$E139)*         _xlfn.XLOOKUP([1]Tables!$HN$4,'[1]RA Output'!$AY$4:$AY$5,'[1]RA Output'!AZ$4:AZ$5,0)  +
SUMIFS(rng_out_awp_pre_yr1,rng_out_sel_excl_yr_ind, [1]Tables!$HN$5,rng_out_sel_G_ind,I$1,rng_out_mail_ind,$B110,rng_out_sel_sp_ind,$D110,rng_out_sel_excl_ind,$E139)* _xlfn.XLOOKUP([1]Tables!$HN$5,'[1]RA Output'!$AY$4:$AY$5,'[1]RA Output'!AZ$4:AZ$5,0)+
IF($E$141="Y", SUMIFS(rng_out_awp_pre_yr1, rng_out_sel_G_ind, "G", rng_out_mail_ind, $B139, rng_out_sel_sp_ind, $D139, rng_out_sel_excl_ind,"N", rng_out_post_reb_ind_yr1, 0), 0)</f>
        <v>#VALUE!</v>
      </c>
      <c r="J139" s="5" t="e" cm="1">
        <f t="array" aca="1" ref="J139" ca="1">SUMIFS(rng_out_awp_pre_yr2,rng_out_sel_excl_yr_ind, "",rng_out_sel_G_ind,J$1,rng_out_mail_ind,$B110,rng_out_sel_sp_ind,$D110,rng_out_sel_excl_ind,$E139)+
SUMIFS(rng_out_awp_pre_yr2,rng_out_sel_excl_yr_ind, [1]Tables!$HN$4,rng_out_sel_G_ind,J$1,rng_out_mail_ind,$B110,rng_out_sel_sp_ind,$D110,rng_out_sel_excl_ind,$E139)*         _xlfn.XLOOKUP([1]Tables!$HN$4,'[1]RA Output'!$AY$4:$AY$5,'[1]RA Output'!BA$4:BA$5,0)  +
SUMIFS(rng_out_awp_pre_yr2,rng_out_sel_excl_yr_ind, [1]Tables!$HN$5,rng_out_sel_G_ind,J$1,rng_out_mail_ind,$B110,rng_out_sel_sp_ind,$D110,rng_out_sel_excl_ind,$E139)* _xlfn.XLOOKUP([1]Tables!$HN$5,'[1]RA Output'!$AY$4:$AY$5,'[1]RA Output'!BA$4:BA$5,0)+
IF($E$141="Y", SUMIFS(rng_out_awp_pre_yr2, rng_out_sel_G_ind, "G", rng_out_mail_ind, $B139, rng_out_sel_sp_ind, $D139, rng_out_sel_excl_ind,"N", rng_out_post_reb_ind_yr2, 0), 0)</f>
        <v>#VALUE!</v>
      </c>
      <c r="K139" s="5" t="e" cm="1">
        <f t="array" aca="1" ref="K139" ca="1">SUMIFS(rng_out_awp_pre_yr3,rng_out_sel_excl_yr_ind, "",rng_out_sel_G_ind,K$1,rng_out_mail_ind,$B110,rng_out_sel_sp_ind,$D110,rng_out_sel_excl_ind,$E139)+
SUMIFS(rng_out_awp_pre_yr3,rng_out_sel_excl_yr_ind, [1]Tables!$HN$4,rng_out_sel_G_ind,K$1,rng_out_mail_ind,$B110,rng_out_sel_sp_ind,$D110,rng_out_sel_excl_ind,$E139)*         _xlfn.XLOOKUP([1]Tables!$HN$4,'[1]RA Output'!$AY$4:$AY$5,'[1]RA Output'!BB$4:BB$5,0)  +
SUMIFS(rng_out_awp_pre_yr3,rng_out_sel_excl_yr_ind, [1]Tables!$HN$5,rng_out_sel_G_ind,K$1,rng_out_mail_ind,$B110,rng_out_sel_sp_ind,$D110,rng_out_sel_excl_ind,$E139)* _xlfn.XLOOKUP([1]Tables!$HN$5,'[1]RA Output'!$AY$4:$AY$5,'[1]RA Output'!BB$4:BB$5,0)+
IF($E$141="Y", SUMIFS(rng_out_awp_pre_yr3, rng_out_sel_G_ind, "G", rng_out_mail_ind, $B139, rng_out_sel_sp_ind, $D139, rng_out_sel_excl_ind,"N", rng_out_post_reb_ind_yr3, 0), 0)</f>
        <v>#VALUE!</v>
      </c>
      <c r="L139" s="5" t="e" cm="1">
        <f t="array" aca="1" ref="L139" ca="1">SUMIFS(rng_out_awp_pre_yr4,rng_out_sel_excl_yr_ind, "",rng_out_sel_G_ind,L$1,rng_out_mail_ind,$B110,rng_out_sel_sp_ind,$D110,rng_out_sel_excl_ind,$E139)+
SUMIFS(rng_out_awp_pre_yr4,rng_out_sel_excl_yr_ind, [1]Tables!$HN$4,rng_out_sel_G_ind,L$1,rng_out_mail_ind,$B110,rng_out_sel_sp_ind,$D110,rng_out_sel_excl_ind,$E139)*         _xlfn.XLOOKUP([1]Tables!$HN$4,'[1]RA Output'!$AY$4:$AY$5,'[1]RA Output'!BC$4:BC$5,0)  +
SUMIFS(rng_out_awp_pre_yr4,rng_out_sel_excl_yr_ind, [1]Tables!$HN$5,rng_out_sel_G_ind,L$1,rng_out_mail_ind,$B110,rng_out_sel_sp_ind,$D110,rng_out_sel_excl_ind,$E139)* _xlfn.XLOOKUP([1]Tables!$HN$5,'[1]RA Output'!$AY$4:$AY$5,'[1]RA Output'!BC$4:BC$5,0)+
IF($E$141="Y", SUMIFS(rng_out_awp_pre_yr4, rng_out_sel_G_ind, "G", rng_out_mail_ind, $B139, rng_out_sel_sp_ind, $D139, rng_out_sel_excl_ind,"N", rng_out_post_reb_ind_yr4, 0), 0)</f>
        <v>#VALUE!</v>
      </c>
      <c r="M139" s="73" t="e" cm="1">
        <f t="array" aca="1" ref="M139" ca="1">SUMIFS(rng_out_awp_pre_yr5,rng_out_sel_excl_yr_ind, "",rng_out_sel_G_ind,M$1,rng_out_mail_ind,$B110,rng_out_sel_sp_ind,$D110,rng_out_sel_excl_ind,$E139)+
SUMIFS(rng_out_awp_pre_yr5,rng_out_sel_excl_yr_ind, [1]Tables!$HN$4,rng_out_sel_G_ind,M$1,rng_out_mail_ind,$B110,rng_out_sel_sp_ind,$D110,rng_out_sel_excl_ind,$E139)*         _xlfn.XLOOKUP([1]Tables!$HN$4,'[1]RA Output'!$AY$4:$AY$5,'[1]RA Output'!BD$4:BD$5,0)  +
SUMIFS(rng_out_awp_pre_yr5,rng_out_sel_excl_yr_ind, [1]Tables!$HN$5,rng_out_sel_G_ind,M$1,rng_out_mail_ind,$B110,rng_out_sel_sp_ind,$D110,rng_out_sel_excl_ind,$E139)* _xlfn.XLOOKUP([1]Tables!$HN$5,'[1]RA Output'!$AY$4:$AY$5,'[1]RA Output'!BD$4:BD$5,0)+
IF($E$141="Y", SUMIFS(rng_out_awp_pre_yr5, rng_out_sel_G_ind, "G", rng_out_mail_ind, $B139, rng_out_sel_sp_ind, $D139, rng_out_sel_excl_ind,"N", rng_out_post_reb_ind_yr5, 0), 0)</f>
        <v>#VALUE!</v>
      </c>
      <c r="N139" s="74">
        <f t="shared" ca="1" si="136"/>
        <v>0</v>
      </c>
      <c r="O139" s="75">
        <f t="shared" ca="1" si="136"/>
        <v>0</v>
      </c>
      <c r="P139" s="75">
        <f t="shared" ca="1" si="136"/>
        <v>0</v>
      </c>
      <c r="Q139" s="75">
        <f t="shared" ca="1" si="136"/>
        <v>0</v>
      </c>
      <c r="R139" s="76">
        <f t="shared" ca="1" si="136"/>
        <v>0</v>
      </c>
      <c r="Y139" s="119" t="s">
        <v>7</v>
      </c>
      <c r="Z139" s="78">
        <f ca="1">IFERROR(I139/[1]Tables!$AT$4, 0)</f>
        <v>0</v>
      </c>
      <c r="AA139" s="79">
        <f ca="1">IFERROR(J139/[1]Tables!$AT$4, 0)</f>
        <v>0</v>
      </c>
      <c r="AB139" s="79">
        <f ca="1">IFERROR(K139/[1]Tables!$AT$4, 0)</f>
        <v>0</v>
      </c>
      <c r="AC139" s="79">
        <f ca="1">IFERROR(L139/[1]Tables!$AT$4, 0)</f>
        <v>0</v>
      </c>
      <c r="AD139" s="80">
        <f ca="1">IFERROR(M139/[1]Tables!$AT$4, 0)</f>
        <v>0</v>
      </c>
      <c r="AE139" s="81">
        <f t="shared" ca="1" si="137"/>
        <v>0</v>
      </c>
      <c r="AF139" s="75">
        <f t="shared" ca="1" si="137"/>
        <v>0</v>
      </c>
      <c r="AG139" s="75">
        <f t="shared" ca="1" si="137"/>
        <v>0</v>
      </c>
      <c r="AH139" s="75">
        <f t="shared" ca="1" si="137"/>
        <v>0</v>
      </c>
      <c r="AI139" s="82">
        <f t="shared" ca="1" si="137"/>
        <v>0</v>
      </c>
      <c r="AP139" s="120" t="s">
        <v>7</v>
      </c>
      <c r="AQ139" s="356" cm="1">
        <f t="array" aca="1" ref="AQ139" ca="1">IF($E$141="N", IFERROR(IF(OR(input_Shift="No", [1]Tables!$BN$4=1), 0, (SUMIFS(rng_out_awp_post_yr1,rng_out_sel_excl_yr_ind, "",rng_out_sel_G_ind,N$1,rng_out_mail_ind,$B139,rng_out_sel_sp_ind,$D139,rng_out_sel_excl_ind,$E139, rng_out_MSB_excl, $F139)+
SUMIFS(rng_out_awp_post_yr1,rng_out_sel_excl_yr_ind, [1]Tables!$HN$4,rng_out_sel_G_ind,N$1,rng_out_mail_ind,$B139,rng_out_sel_sp_ind,$D139,rng_out_sel_excl_ind,$E139, rng_out_MSB_excl, $F139)*         _xlfn.XLOOKUP([1]Tables!$HN$4,'[1]RA Output'!$AY$4:$AY$5,'[1]RA Output'!AZ$4:AZ$5,0)  +
SUMIFS(rng_out_awp_post_yr1,rng_out_sel_excl_yr_ind, [1]Tables!$HN$5,rng_out_sel_G_ind,N$1,rng_out_mail_ind,$B139,rng_out_sel_sp_ind,$D139,rng_out_sel_excl_ind,$E139, rng_out_MSB_excl, $F139)* _xlfn.XLOOKUP([1]Tables!$HN$5,'[1]RA Output'!$AY$4:$AY$5,'[1]RA Output'!AZ$4:AZ$5,0)) * ((1-[1]Tables!$BN$4)/[1]Tables!$BN$4) * [1]Tables!$BN$5)/[1]Tables!$AT$4, 0)
+ IFERROR((SUMIFS(rng_out_awp_post_yr1,rng_out_sel_excl_yr_ind, "",rng_out_sel_G_ind,I$1,rng_out_mail_ind,$B139,rng_out_sel_sp_ind,$D139,rng_out_sel_excl_ind,$E139)+
SUMIFS(rng_out_awp_post_yr1,rng_out_sel_excl_yr_ind, [1]Tables!$HN$4,rng_out_sel_G_ind,I$1,rng_out_mail_ind,$B139,rng_out_sel_sp_ind,$D139,rng_out_sel_excl_ind,$E139)*         _xlfn.XLOOKUP([1]Tables!$HN$4,'[1]RA Output'!$AY$4:$AY$5,'[1]RA Output'!AZ$4:AZ$5,0)  +
SUMIFS(rng_out_awp_post_yr1,rng_out_sel_excl_yr_ind, [1]Tables!$HN$5,rng_out_sel_G_ind,I$1,rng_out_mail_ind,$B139,rng_out_sel_sp_ind,$D139,rng_out_sel_excl_ind,$E139)* _xlfn.XLOOKUP([1]Tables!$HN$5,'[1]RA Output'!$AY$4:$AY$5,'[1]RA Output'!AZ$4:AZ$5,0))/[1]Tables!$AT$4, 0),
IFERROR(IF(OR(input_Shift="No", [1]Tables!$BN$4=1), 0, (SUMIFS(rng_out_awp_post_yr1,rng_out_sel_excl_yr_ind, "",rng_out_sel_G_ind,N$1,rng_out_mail_ind,$B139,rng_out_sel_sp_ind,$D139,rng_out_sel_excl_ind,$E139, rng_out_MSB_excl, $F139)+
SUMIFS(rng_out_awp_post_yr1,rng_out_sel_excl_yr_ind, [1]Tables!$HN$4,rng_out_sel_G_ind,N$1,rng_out_mail_ind,$B139,rng_out_sel_sp_ind,$D139,rng_out_sel_excl_ind,$E139, rng_out_MSB_excl, $F139)*         _xlfn.XLOOKUP([1]Tables!$HN$4,'[1]RA Output'!$AY$4:$AY$5,'[1]RA Output'!AZ$4:AZ$5,0)  +
SUMIFS(rng_out_awp_post_yr1,rng_out_sel_excl_yr_ind, [1]Tables!$HN$5,rng_out_sel_G_ind,N$1,rng_out_mail_ind,$B139,rng_out_sel_sp_ind,$D139,rng_out_sel_excl_ind,$E139, rng_out_MSB_excl, $F139)* _xlfn.XLOOKUP([1]Tables!$HN$5,'[1]RA Output'!$AY$4:$AY$5,'[1]RA Output'!AZ$4:AZ$5,0) +
SUMIFS(rng_out_awp_post_yr1, rng_out_mail_ind, $B139, rng_out_sel_G_ind, "B", rng_out_sel_sp_ind, $D139, rng_out_sel_excl_ind,"N", rng_out_MSB_excl, $F139, rng_out_post_reb_ind_yr1, 0)) * ((1-[1]Tables!$BN$4)/[1]Tables!$BN$4) * [1]Tables!$BN$5)/[1]Tables!$AT$4, 0) +
IFERROR((SUMIFS(rng_out_awp_post_yr1,rng_out_sel_excl_yr_ind, "",rng_out_sel_G_ind,I$1,rng_out_mail_ind,$B139,rng_out_sel_sp_ind,$D139,rng_out_sel_excl_ind,$E139)+
SUMIFS(rng_out_awp_post_yr1,rng_out_sel_excl_yr_ind, [1]Tables!$HN$4,rng_out_sel_G_ind,I$1,rng_out_mail_ind,$B139,rng_out_sel_sp_ind,$D139,rng_out_sel_excl_ind,$E139)*         _xlfn.XLOOKUP([1]Tables!$HN$4,'[1]RA Output'!$AY$4:$AY$5,'[1]RA Output'!AZ$4:AZ$5,0)  +
SUMIFS(rng_out_awp_post_yr1,rng_out_sel_excl_yr_ind, [1]Tables!$HN$5,rng_out_sel_G_ind,I$1,rng_out_mail_ind,$B139,rng_out_sel_sp_ind,$D139,rng_out_sel_excl_ind,$E139)* _xlfn.XLOOKUP([1]Tables!$HN$5,'[1]RA Output'!$AY$4:$AY$5,'[1]RA Output'!AZ$4:AZ$5,0) +
SUMIFS(rng_out_awp_post_yr1, rng_out_sel_G_ind, "G", rng_out_mail_ind, $B139, rng_out_sel_sp_ind, $D139, rng_out_sel_excl_ind,"N", rng_out_post_reb_ind_yr1, 0))/[1]Tables!$AT$4, 0))</f>
        <v>0</v>
      </c>
      <c r="AR139" s="5" cm="1">
        <f t="array" aca="1" ref="AR139" ca="1">IF($E$141="N", IFERROR(IF(OR(input_Shift="No", [1]Tables!$BN$4=1), 0, (SUMIFS(rng_out_awp_post_yr2,rng_out_sel_excl_yr_ind, "",rng_out_sel_G_ind,O$1,rng_out_mail_ind,$B139,rng_out_sel_sp_ind,$D139,rng_out_sel_excl_ind,$E139, rng_out_MSB_excl, $F139)+
SUMIFS(rng_out_awp_post_yr2,rng_out_sel_excl_yr_ind, [1]Tables!$HN$4,rng_out_sel_G_ind,O$1,rng_out_mail_ind,$B139,rng_out_sel_sp_ind,$D139,rng_out_sel_excl_ind,$E139, rng_out_MSB_excl, $F139)*         _xlfn.XLOOKUP([1]Tables!$HN$4,'[1]RA Output'!$AY$4:$AY$5,'[1]RA Output'!BA$4:BA$5,0)  +
SUMIFS(rng_out_awp_post_yr2,rng_out_sel_excl_yr_ind, [1]Tables!$HN$5,rng_out_sel_G_ind,O$1,rng_out_mail_ind,$B139,rng_out_sel_sp_ind,$D139,rng_out_sel_excl_ind,$E139, rng_out_MSB_excl, $F139)* _xlfn.XLOOKUP([1]Tables!$HN$5,'[1]RA Output'!$AY$4:$AY$5,'[1]RA Output'!BA$4:BA$5,0)) * ((1-[1]Tables!$BN$4)/[1]Tables!$BN$4) * [1]Tables!$BN$5)/[1]Tables!$AT$4, 0)
+ IFERROR((SUMIFS(rng_out_awp_post_yr2,rng_out_sel_excl_yr_ind, "",rng_out_sel_G_ind,J$1,rng_out_mail_ind,$B139,rng_out_sel_sp_ind,$D139,rng_out_sel_excl_ind,$E139)+
SUMIFS(rng_out_awp_post_yr2,rng_out_sel_excl_yr_ind, [1]Tables!$HN$4,rng_out_sel_G_ind,J$1,rng_out_mail_ind,$B139,rng_out_sel_sp_ind,$D139,rng_out_sel_excl_ind,$E139)*         _xlfn.XLOOKUP([1]Tables!$HN$4,'[1]RA Output'!$AY$4:$AY$5,'[1]RA Output'!BA$4:BA$5,0)  +
SUMIFS(rng_out_awp_post_yr2,rng_out_sel_excl_yr_ind, [1]Tables!$HN$5,rng_out_sel_G_ind,J$1,rng_out_mail_ind,$B139,rng_out_sel_sp_ind,$D139,rng_out_sel_excl_ind,$E139)* _xlfn.XLOOKUP([1]Tables!$HN$5,'[1]RA Output'!$AY$4:$AY$5,'[1]RA Output'!BA$4:BA$5,0))/[1]Tables!$AT$4, 0),
IFERROR(IF(OR(input_Shift="No", [1]Tables!$BN$4=1), 0, (SUMIFS(rng_out_awp_post_yr2,rng_out_sel_excl_yr_ind, "",rng_out_sel_G_ind,O$1,rng_out_mail_ind,$B139,rng_out_sel_sp_ind,$D139,rng_out_sel_excl_ind,$E139, rng_out_MSB_excl, $F139)+
SUMIFS(rng_out_awp_post_yr2,rng_out_sel_excl_yr_ind, [1]Tables!$HN$4,rng_out_sel_G_ind,O$1,rng_out_mail_ind,$B139,rng_out_sel_sp_ind,$D139,rng_out_sel_excl_ind,$E139, rng_out_MSB_excl, $F139)*         _xlfn.XLOOKUP([1]Tables!$HN$4,'[1]RA Output'!$AY$4:$AY$5,'[1]RA Output'!BA$4:BA$5,0)  +
SUMIFS(rng_out_awp_post_yr2,rng_out_sel_excl_yr_ind, [1]Tables!$HN$5,rng_out_sel_G_ind,O$1,rng_out_mail_ind,$B139,rng_out_sel_sp_ind,$D139,rng_out_sel_excl_ind,$E139, rng_out_MSB_excl, $F139)* _xlfn.XLOOKUP([1]Tables!$HN$5,'[1]RA Output'!$AY$4:$AY$5,'[1]RA Output'!BA$4:BA$5,0) +
SUMIFS(rng_out_awp_post_yr2, rng_out_mail_ind, $B139, rng_out_sel_G_ind, "B", rng_out_sel_sp_ind, $D139, rng_out_sel_excl_ind,"N", rng_out_MSB_excl, $F139, rng_out_post_reb_ind_yr2, 0)) * ((1-[1]Tables!$BN$4)/[1]Tables!$BN$4) * [1]Tables!$BN$5)/[1]Tables!$AT$4, 0) +
IFERROR((SUMIFS(rng_out_awp_post_yr2,rng_out_sel_excl_yr_ind, "",rng_out_sel_G_ind,J$1,rng_out_mail_ind,$B139,rng_out_sel_sp_ind,$D139,rng_out_sel_excl_ind,$E139)+
SUMIFS(rng_out_awp_post_yr2,rng_out_sel_excl_yr_ind, [1]Tables!$HN$4,rng_out_sel_G_ind,J$1,rng_out_mail_ind,$B139,rng_out_sel_sp_ind,$D139,rng_out_sel_excl_ind,$E139)*         _xlfn.XLOOKUP([1]Tables!$HN$4,'[1]RA Output'!$AY$4:$AY$5,'[1]RA Output'!BA$4:BA$5,0)  +
SUMIFS(rng_out_awp_post_yr2,rng_out_sel_excl_yr_ind, [1]Tables!$HN$5,rng_out_sel_G_ind,J$1,rng_out_mail_ind,$B139,rng_out_sel_sp_ind,$D139,rng_out_sel_excl_ind,$E139)* _xlfn.XLOOKUP([1]Tables!$HN$5,'[1]RA Output'!$AY$4:$AY$5,'[1]RA Output'!BA$4:BA$5,0) +
SUMIFS(rng_out_awp_post_yr2, rng_out_sel_G_ind, "G", rng_out_mail_ind, $B139, rng_out_sel_sp_ind, $D139, rng_out_sel_excl_ind,"N", rng_out_post_reb_ind_yr2, 0))/[1]Tables!$AT$4, 0))</f>
        <v>0</v>
      </c>
      <c r="AS139" s="5" cm="1">
        <f t="array" aca="1" ref="AS139" ca="1">IF($E$141="N", IFERROR(IF(OR(input_Shift="No", [1]Tables!$BN$4=1), 0, (SUMIFS(rng_out_awp_post_yr3,rng_out_sel_excl_yr_ind, "",rng_out_sel_G_ind,P$1,rng_out_mail_ind,$B139,rng_out_sel_sp_ind,$D139,rng_out_sel_excl_ind,$E139, rng_out_MSB_excl, $F139)+
SUMIFS(rng_out_awp_post_yr3,rng_out_sel_excl_yr_ind, [1]Tables!$HN$4,rng_out_sel_G_ind,P$1,rng_out_mail_ind,$B139,rng_out_sel_sp_ind,$D139,rng_out_sel_excl_ind,$E139, rng_out_MSB_excl, $F139)*         _xlfn.XLOOKUP([1]Tables!$HN$4,'[1]RA Output'!$AY$4:$AY$5,'[1]RA Output'!BB$4:BB$5,0)  +
SUMIFS(rng_out_awp_post_yr3,rng_out_sel_excl_yr_ind, [1]Tables!$HN$5,rng_out_sel_G_ind,P$1,rng_out_mail_ind,$B139,rng_out_sel_sp_ind,$D139,rng_out_sel_excl_ind,$E139, rng_out_MSB_excl, $F139)* _xlfn.XLOOKUP([1]Tables!$HN$5,'[1]RA Output'!$AY$4:$AY$5,'[1]RA Output'!BB$4:BB$5,0)) * ((1-[1]Tables!$BN$4)/[1]Tables!$BN$4) * [1]Tables!$BN$5)/[1]Tables!$AT$4, 0)
+ IFERROR((SUMIFS(rng_out_awp_post_yr3,rng_out_sel_excl_yr_ind, "",rng_out_sel_G_ind,K$1,rng_out_mail_ind,$B139,rng_out_sel_sp_ind,$D139,rng_out_sel_excl_ind,$E139)+
SUMIFS(rng_out_awp_post_yr3,rng_out_sel_excl_yr_ind, [1]Tables!$HN$4,rng_out_sel_G_ind,K$1,rng_out_mail_ind,$B139,rng_out_sel_sp_ind,$D139,rng_out_sel_excl_ind,$E139)*         _xlfn.XLOOKUP([1]Tables!$HN$4,'[1]RA Output'!$AY$4:$AY$5,'[1]RA Output'!BB$4:BB$5,0)  +
SUMIFS(rng_out_awp_post_yr3,rng_out_sel_excl_yr_ind, [1]Tables!$HN$5,rng_out_sel_G_ind,K$1,rng_out_mail_ind,$B139,rng_out_sel_sp_ind,$D139,rng_out_sel_excl_ind,$E139)* _xlfn.XLOOKUP([1]Tables!$HN$5,'[1]RA Output'!$AY$4:$AY$5,'[1]RA Output'!BB$4:BB$5,0))/[1]Tables!$AT$4, 0),
IFERROR(IF(OR(input_Shift="No", [1]Tables!$BN$4=1), 0, (SUMIFS(rng_out_awp_post_yr3,rng_out_sel_excl_yr_ind, "",rng_out_sel_G_ind,P$1,rng_out_mail_ind,$B139,rng_out_sel_sp_ind,$D139,rng_out_sel_excl_ind,$E139, rng_out_MSB_excl, $F139)+
SUMIFS(rng_out_awp_post_yr3,rng_out_sel_excl_yr_ind, [1]Tables!$HN$4,rng_out_sel_G_ind,P$1,rng_out_mail_ind,$B139,rng_out_sel_sp_ind,$D139,rng_out_sel_excl_ind,$E139, rng_out_MSB_excl, $F139)*         _xlfn.XLOOKUP([1]Tables!$HN$4,'[1]RA Output'!$AY$4:$AY$5,'[1]RA Output'!BB$4:BB$5,0)  +
SUMIFS(rng_out_awp_post_yr3,rng_out_sel_excl_yr_ind, [1]Tables!$HN$5,rng_out_sel_G_ind,P$1,rng_out_mail_ind,$B139,rng_out_sel_sp_ind,$D139,rng_out_sel_excl_ind,$E139, rng_out_MSB_excl, $F139)* _xlfn.XLOOKUP([1]Tables!$HN$5,'[1]RA Output'!$AY$4:$AY$5,'[1]RA Output'!BB$4:BB$5,0) +
SUMIFS(rng_out_awp_post_yr3, rng_out_mail_ind, $B139, rng_out_sel_G_ind, "B", rng_out_sel_sp_ind, $D139, rng_out_sel_excl_ind,"N", rng_out_MSB_excl, $F139, rng_out_post_reb_ind_yr3, 0)) * ((1-[1]Tables!$BN$4)/[1]Tables!$BN$4) * [1]Tables!$BN$5)/[1]Tables!$AT$4, 0) +
IFERROR((SUMIFS(rng_out_awp_post_yr3,rng_out_sel_excl_yr_ind, "",rng_out_sel_G_ind,K$1,rng_out_mail_ind,$B139,rng_out_sel_sp_ind,$D139,rng_out_sel_excl_ind,$E139)+
SUMIFS(rng_out_awp_post_yr3,rng_out_sel_excl_yr_ind, [1]Tables!$HN$4,rng_out_sel_G_ind,K$1,rng_out_mail_ind,$B139,rng_out_sel_sp_ind,$D139,rng_out_sel_excl_ind,$E139)*         _xlfn.XLOOKUP([1]Tables!$HN$4,'[1]RA Output'!$AY$4:$AY$5,'[1]RA Output'!BB$4:BB$5,0)  +
SUMIFS(rng_out_awp_post_yr3,rng_out_sel_excl_yr_ind, [1]Tables!$HN$5,rng_out_sel_G_ind,K$1,rng_out_mail_ind,$B139,rng_out_sel_sp_ind,$D139,rng_out_sel_excl_ind,$E139)* _xlfn.XLOOKUP([1]Tables!$HN$5,'[1]RA Output'!$AY$4:$AY$5,'[1]RA Output'!BB$4:BB$5,0) +
SUMIFS(rng_out_awp_post_yr3, rng_out_sel_G_ind, "G", rng_out_mail_ind, $B139, rng_out_sel_sp_ind, $D139, rng_out_sel_excl_ind,"N", rng_out_post_reb_ind_yr3, 0))/[1]Tables!$AT$4, 0))</f>
        <v>0</v>
      </c>
      <c r="AT139" s="5" cm="1">
        <f t="array" aca="1" ref="AT139" ca="1">IF($E$141="N", IFERROR(IF(OR(input_Shift="No", [1]Tables!$BN$4=1), 0, (SUMIFS(rng_out_awp_post_yr4,rng_out_sel_excl_yr_ind, "",rng_out_sel_G_ind,Q$1,rng_out_mail_ind,$B139,rng_out_sel_sp_ind,$D139,rng_out_sel_excl_ind,$E139, rng_out_MSB_excl, $F139)+
SUMIFS(rng_out_awp_post_yr4,rng_out_sel_excl_yr_ind, [1]Tables!$HN$4,rng_out_sel_G_ind,Q$1,rng_out_mail_ind,$B139,rng_out_sel_sp_ind,$D139,rng_out_sel_excl_ind,$E139, rng_out_MSB_excl, $F139)*         _xlfn.XLOOKUP([1]Tables!$HN$4,'[1]RA Output'!$AY$4:$AY$5,'[1]RA Output'!BC$4:BC$5,0)  +
SUMIFS(rng_out_awp_post_yr4,rng_out_sel_excl_yr_ind, [1]Tables!$HN$5,rng_out_sel_G_ind,Q$1,rng_out_mail_ind,$B139,rng_out_sel_sp_ind,$D139,rng_out_sel_excl_ind,$E139, rng_out_MSB_excl, $F139)* _xlfn.XLOOKUP([1]Tables!$HN$5,'[1]RA Output'!$AY$4:$AY$5,'[1]RA Output'!BC$4:BC$5,0)) * ((1-[1]Tables!$BN$4)/[1]Tables!$BN$4) * [1]Tables!$BN$5)/[1]Tables!$AT$4, 0)
+ IFERROR((SUMIFS(rng_out_awp_post_yr4,rng_out_sel_excl_yr_ind, "",rng_out_sel_G_ind,L$1,rng_out_mail_ind,$B139,rng_out_sel_sp_ind,$D139,rng_out_sel_excl_ind,$E139)+
SUMIFS(rng_out_awp_post_yr4,rng_out_sel_excl_yr_ind, [1]Tables!$HN$4,rng_out_sel_G_ind,L$1,rng_out_mail_ind,$B139,rng_out_sel_sp_ind,$D139,rng_out_sel_excl_ind,$E139)*         _xlfn.XLOOKUP([1]Tables!$HN$4,'[1]RA Output'!$AY$4:$AY$5,'[1]RA Output'!BC$4:BC$5,0)  +
SUMIFS(rng_out_awp_post_yr4,rng_out_sel_excl_yr_ind, [1]Tables!$HN$5,rng_out_sel_G_ind,L$1,rng_out_mail_ind,$B139,rng_out_sel_sp_ind,$D139,rng_out_sel_excl_ind,$E139)* _xlfn.XLOOKUP([1]Tables!$HN$5,'[1]RA Output'!$AY$4:$AY$5,'[1]RA Output'!BC$4:BC$5,0))/[1]Tables!$AT$4, 0),
IFERROR(IF(OR(input_Shift="No", [1]Tables!$BN$4=1), 0, (SUMIFS(rng_out_awp_post_yr4,rng_out_sel_excl_yr_ind, "",rng_out_sel_G_ind,Q$1,rng_out_mail_ind,$B139,rng_out_sel_sp_ind,$D139,rng_out_sel_excl_ind,$E139, rng_out_MSB_excl, $F139)+
SUMIFS(rng_out_awp_post_yr4,rng_out_sel_excl_yr_ind, [1]Tables!$HN$4,rng_out_sel_G_ind,Q$1,rng_out_mail_ind,$B139,rng_out_sel_sp_ind,$D139,rng_out_sel_excl_ind,$E139, rng_out_MSB_excl, $F139)*         _xlfn.XLOOKUP([1]Tables!$HN$4,'[1]RA Output'!$AY$4:$AY$5,'[1]RA Output'!BC$4:BC$5,0)  +
SUMIFS(rng_out_awp_post_yr4,rng_out_sel_excl_yr_ind, [1]Tables!$HN$5,rng_out_sel_G_ind,Q$1,rng_out_mail_ind,$B139,rng_out_sel_sp_ind,$D139,rng_out_sel_excl_ind,$E139, rng_out_MSB_excl, $F139)* _xlfn.XLOOKUP([1]Tables!$HN$5,'[1]RA Output'!$AY$4:$AY$5,'[1]RA Output'!BC$4:BC$5,0) +
SUMIFS(rng_out_awp_post_yr4, rng_out_mail_ind, $B139, rng_out_sel_G_ind, "B", rng_out_sel_sp_ind, $D139, rng_out_sel_excl_ind,"N", rng_out_MSB_excl, $F139, rng_out_post_reb_ind_yr4, 0)) * ((1-[1]Tables!$BN$4)/[1]Tables!$BN$4) * [1]Tables!$BN$5)/[1]Tables!$AT$4, 0) +
IFERROR((SUMIFS(rng_out_awp_post_yr4,rng_out_sel_excl_yr_ind, "",rng_out_sel_G_ind,L$1,rng_out_mail_ind,$B139,rng_out_sel_sp_ind,$D139,rng_out_sel_excl_ind,$E139)+
SUMIFS(rng_out_awp_post_yr4,rng_out_sel_excl_yr_ind, [1]Tables!$HN$4,rng_out_sel_G_ind,L$1,rng_out_mail_ind,$B139,rng_out_sel_sp_ind,$D139,rng_out_sel_excl_ind,$E139)*         _xlfn.XLOOKUP([1]Tables!$HN$4,'[1]RA Output'!$AY$4:$AY$5,'[1]RA Output'!BC$4:BC$5,0)  +
SUMIFS(rng_out_awp_post_yr4,rng_out_sel_excl_yr_ind, [1]Tables!$HN$5,rng_out_sel_G_ind,L$1,rng_out_mail_ind,$B139,rng_out_sel_sp_ind,$D139,rng_out_sel_excl_ind,$E139)* _xlfn.XLOOKUP([1]Tables!$HN$5,'[1]RA Output'!$AY$4:$AY$5,'[1]RA Output'!BC$4:BC$5,0) +
SUMIFS(rng_out_awp_post_yr4, rng_out_sel_G_ind, "G", rng_out_mail_ind, $B139, rng_out_sel_sp_ind, $D139, rng_out_sel_excl_ind,"N", rng_out_post_reb_ind_yr4, 0))/[1]Tables!$AT$4, 0))</f>
        <v>0</v>
      </c>
      <c r="AU139" s="85" cm="1">
        <f t="array" aca="1" ref="AU139" ca="1">IF($E$141="N", IFERROR(IF(OR(input_Shift="No", [1]Tables!$BN$4=1), 0, (SUMIFS(rng_out_awp_post_yr5,rng_out_sel_excl_yr_ind, "",rng_out_sel_G_ind,R$1,rng_out_mail_ind,$B139,rng_out_sel_sp_ind,$D139,rng_out_sel_excl_ind,$E139, rng_out_MSB_excl, $F139)+
SUMIFS(rng_out_awp_post_yr5,rng_out_sel_excl_yr_ind, [1]Tables!$HN$4,rng_out_sel_G_ind,R$1,rng_out_mail_ind,$B139,rng_out_sel_sp_ind,$D139,rng_out_sel_excl_ind,$E139, rng_out_MSB_excl, $F139)*         _xlfn.XLOOKUP([1]Tables!$HN$4,'[1]RA Output'!$AY$4:$AY$5,'[1]RA Output'!BD$4:BD$5,0)  +
SUMIFS(rng_out_awp_post_yr5,rng_out_sel_excl_yr_ind, [1]Tables!$HN$5,rng_out_sel_G_ind,R$1,rng_out_mail_ind,$B139,rng_out_sel_sp_ind,$D139,rng_out_sel_excl_ind,$E139, rng_out_MSB_excl, $F139)* _xlfn.XLOOKUP([1]Tables!$HN$5,'[1]RA Output'!$AY$4:$AY$5,'[1]RA Output'!BD$4:BD$5,0)) * ((1-[1]Tables!$BN$4)/[1]Tables!$BN$4) * [1]Tables!$BN$5)/[1]Tables!$AT$4, 0)
+ IFERROR((SUMIFS(rng_out_awp_post_yr5,rng_out_sel_excl_yr_ind, "",rng_out_sel_G_ind,M$1,rng_out_mail_ind,$B139,rng_out_sel_sp_ind,$D139,rng_out_sel_excl_ind,$E139)+
SUMIFS(rng_out_awp_post_yr5,rng_out_sel_excl_yr_ind, [1]Tables!$HN$4,rng_out_sel_G_ind,M$1,rng_out_mail_ind,$B139,rng_out_sel_sp_ind,$D139,rng_out_sel_excl_ind,$E139)*         _xlfn.XLOOKUP([1]Tables!$HN$4,'[1]RA Output'!$AY$4:$AY$5,'[1]RA Output'!BD$4:BD$5,0)  +
SUMIFS(rng_out_awp_post_yr5,rng_out_sel_excl_yr_ind, [1]Tables!$HN$5,rng_out_sel_G_ind,M$1,rng_out_mail_ind,$B139,rng_out_sel_sp_ind,$D139,rng_out_sel_excl_ind,$E139)* _xlfn.XLOOKUP([1]Tables!$HN$5,'[1]RA Output'!$AY$4:$AY$5,'[1]RA Output'!BD$4:BD$5,0))/[1]Tables!$AT$4, 0),
IFERROR(IF(OR(input_Shift="No", [1]Tables!$BN$4=1), 0, (SUMIFS(rng_out_awp_post_yr5,rng_out_sel_excl_yr_ind, "",rng_out_sel_G_ind,R$1,rng_out_mail_ind,$B139,rng_out_sel_sp_ind,$D139,rng_out_sel_excl_ind,$E139, rng_out_MSB_excl, $F139)+
SUMIFS(rng_out_awp_post_yr5,rng_out_sel_excl_yr_ind, [1]Tables!$HN$4,rng_out_sel_G_ind,R$1,rng_out_mail_ind,$B139,rng_out_sel_sp_ind,$D139,rng_out_sel_excl_ind,$E139, rng_out_MSB_excl, $F139)*         _xlfn.XLOOKUP([1]Tables!$HN$4,'[1]RA Output'!$AY$4:$AY$5,'[1]RA Output'!BD$4:BD$5,0)  +
SUMIFS(rng_out_awp_post_yr5,rng_out_sel_excl_yr_ind, [1]Tables!$HN$5,rng_out_sel_G_ind,R$1,rng_out_mail_ind,$B139,rng_out_sel_sp_ind,$D139,rng_out_sel_excl_ind,$E139, rng_out_MSB_excl, $F139)* _xlfn.XLOOKUP([1]Tables!$HN$5,'[1]RA Output'!$AY$4:$AY$5,'[1]RA Output'!BD$4:BD$5,0) +
SUMIFS(rng_out_awp_post_yr5, rng_out_mail_ind, $B139, rng_out_sel_G_ind, "B", rng_out_sel_sp_ind, $D139, rng_out_sel_excl_ind,"N", rng_out_MSB_excl, $F139, rng_out_post_reb_ind_yr5, 0)) * ((1-[1]Tables!$BN$4)/[1]Tables!$BN$4) * [1]Tables!$BN$5)/[1]Tables!$AT$4, 0) +
IFERROR((SUMIFS(rng_out_awp_post_yr5,rng_out_sel_excl_yr_ind, "",rng_out_sel_G_ind,M$1,rng_out_mail_ind,$B139,rng_out_sel_sp_ind,$D139,rng_out_sel_excl_ind,$E139)+
SUMIFS(rng_out_awp_post_yr5,rng_out_sel_excl_yr_ind, [1]Tables!$HN$4,rng_out_sel_G_ind,M$1,rng_out_mail_ind,$B139,rng_out_sel_sp_ind,$D139,rng_out_sel_excl_ind,$E139)*         _xlfn.XLOOKUP([1]Tables!$HN$4,'[1]RA Output'!$AY$4:$AY$5,'[1]RA Output'!BD$4:BD$5,0)  +
SUMIFS(rng_out_awp_post_yr5,rng_out_sel_excl_yr_ind, [1]Tables!$HN$5,rng_out_sel_G_ind,M$1,rng_out_mail_ind,$B139,rng_out_sel_sp_ind,$D139,rng_out_sel_excl_ind,$E139)* _xlfn.XLOOKUP([1]Tables!$HN$5,'[1]RA Output'!$AY$4:$AY$5,'[1]RA Output'!BD$4:BD$5,0) +
SUMIFS(rng_out_awp_post_yr5, rng_out_sel_G_ind, "G", rng_out_mail_ind, $B139, rng_out_sel_sp_ind, $D139, rng_out_sel_excl_ind,"N", rng_out_post_reb_ind_yr5, 0))/[1]Tables!$AT$4, 0))</f>
        <v>0</v>
      </c>
      <c r="AV139" s="86">
        <f t="shared" ca="1" si="138"/>
        <v>0</v>
      </c>
      <c r="AW139" s="75">
        <f t="shared" ca="1" si="138"/>
        <v>0</v>
      </c>
      <c r="AX139" s="75">
        <f t="shared" ca="1" si="138"/>
        <v>0</v>
      </c>
      <c r="AY139" s="75">
        <f t="shared" ca="1" si="138"/>
        <v>0</v>
      </c>
      <c r="AZ139" s="87">
        <f t="shared" ca="1" si="138"/>
        <v>0</v>
      </c>
      <c r="BG139" s="121" t="s">
        <v>7</v>
      </c>
      <c r="BH139" s="97">
        <f t="shared" ca="1" si="139"/>
        <v>0</v>
      </c>
      <c r="BI139" s="79">
        <f t="shared" ca="1" si="139"/>
        <v>0</v>
      </c>
      <c r="BJ139" s="79">
        <f t="shared" ca="1" si="139"/>
        <v>0</v>
      </c>
      <c r="BK139" s="79">
        <f t="shared" ca="1" si="139"/>
        <v>0</v>
      </c>
      <c r="BL139" s="98">
        <f t="shared" ca="1" si="139"/>
        <v>0</v>
      </c>
      <c r="BM139" s="92">
        <f t="shared" ca="1" si="140"/>
        <v>0</v>
      </c>
      <c r="BN139" s="75">
        <f t="shared" ca="1" si="140"/>
        <v>0</v>
      </c>
      <c r="BO139" s="75">
        <f t="shared" ca="1" si="140"/>
        <v>0</v>
      </c>
      <c r="BP139" s="75">
        <f t="shared" ca="1" si="140"/>
        <v>0</v>
      </c>
      <c r="BQ139" s="93">
        <f t="shared" ca="1" si="140"/>
        <v>0</v>
      </c>
      <c r="BX139" s="121" t="s">
        <v>7</v>
      </c>
      <c r="BY139" s="97" t="e">
        <f t="shared" ca="1" si="141"/>
        <v>#VALUE!</v>
      </c>
      <c r="BZ139" s="79" t="e">
        <f t="shared" ca="1" si="141"/>
        <v>#VALUE!</v>
      </c>
      <c r="CA139" s="79" t="e">
        <f t="shared" ca="1" si="141"/>
        <v>#VALUE!</v>
      </c>
      <c r="CB139" s="79" t="e">
        <f t="shared" ca="1" si="141"/>
        <v>#VALUE!</v>
      </c>
      <c r="CC139" s="98" t="e">
        <f t="shared" ca="1" si="141"/>
        <v>#VALUE!</v>
      </c>
      <c r="CD139" s="92">
        <f t="shared" ca="1" si="142"/>
        <v>0</v>
      </c>
      <c r="CE139" s="75">
        <f t="shared" ca="1" si="142"/>
        <v>0</v>
      </c>
      <c r="CF139" s="75">
        <f t="shared" ca="1" si="142"/>
        <v>0</v>
      </c>
      <c r="CG139" s="75">
        <f t="shared" ca="1" si="142"/>
        <v>0</v>
      </c>
      <c r="CH139" s="93">
        <f t="shared" ca="1" si="142"/>
        <v>0</v>
      </c>
      <c r="CO139" s="213" cm="1">
        <f t="array" aca="1" ref="CO139" ca="1">_xlfn.SINGLE(IFERROR(SUMIFS(rng_out_awp_base, rng_out_sel_G_ind, "G", rng_out_mail_ind, $B139, rng_out_sel_sp_ind, $D139, rng_out_sel_excl_ind,"Y")/[1]Tables!$AT$4, 0))</f>
        <v>0</v>
      </c>
      <c r="CP139" s="214" cm="1">
        <f t="array" aca="1" ref="CP139" ca="1">_xlfn.SINGLE(IFERROR(SUMIFS(rng_out_awp_base, rng_out_sel_G_ind, "B", rng_out_mail_ind, $B139, rng_out_sel_sp_ind, $D139, rng_out_sel_excl_ind,"Y")/[1]Tables!$AT$4, 0))</f>
        <v>0</v>
      </c>
      <c r="CQ139" s="220">
        <f ca="1">SUM(CO139:CP139)</f>
        <v>0</v>
      </c>
      <c r="CR139" s="92">
        <f t="shared" ca="1" si="143"/>
        <v>0</v>
      </c>
      <c r="CS139" s="93">
        <f t="shared" ca="1" si="143"/>
        <v>0</v>
      </c>
      <c r="CT139" s="358">
        <f t="shared" ca="1" si="143"/>
        <v>0</v>
      </c>
    </row>
    <row r="140" spans="1:111" ht="15" thickBot="1" x14ac:dyDescent="0.4">
      <c r="B140" s="122"/>
      <c r="C140" s="123"/>
      <c r="D140" s="123" t="s">
        <v>13</v>
      </c>
      <c r="E140" s="124" t="s">
        <v>13</v>
      </c>
      <c r="F140" s="106">
        <v>1</v>
      </c>
      <c r="H140" s="118" t="s">
        <v>17</v>
      </c>
      <c r="I140" s="72" t="e" cm="1">
        <f t="array" aca="1" ref="I140" ca="1">SUMIFS(rng_out_awp_pre_yr1,rng_out_sel_excl_yr_ind, "",rng_out_sel_G_ind,I$1,rng_out_sel_sp_ind,$D111,rng_out_sel_excl_ind,$E140)+
SUMIFS(rng_out_awp_pre_yr1,rng_out_sel_excl_yr_ind, [1]Tables!$HN$4,rng_out_sel_G_ind,I$1,rng_out_sel_sp_ind,$D111,rng_out_sel_excl_ind,$E140)*         _xlfn.XLOOKUP([1]Tables!$HN$4,'[1]RA Output'!$AY$4:$AY$5,'[1]RA Output'!AZ$4:AZ$5,0)  +
SUMIFS(rng_out_awp_pre_yr1,rng_out_sel_excl_yr_ind, [1]Tables!$HN$5,rng_out_sel_G_ind,I$1,rng_out_sel_sp_ind,$D111,rng_out_sel_excl_ind,$E140)* _xlfn.XLOOKUP([1]Tables!$HN$5,'[1]RA Output'!$AY$4:$AY$5,'[1]RA Output'!AZ$4:AZ$5,0)+
IF($E$141="Y", SUMIFS(rng_out_awp_pre_yr1, rng_out_sel_G_ind, "G", rng_out_sel_sp_ind, $D140, rng_out_sel_excl_ind,"N", rng_out_post_reb_ind_yr1, 0), 0)</f>
        <v>#VALUE!</v>
      </c>
      <c r="J140" s="5" t="e" cm="1">
        <f t="array" aca="1" ref="J140" ca="1">SUMIFS(rng_out_awp_pre_yr2,rng_out_sel_excl_yr_ind, "",rng_out_sel_G_ind,J$1,rng_out_sel_sp_ind,$D111,rng_out_sel_excl_ind,$E140)+
SUMIFS(rng_out_awp_pre_yr2,rng_out_sel_excl_yr_ind, [1]Tables!$HN$4,rng_out_sel_G_ind,J$1,rng_out_sel_sp_ind,$D111,rng_out_sel_excl_ind,$E140)*         _xlfn.XLOOKUP([1]Tables!$HN$4,'[1]RA Output'!$AY$4:$AY$5,'[1]RA Output'!BA$4:BA$5,0)  +
SUMIFS(rng_out_awp_pre_yr2,rng_out_sel_excl_yr_ind, [1]Tables!$HN$5,rng_out_sel_G_ind,J$1,rng_out_sel_sp_ind,$D111,rng_out_sel_excl_ind,$E140)* _xlfn.XLOOKUP([1]Tables!$HN$5,'[1]RA Output'!$AY$4:$AY$5,'[1]RA Output'!BA$4:BA$5,0)+
IF($E$141="Y", SUMIFS(rng_out_awp_pre_yr2, rng_out_sel_G_ind, "G", rng_out_sel_sp_ind, $D140, rng_out_sel_excl_ind,"N", rng_out_post_reb_ind_yr2, 0), 0)</f>
        <v>#VALUE!</v>
      </c>
      <c r="K140" s="5" t="e" cm="1">
        <f t="array" aca="1" ref="K140" ca="1">SUMIFS(rng_out_awp_pre_yr3,rng_out_sel_excl_yr_ind, "",rng_out_sel_G_ind,K$1,rng_out_sel_sp_ind,$D111,rng_out_sel_excl_ind,$E140)+
SUMIFS(rng_out_awp_pre_yr3,rng_out_sel_excl_yr_ind, [1]Tables!$HN$4,rng_out_sel_G_ind,K$1,rng_out_sel_sp_ind,$D111,rng_out_sel_excl_ind,$E140)*         _xlfn.XLOOKUP([1]Tables!$HN$4,'[1]RA Output'!$AY$4:$AY$5,'[1]RA Output'!BB$4:BB$5,0)  +
SUMIFS(rng_out_awp_pre_yr3,rng_out_sel_excl_yr_ind, [1]Tables!$HN$5,rng_out_sel_G_ind,K$1,rng_out_sel_sp_ind,$D111,rng_out_sel_excl_ind,$E140)* _xlfn.XLOOKUP([1]Tables!$HN$5,'[1]RA Output'!$AY$4:$AY$5,'[1]RA Output'!BB$4:BB$5,0)+
IF($E$141="Y", SUMIFS(rng_out_awp_pre_yr3, rng_out_sel_G_ind, "G", rng_out_sel_sp_ind, $D140, rng_out_sel_excl_ind,"N", rng_out_post_reb_ind_yr3, 0), 0)</f>
        <v>#VALUE!</v>
      </c>
      <c r="L140" s="5" t="e" cm="1">
        <f t="array" aca="1" ref="L140" ca="1">SUMIFS(rng_out_awp_pre_yr4,rng_out_sel_excl_yr_ind, "",rng_out_sel_G_ind,L$1,rng_out_sel_sp_ind,$D111,rng_out_sel_excl_ind,$E140)+
SUMIFS(rng_out_awp_pre_yr4,rng_out_sel_excl_yr_ind, [1]Tables!$HN$4,rng_out_sel_G_ind,L$1,rng_out_sel_sp_ind,$D111,rng_out_sel_excl_ind,$E140)*         _xlfn.XLOOKUP([1]Tables!$HN$4,'[1]RA Output'!$AY$4:$AY$5,'[1]RA Output'!BC$4:BC$5,0)  +
SUMIFS(rng_out_awp_pre_yr4,rng_out_sel_excl_yr_ind, [1]Tables!$HN$5,rng_out_sel_G_ind,L$1,rng_out_sel_sp_ind,$D111,rng_out_sel_excl_ind,$E140)* _xlfn.XLOOKUP([1]Tables!$HN$5,'[1]RA Output'!$AY$4:$AY$5,'[1]RA Output'!BC$4:BC$5,0)+
IF($E$141="Y", SUMIFS(rng_out_awp_pre_yr4, rng_out_sel_G_ind, "G", rng_out_sel_sp_ind, $D140, rng_out_sel_excl_ind,"N", rng_out_post_reb_ind_yr4, 0), 0)</f>
        <v>#VALUE!</v>
      </c>
      <c r="M140" s="125" t="e" cm="1">
        <f t="array" aca="1" ref="M140" ca="1">SUMIFS(rng_out_awp_pre_yr5,rng_out_sel_excl_yr_ind, "",rng_out_sel_G_ind,M$1,rng_out_sel_sp_ind,$D111,rng_out_sel_excl_ind,$E140)+
SUMIFS(rng_out_awp_pre_yr5,rng_out_sel_excl_yr_ind, [1]Tables!$HN$4,rng_out_sel_G_ind,M$1,rng_out_sel_sp_ind,$D111,rng_out_sel_excl_ind,$E140)*         _xlfn.XLOOKUP([1]Tables!$HN$4,'[1]RA Output'!$AY$4:$AY$5,'[1]RA Output'!BD$4:BD$5,0)  +
SUMIFS(rng_out_awp_pre_yr5,rng_out_sel_excl_yr_ind, [1]Tables!$HN$5,rng_out_sel_G_ind,M$1,rng_out_sel_sp_ind,$D111,rng_out_sel_excl_ind,$E140)* _xlfn.XLOOKUP([1]Tables!$HN$5,'[1]RA Output'!$AY$4:$AY$5,'[1]RA Output'!BD$4:BD$5,0)+
IF($E$141="Y", SUMIFS(rng_out_awp_pre_yr5, rng_out_sel_G_ind, "G", rng_out_sel_sp_ind, $D140, rng_out_sel_excl_ind,"N", rng_out_post_reb_ind_yr5, 0), 0)</f>
        <v>#VALUE!</v>
      </c>
      <c r="N140" s="74">
        <f t="shared" ca="1" si="136"/>
        <v>0</v>
      </c>
      <c r="O140" s="75">
        <f t="shared" ca="1" si="136"/>
        <v>0</v>
      </c>
      <c r="P140" s="75">
        <f t="shared" ca="1" si="136"/>
        <v>0</v>
      </c>
      <c r="Q140" s="75">
        <f t="shared" ca="1" si="136"/>
        <v>0</v>
      </c>
      <c r="R140" s="126">
        <f t="shared" ca="1" si="136"/>
        <v>0</v>
      </c>
      <c r="Y140" s="119" t="s">
        <v>17</v>
      </c>
      <c r="Z140" s="127">
        <f ca="1">IFERROR(I140/[1]Tables!$AT$4, 0)</f>
        <v>0</v>
      </c>
      <c r="AA140" s="128">
        <f ca="1">IFERROR(J140/[1]Tables!$AT$4, 0)</f>
        <v>0</v>
      </c>
      <c r="AB140" s="128">
        <f ca="1">IFERROR(K140/[1]Tables!$AT$4, 0)</f>
        <v>0</v>
      </c>
      <c r="AC140" s="128">
        <f ca="1">IFERROR(L140/[1]Tables!$AT$4, 0)</f>
        <v>0</v>
      </c>
      <c r="AD140" s="129">
        <f ca="1">IFERROR(M140/[1]Tables!$AT$4, 0)</f>
        <v>0</v>
      </c>
      <c r="AE140" s="130">
        <f t="shared" ca="1" si="137"/>
        <v>0</v>
      </c>
      <c r="AF140" s="131">
        <f t="shared" ca="1" si="137"/>
        <v>0</v>
      </c>
      <c r="AG140" s="131">
        <f t="shared" ca="1" si="137"/>
        <v>0</v>
      </c>
      <c r="AH140" s="131">
        <f t="shared" ca="1" si="137"/>
        <v>0</v>
      </c>
      <c r="AI140" s="132">
        <f t="shared" ca="1" si="137"/>
        <v>0</v>
      </c>
      <c r="AP140" s="120" t="s">
        <v>17</v>
      </c>
      <c r="AQ140" s="167" cm="1">
        <f t="array" aca="1" ref="AQ140" ca="1">IF($E$141="N", IFERROR(IF(OR(input_Shift="No", [1]Tables!$BN$4=1), 0, (SUMIFS(rng_out_awp_post_yr1,rng_out_sel_excl_yr_ind, "",rng_out_sel_G_ind,N$1,rng_out_sel_sp_ind,$D140,rng_out_sel_excl_ind,$E140, rng_out_MSB_excl, $F140)+
SUMIFS(rng_out_awp_post_yr1,rng_out_sel_excl_yr_ind, [1]Tables!$HN$4,rng_out_sel_G_ind,N$1,rng_out_sel_sp_ind,$D140,rng_out_sel_excl_ind,$E140, rng_out_MSB_excl, $F140)*         _xlfn.XLOOKUP([1]Tables!$HN$4,'[1]RA Output'!$AY$4:$AY$5,'[1]RA Output'!AZ$4:AZ$5,0)  +
SUMIFS(rng_out_awp_post_yr1,rng_out_sel_excl_yr_ind, [1]Tables!$HN$5,rng_out_sel_G_ind,N$1,rng_out_sel_sp_ind,$D140,rng_out_sel_excl_ind,$E140, rng_out_MSB_excl, $F140)* _xlfn.XLOOKUP([1]Tables!$HN$5,'[1]RA Output'!$AY$4:$AY$5,'[1]RA Output'!AZ$4:AZ$5,0)) * ((1-[1]Tables!$BN$4)/[1]Tables!$BN$4) * [1]Tables!$BN$5)/[1]Tables!$AT$4, 0)
+ IFERROR((SUMIFS(rng_out_awp_post_yr1,rng_out_sel_excl_yr_ind, "",rng_out_sel_G_ind,I$1,rng_out_sel_sp_ind,$D140,rng_out_sel_excl_ind,$E140)+
SUMIFS(rng_out_awp_post_yr1,rng_out_sel_excl_yr_ind, [1]Tables!$HN$4,rng_out_sel_G_ind,I$1,rng_out_sel_sp_ind,$D140,rng_out_sel_excl_ind,$E140)*         _xlfn.XLOOKUP([1]Tables!$HN$4,'[1]RA Output'!$AY$4:$AY$5,'[1]RA Output'!AZ$4:AZ$5,0)  +
SUMIFS(rng_out_awp_post_yr1,rng_out_sel_excl_yr_ind, [1]Tables!$HN$5,rng_out_sel_G_ind,I$1,rng_out_sel_sp_ind,$D140,rng_out_sel_excl_ind,$E140)* _xlfn.XLOOKUP([1]Tables!$HN$5,'[1]RA Output'!$AY$4:$AY$5,'[1]RA Output'!AZ$4:AZ$5,0))/[1]Tables!$AT$4, 0),
IFERROR(IF(OR(input_Shift="No", [1]Tables!$BN$4=1), 0, (SUMIFS(rng_out_awp_post_yr1,rng_out_sel_excl_yr_ind, "",rng_out_sel_G_ind,N$1,rng_out_sel_sp_ind,$D140,rng_out_sel_excl_ind,$E140, rng_out_MSB_excl, $F140)+
SUMIFS(rng_out_awp_post_yr1,rng_out_sel_excl_yr_ind, [1]Tables!$HN$4,rng_out_sel_G_ind,N$1,rng_out_sel_sp_ind,$D140,rng_out_sel_excl_ind,$E140, rng_out_MSB_excl, $F140)*         _xlfn.XLOOKUP([1]Tables!$HN$4,'[1]RA Output'!$AY$4:$AY$5,'[1]RA Output'!AZ$4:AZ$5,0)  +
SUMIFS(rng_out_awp_post_yr1,rng_out_sel_excl_yr_ind, [1]Tables!$HN$5,rng_out_sel_G_ind,N$1,rng_out_sel_sp_ind,$D140,rng_out_sel_excl_ind,$E140, rng_out_MSB_excl, $F140)* _xlfn.XLOOKUP([1]Tables!$HN$5,'[1]RA Output'!$AY$4:$AY$5,'[1]RA Output'!AZ$4:AZ$5,0) +
SUMIFS(rng_out_awp_post_yr1, rng_out_sel_G_ind, "B", rng_out_sel_sp_ind, $D140, rng_out_sel_excl_ind,"N", rng_out_MSB_excl, $F140, rng_out_post_reb_ind_yr1, 0)) * ((1-[1]Tables!$BN$4)/[1]Tables!$BN$4) * [1]Tables!$BN$5)/[1]Tables!$AT$4, 0) +
IFERROR((SUMIFS(rng_out_awp_post_yr1,rng_out_sel_excl_yr_ind, "",rng_out_sel_G_ind,I$1,rng_out_sel_sp_ind,$D140,rng_out_sel_excl_ind,$E140)+
SUMIFS(rng_out_awp_post_yr1,rng_out_sel_excl_yr_ind, [1]Tables!$HN$4,rng_out_sel_G_ind,I$1,rng_out_sel_sp_ind,$D140,rng_out_sel_excl_ind,$E140)*         _xlfn.XLOOKUP([1]Tables!$HN$4,'[1]RA Output'!$AY$4:$AY$5,'[1]RA Output'!AZ$4:AZ$5,0)  +
SUMIFS(rng_out_awp_post_yr1,rng_out_sel_excl_yr_ind, [1]Tables!$HN$5,rng_out_sel_G_ind,I$1,rng_out_sel_sp_ind,$D140,rng_out_sel_excl_ind,$E140)* _xlfn.XLOOKUP([1]Tables!$HN$5,'[1]RA Output'!$AY$4:$AY$5,'[1]RA Output'!AZ$4:AZ$5,0) +
SUMIFS(rng_out_awp_post_yr1, rng_out_sel_G_ind, "G", rng_out_sel_sp_ind, $D140, rng_out_sel_excl_ind,"N", rng_out_post_reb_ind_yr1, 0))/[1]Tables!$AT$4, 0))</f>
        <v>0</v>
      </c>
      <c r="AR140" s="134" cm="1">
        <f t="array" aca="1" ref="AR140" ca="1">IF($E$141="N", IFERROR(IF(OR(input_Shift="No", [1]Tables!$BN$4=1), 0, (SUMIFS(rng_out_awp_post_yr2,rng_out_sel_excl_yr_ind, "",rng_out_sel_G_ind,O$1,rng_out_sel_sp_ind,$D140,rng_out_sel_excl_ind,$E140, rng_out_MSB_excl, $F140)+
SUMIFS(rng_out_awp_post_yr2,rng_out_sel_excl_yr_ind, [1]Tables!$HN$4,rng_out_sel_G_ind,O$1,rng_out_sel_sp_ind,$D140,rng_out_sel_excl_ind,$E140, rng_out_MSB_excl, $F140)*         _xlfn.XLOOKUP([1]Tables!$HN$4,'[1]RA Output'!$AY$4:$AY$5,'[1]RA Output'!BA$4:BA$5,0)  +
SUMIFS(rng_out_awp_post_yr2,rng_out_sel_excl_yr_ind, [1]Tables!$HN$5,rng_out_sel_G_ind,O$1,rng_out_sel_sp_ind,$D140,rng_out_sel_excl_ind,$E140, rng_out_MSB_excl, $F140)* _xlfn.XLOOKUP([1]Tables!$HN$5,'[1]RA Output'!$AY$4:$AY$5,'[1]RA Output'!BA$4:BA$5,0)) * ((1-[1]Tables!$BN$4)/[1]Tables!$BN$4) * [1]Tables!$BN$5)/[1]Tables!$AT$4, 0)
+ IFERROR((SUMIFS(rng_out_awp_post_yr2,rng_out_sel_excl_yr_ind, "",rng_out_sel_G_ind,J$1,rng_out_sel_sp_ind,$D140,rng_out_sel_excl_ind,$E140)+
SUMIFS(rng_out_awp_post_yr2,rng_out_sel_excl_yr_ind, [1]Tables!$HN$4,rng_out_sel_G_ind,J$1,rng_out_sel_sp_ind,$D140,rng_out_sel_excl_ind,$E140)*         _xlfn.XLOOKUP([1]Tables!$HN$4,'[1]RA Output'!$AY$4:$AY$5,'[1]RA Output'!BA$4:BA$5,0)  +
SUMIFS(rng_out_awp_post_yr2,rng_out_sel_excl_yr_ind, [1]Tables!$HN$5,rng_out_sel_G_ind,J$1,rng_out_sel_sp_ind,$D140,rng_out_sel_excl_ind,$E140)* _xlfn.XLOOKUP([1]Tables!$HN$5,'[1]RA Output'!$AY$4:$AY$5,'[1]RA Output'!BA$4:BA$5,0))/[1]Tables!$AT$4, 0),
IFERROR(IF(OR(input_Shift="No", [1]Tables!$BN$4=1), 0, (SUMIFS(rng_out_awp_post_yr2,rng_out_sel_excl_yr_ind, "",rng_out_sel_G_ind,O$1,rng_out_sel_sp_ind,$D140,rng_out_sel_excl_ind,$E140, rng_out_MSB_excl, $F140)+
SUMIFS(rng_out_awp_post_yr2,rng_out_sel_excl_yr_ind, [1]Tables!$HN$4,rng_out_sel_G_ind,O$1,rng_out_sel_sp_ind,$D140,rng_out_sel_excl_ind,$E140, rng_out_MSB_excl, $F140)*         _xlfn.XLOOKUP([1]Tables!$HN$4,'[1]RA Output'!$AY$4:$AY$5,'[1]RA Output'!BA$4:BA$5,0)  +
SUMIFS(rng_out_awp_post_yr2,rng_out_sel_excl_yr_ind, [1]Tables!$HN$5,rng_out_sel_G_ind,O$1,rng_out_sel_sp_ind,$D140,rng_out_sel_excl_ind,$E140, rng_out_MSB_excl, $F140)* _xlfn.XLOOKUP([1]Tables!$HN$5,'[1]RA Output'!$AY$4:$AY$5,'[1]RA Output'!BA$4:BA$5,0) +
SUMIFS(rng_out_awp_post_yr2, rng_out_sel_G_ind, "B", rng_out_sel_sp_ind, $D140, rng_out_sel_excl_ind,"N", rng_out_MSB_excl, $F140, rng_out_post_reb_ind_yr2, 0)) * ((1-[1]Tables!$BN$4)/[1]Tables!$BN$4) * [1]Tables!$BN$5)/[1]Tables!$AT$4, 0) +
IFERROR((SUMIFS(rng_out_awp_post_yr2,rng_out_sel_excl_yr_ind, "",rng_out_sel_G_ind,J$1,rng_out_sel_sp_ind,$D140,rng_out_sel_excl_ind,$E140)+
SUMIFS(rng_out_awp_post_yr2,rng_out_sel_excl_yr_ind, [1]Tables!$HN$4,rng_out_sel_G_ind,J$1,rng_out_sel_sp_ind,$D140,rng_out_sel_excl_ind,$E140)*         _xlfn.XLOOKUP([1]Tables!$HN$4,'[1]RA Output'!$AY$4:$AY$5,'[1]RA Output'!BA$4:BA$5,0)  +
SUMIFS(rng_out_awp_post_yr2,rng_out_sel_excl_yr_ind, [1]Tables!$HN$5,rng_out_sel_G_ind,J$1,rng_out_sel_sp_ind,$D140,rng_out_sel_excl_ind,$E140)* _xlfn.XLOOKUP([1]Tables!$HN$5,'[1]RA Output'!$AY$4:$AY$5,'[1]RA Output'!BA$4:BA$5,0) +
SUMIFS(rng_out_awp_post_yr2, rng_out_sel_G_ind, "G", rng_out_sel_sp_ind, $D140, rng_out_sel_excl_ind,"N", rng_out_post_reb_ind_yr2, 0))/[1]Tables!$AT$4, 0))</f>
        <v>0</v>
      </c>
      <c r="AS140" s="134" cm="1">
        <f t="array" aca="1" ref="AS140" ca="1">IF($E$141="N", IFERROR(IF(OR(input_Shift="No", [1]Tables!$BN$4=1), 0, (SUMIFS(rng_out_awp_post_yr3,rng_out_sel_excl_yr_ind, "",rng_out_sel_G_ind,P$1,rng_out_sel_sp_ind,$D140,rng_out_sel_excl_ind,$E140, rng_out_MSB_excl, $F140)+
SUMIFS(rng_out_awp_post_yr3,rng_out_sel_excl_yr_ind, [1]Tables!$HN$4,rng_out_sel_G_ind,P$1,rng_out_sel_sp_ind,$D140,rng_out_sel_excl_ind,$E140, rng_out_MSB_excl, $F140)*         _xlfn.XLOOKUP([1]Tables!$HN$4,'[1]RA Output'!$AY$4:$AY$5,'[1]RA Output'!BB$4:BB$5,0)  +
SUMIFS(rng_out_awp_post_yr3,rng_out_sel_excl_yr_ind, [1]Tables!$HN$5,rng_out_sel_G_ind,P$1,rng_out_sel_sp_ind,$D140,rng_out_sel_excl_ind,$E140, rng_out_MSB_excl, $F140)* _xlfn.XLOOKUP([1]Tables!$HN$5,'[1]RA Output'!$AY$4:$AY$5,'[1]RA Output'!BB$4:BB$5,0)) * ((1-[1]Tables!$BN$4)/[1]Tables!$BN$4) * [1]Tables!$BN$5)/[1]Tables!$AT$4, 0)
+ IFERROR((SUMIFS(rng_out_awp_post_yr3,rng_out_sel_excl_yr_ind, "",rng_out_sel_G_ind,K$1,rng_out_sel_sp_ind,$D140,rng_out_sel_excl_ind,$E140)+
SUMIFS(rng_out_awp_post_yr3,rng_out_sel_excl_yr_ind, [1]Tables!$HN$4,rng_out_sel_G_ind,K$1,rng_out_sel_sp_ind,$D140,rng_out_sel_excl_ind,$E140)*         _xlfn.XLOOKUP([1]Tables!$HN$4,'[1]RA Output'!$AY$4:$AY$5,'[1]RA Output'!BB$4:BB$5,0)  +
SUMIFS(rng_out_awp_post_yr3,rng_out_sel_excl_yr_ind, [1]Tables!$HN$5,rng_out_sel_G_ind,K$1,rng_out_sel_sp_ind,$D140,rng_out_sel_excl_ind,$E140)* _xlfn.XLOOKUP([1]Tables!$HN$5,'[1]RA Output'!$AY$4:$AY$5,'[1]RA Output'!BB$4:BB$5,0))/[1]Tables!$AT$4, 0),
IFERROR(IF(OR(input_Shift="No", [1]Tables!$BN$4=1), 0, (SUMIFS(rng_out_awp_post_yr3,rng_out_sel_excl_yr_ind, "",rng_out_sel_G_ind,P$1,rng_out_sel_sp_ind,$D140,rng_out_sel_excl_ind,$E140, rng_out_MSB_excl, $F140)+
SUMIFS(rng_out_awp_post_yr3,rng_out_sel_excl_yr_ind, [1]Tables!$HN$4,rng_out_sel_G_ind,P$1,rng_out_sel_sp_ind,$D140,rng_out_sel_excl_ind,$E140, rng_out_MSB_excl, $F140)*         _xlfn.XLOOKUP([1]Tables!$HN$4,'[1]RA Output'!$AY$4:$AY$5,'[1]RA Output'!BB$4:BB$5,0)  +
SUMIFS(rng_out_awp_post_yr3,rng_out_sel_excl_yr_ind, [1]Tables!$HN$5,rng_out_sel_G_ind,P$1,rng_out_sel_sp_ind,$D140,rng_out_sel_excl_ind,$E140, rng_out_MSB_excl, $F140)* _xlfn.XLOOKUP([1]Tables!$HN$5,'[1]RA Output'!$AY$4:$AY$5,'[1]RA Output'!BB$4:BB$5,0) +
SUMIFS(rng_out_awp_post_yr3, rng_out_sel_G_ind, "B", rng_out_sel_sp_ind, $D140, rng_out_sel_excl_ind,"N", rng_out_MSB_excl, $F140, rng_out_post_reb_ind_yr3, 0)) * ((1-[1]Tables!$BN$4)/[1]Tables!$BN$4) * [1]Tables!$BN$5)/[1]Tables!$AT$4, 0) +
IFERROR((SUMIFS(rng_out_awp_post_yr3,rng_out_sel_excl_yr_ind, "",rng_out_sel_G_ind,K$1,rng_out_sel_sp_ind,$D140,rng_out_sel_excl_ind,$E140)+
SUMIFS(rng_out_awp_post_yr3,rng_out_sel_excl_yr_ind, [1]Tables!$HN$4,rng_out_sel_G_ind,K$1,rng_out_sel_sp_ind,$D140,rng_out_sel_excl_ind,$E140)*         _xlfn.XLOOKUP([1]Tables!$HN$4,'[1]RA Output'!$AY$4:$AY$5,'[1]RA Output'!BB$4:BB$5,0)  +
SUMIFS(rng_out_awp_post_yr3,rng_out_sel_excl_yr_ind, [1]Tables!$HN$5,rng_out_sel_G_ind,K$1,rng_out_sel_sp_ind,$D140,rng_out_sel_excl_ind,$E140)* _xlfn.XLOOKUP([1]Tables!$HN$5,'[1]RA Output'!$AY$4:$AY$5,'[1]RA Output'!BB$4:BB$5,0) +
SUMIFS(rng_out_awp_post_yr3, rng_out_sel_G_ind, "G", rng_out_sel_sp_ind, $D140, rng_out_sel_excl_ind,"N", rng_out_post_reb_ind_yr3, 0))/[1]Tables!$AT$4, 0))</f>
        <v>0</v>
      </c>
      <c r="AT140" s="134" cm="1">
        <f t="array" aca="1" ref="AT140" ca="1">IF($E$141="N", IFERROR(IF(OR(input_Shift="No", [1]Tables!$BN$4=1), 0, (SUMIFS(rng_out_awp_post_yr4,rng_out_sel_excl_yr_ind, "",rng_out_sel_G_ind,Q$1,rng_out_sel_sp_ind,$D140,rng_out_sel_excl_ind,$E140, rng_out_MSB_excl, $F140)+
SUMIFS(rng_out_awp_post_yr4,rng_out_sel_excl_yr_ind, [1]Tables!$HN$4,rng_out_sel_G_ind,Q$1,rng_out_sel_sp_ind,$D140,rng_out_sel_excl_ind,$E140, rng_out_MSB_excl, $F140)*         _xlfn.XLOOKUP([1]Tables!$HN$4,'[1]RA Output'!$AY$4:$AY$5,'[1]RA Output'!BC$4:BC$5,0)  +
SUMIFS(rng_out_awp_post_yr4,rng_out_sel_excl_yr_ind, [1]Tables!$HN$5,rng_out_sel_G_ind,Q$1,rng_out_sel_sp_ind,$D140,rng_out_sel_excl_ind,$E140, rng_out_MSB_excl, $F140)* _xlfn.XLOOKUP([1]Tables!$HN$5,'[1]RA Output'!$AY$4:$AY$5,'[1]RA Output'!BC$4:BC$5,0)) * ((1-[1]Tables!$BN$4)/[1]Tables!$BN$4) * [1]Tables!$BN$5)/[1]Tables!$AT$4, 0)
+ IFERROR((SUMIFS(rng_out_awp_post_yr4,rng_out_sel_excl_yr_ind, "",rng_out_sel_G_ind,L$1,rng_out_sel_sp_ind,$D140,rng_out_sel_excl_ind,$E140)+
SUMIFS(rng_out_awp_post_yr4,rng_out_sel_excl_yr_ind, [1]Tables!$HN$4,rng_out_sel_G_ind,L$1,rng_out_sel_sp_ind,$D140,rng_out_sel_excl_ind,$E140)*         _xlfn.XLOOKUP([1]Tables!$HN$4,'[1]RA Output'!$AY$4:$AY$5,'[1]RA Output'!BC$4:BC$5,0)  +
SUMIFS(rng_out_awp_post_yr4,rng_out_sel_excl_yr_ind, [1]Tables!$HN$5,rng_out_sel_G_ind,L$1,rng_out_sel_sp_ind,$D140,rng_out_sel_excl_ind,$E140)* _xlfn.XLOOKUP([1]Tables!$HN$5,'[1]RA Output'!$AY$4:$AY$5,'[1]RA Output'!BC$4:BC$5,0))/[1]Tables!$AT$4, 0),
IFERROR(IF(OR(input_Shift="No", [1]Tables!$BN$4=1), 0, (SUMIFS(rng_out_awp_post_yr4,rng_out_sel_excl_yr_ind, "",rng_out_sel_G_ind,Q$1,rng_out_sel_sp_ind,$D140,rng_out_sel_excl_ind,$E140, rng_out_MSB_excl, $F140)+
SUMIFS(rng_out_awp_post_yr4,rng_out_sel_excl_yr_ind, [1]Tables!$HN$4,rng_out_sel_G_ind,Q$1,rng_out_sel_sp_ind,$D140,rng_out_sel_excl_ind,$E140, rng_out_MSB_excl, $F140)*         _xlfn.XLOOKUP([1]Tables!$HN$4,'[1]RA Output'!$AY$4:$AY$5,'[1]RA Output'!BC$4:BC$5,0)  +
SUMIFS(rng_out_awp_post_yr4,rng_out_sel_excl_yr_ind, [1]Tables!$HN$5,rng_out_sel_G_ind,Q$1,rng_out_sel_sp_ind,$D140,rng_out_sel_excl_ind,$E140, rng_out_MSB_excl, $F140)* _xlfn.XLOOKUP([1]Tables!$HN$5,'[1]RA Output'!$AY$4:$AY$5,'[1]RA Output'!BC$4:BC$5,0) +
SUMIFS(rng_out_awp_post_yr4, rng_out_sel_G_ind, "B", rng_out_sel_sp_ind, $D140, rng_out_sel_excl_ind,"N", rng_out_MSB_excl, $F140, rng_out_post_reb_ind_yr4, 0)) * ((1-[1]Tables!$BN$4)/[1]Tables!$BN$4) * [1]Tables!$BN$5)/[1]Tables!$AT$4, 0) +
IFERROR((SUMIFS(rng_out_awp_post_yr4,rng_out_sel_excl_yr_ind, "",rng_out_sel_G_ind,L$1,rng_out_sel_sp_ind,$D140,rng_out_sel_excl_ind,$E140)+
SUMIFS(rng_out_awp_post_yr4,rng_out_sel_excl_yr_ind, [1]Tables!$HN$4,rng_out_sel_G_ind,L$1,rng_out_sel_sp_ind,$D140,rng_out_sel_excl_ind,$E140)*         _xlfn.XLOOKUP([1]Tables!$HN$4,'[1]RA Output'!$AY$4:$AY$5,'[1]RA Output'!BC$4:BC$5,0)  +
SUMIFS(rng_out_awp_post_yr4,rng_out_sel_excl_yr_ind, [1]Tables!$HN$5,rng_out_sel_G_ind,L$1,rng_out_sel_sp_ind,$D140,rng_out_sel_excl_ind,$E140)* _xlfn.XLOOKUP([1]Tables!$HN$5,'[1]RA Output'!$AY$4:$AY$5,'[1]RA Output'!BC$4:BC$5,0) +
SUMIFS(rng_out_awp_post_yr4, rng_out_sel_G_ind, "G", rng_out_sel_sp_ind, $D140, rng_out_sel_excl_ind,"N", rng_out_post_reb_ind_yr4, 0))/[1]Tables!$AT$4, 0))</f>
        <v>0</v>
      </c>
      <c r="AU140" s="135" cm="1">
        <f t="array" aca="1" ref="AU140" ca="1">IF($E$141="N", IFERROR(IF(OR(input_Shift="No", [1]Tables!$BN$4=1), 0, (SUMIFS(rng_out_awp_post_yr5,rng_out_sel_excl_yr_ind, "",rng_out_sel_G_ind,R$1,rng_out_sel_sp_ind,$D140,rng_out_sel_excl_ind,$E140, rng_out_MSB_excl, $F140)+
SUMIFS(rng_out_awp_post_yr5,rng_out_sel_excl_yr_ind, [1]Tables!$HN$4,rng_out_sel_G_ind,R$1,rng_out_sel_sp_ind,$D140,rng_out_sel_excl_ind,$E140, rng_out_MSB_excl, $F140)*         _xlfn.XLOOKUP([1]Tables!$HN$4,'[1]RA Output'!$AY$4:$AY$5,'[1]RA Output'!BD$4:BD$5,0)  +
SUMIFS(rng_out_awp_post_yr5,rng_out_sel_excl_yr_ind, [1]Tables!$HN$5,rng_out_sel_G_ind,R$1,rng_out_sel_sp_ind,$D140,rng_out_sel_excl_ind,$E140, rng_out_MSB_excl, $F140)* _xlfn.XLOOKUP([1]Tables!$HN$5,'[1]RA Output'!$AY$4:$AY$5,'[1]RA Output'!BD$4:BD$5,0)) * ((1-[1]Tables!$BN$4)/[1]Tables!$BN$4) * [1]Tables!$BN$5)/[1]Tables!$AT$4, 0)
+ IFERROR((SUMIFS(rng_out_awp_post_yr5,rng_out_sel_excl_yr_ind, "",rng_out_sel_G_ind,M$1,rng_out_sel_sp_ind,$D140,rng_out_sel_excl_ind,$E140)+
SUMIFS(rng_out_awp_post_yr5,rng_out_sel_excl_yr_ind, [1]Tables!$HN$4,rng_out_sel_G_ind,M$1,rng_out_sel_sp_ind,$D140,rng_out_sel_excl_ind,$E140)*         _xlfn.XLOOKUP([1]Tables!$HN$4,'[1]RA Output'!$AY$4:$AY$5,'[1]RA Output'!BD$4:BD$5,0)  +
SUMIFS(rng_out_awp_post_yr5,rng_out_sel_excl_yr_ind, [1]Tables!$HN$5,rng_out_sel_G_ind,M$1,rng_out_sel_sp_ind,$D140,rng_out_sel_excl_ind,$E140)* _xlfn.XLOOKUP([1]Tables!$HN$5,'[1]RA Output'!$AY$4:$AY$5,'[1]RA Output'!BD$4:BD$5,0))/[1]Tables!$AT$4, 0),
IFERROR(IF(OR(input_Shift="No", [1]Tables!$BN$4=1), 0, (SUMIFS(rng_out_awp_post_yr5,rng_out_sel_excl_yr_ind, "",rng_out_sel_G_ind,R$1,rng_out_sel_sp_ind,$D140,rng_out_sel_excl_ind,$E140, rng_out_MSB_excl, $F140)+
SUMIFS(rng_out_awp_post_yr5,rng_out_sel_excl_yr_ind, [1]Tables!$HN$4,rng_out_sel_G_ind,R$1,rng_out_sel_sp_ind,$D140,rng_out_sel_excl_ind,$E140, rng_out_MSB_excl, $F140)*         _xlfn.XLOOKUP([1]Tables!$HN$4,'[1]RA Output'!$AY$4:$AY$5,'[1]RA Output'!BD$4:BD$5,0)  +
SUMIFS(rng_out_awp_post_yr5,rng_out_sel_excl_yr_ind, [1]Tables!$HN$5,rng_out_sel_G_ind,R$1,rng_out_sel_sp_ind,$D140,rng_out_sel_excl_ind,$E140, rng_out_MSB_excl, $F140)* _xlfn.XLOOKUP([1]Tables!$HN$5,'[1]RA Output'!$AY$4:$AY$5,'[1]RA Output'!BD$4:BD$5,0) +
SUMIFS(rng_out_awp_post_yr5, rng_out_sel_G_ind, "B", rng_out_sel_sp_ind, $D140, rng_out_sel_excl_ind,"N", rng_out_MSB_excl, $F140, rng_out_post_reb_ind_yr5, 0)) * ((1-[1]Tables!$BN$4)/[1]Tables!$BN$4) * [1]Tables!$BN$5)/[1]Tables!$AT$4, 0) +
IFERROR((SUMIFS(rng_out_awp_post_yr5,rng_out_sel_excl_yr_ind, "",rng_out_sel_G_ind,M$1,rng_out_sel_sp_ind,$D140,rng_out_sel_excl_ind,$E140)+
SUMIFS(rng_out_awp_post_yr5,rng_out_sel_excl_yr_ind, [1]Tables!$HN$4,rng_out_sel_G_ind,M$1,rng_out_sel_sp_ind,$D140,rng_out_sel_excl_ind,$E140)*         _xlfn.XLOOKUP([1]Tables!$HN$4,'[1]RA Output'!$AY$4:$AY$5,'[1]RA Output'!BD$4:BD$5,0)  +
SUMIFS(rng_out_awp_post_yr5,rng_out_sel_excl_yr_ind, [1]Tables!$HN$5,rng_out_sel_G_ind,M$1,rng_out_sel_sp_ind,$D140,rng_out_sel_excl_ind,$E140)* _xlfn.XLOOKUP([1]Tables!$HN$5,'[1]RA Output'!$AY$4:$AY$5,'[1]RA Output'!BD$4:BD$5,0) +
SUMIFS(rng_out_awp_post_yr5, rng_out_sel_G_ind, "G", rng_out_sel_sp_ind, $D140, rng_out_sel_excl_ind,"N", rng_out_post_reb_ind_yr5, 0))/[1]Tables!$AT$4, 0))</f>
        <v>0</v>
      </c>
      <c r="AV140" s="136">
        <f t="shared" ca="1" si="138"/>
        <v>0</v>
      </c>
      <c r="AW140" s="137">
        <f t="shared" ca="1" si="138"/>
        <v>0</v>
      </c>
      <c r="AX140" s="137">
        <f t="shared" ca="1" si="138"/>
        <v>0</v>
      </c>
      <c r="AY140" s="137">
        <f t="shared" ca="1" si="138"/>
        <v>0</v>
      </c>
      <c r="AZ140" s="138">
        <f t="shared" ca="1" si="138"/>
        <v>0</v>
      </c>
      <c r="BG140" s="121" t="s">
        <v>17</v>
      </c>
      <c r="BH140" s="145">
        <f t="shared" ca="1" si="139"/>
        <v>0</v>
      </c>
      <c r="BI140" s="146">
        <f t="shared" ca="1" si="139"/>
        <v>0</v>
      </c>
      <c r="BJ140" s="146">
        <f t="shared" ca="1" si="139"/>
        <v>0</v>
      </c>
      <c r="BK140" s="146">
        <f t="shared" ca="1" si="139"/>
        <v>0</v>
      </c>
      <c r="BL140" s="147">
        <f t="shared" ca="1" si="139"/>
        <v>0</v>
      </c>
      <c r="BM140" s="142">
        <f t="shared" ca="1" si="140"/>
        <v>0</v>
      </c>
      <c r="BN140" s="143">
        <f t="shared" ca="1" si="140"/>
        <v>0</v>
      </c>
      <c r="BO140" s="143">
        <f t="shared" ca="1" si="140"/>
        <v>0</v>
      </c>
      <c r="BP140" s="143">
        <f t="shared" ca="1" si="140"/>
        <v>0</v>
      </c>
      <c r="BQ140" s="144">
        <f t="shared" ca="1" si="140"/>
        <v>0</v>
      </c>
      <c r="BX140" s="121" t="s">
        <v>17</v>
      </c>
      <c r="BY140" s="145" t="e">
        <f t="shared" ca="1" si="141"/>
        <v>#VALUE!</v>
      </c>
      <c r="BZ140" s="146" t="e">
        <f t="shared" ca="1" si="141"/>
        <v>#VALUE!</v>
      </c>
      <c r="CA140" s="146" t="e">
        <f t="shared" ca="1" si="141"/>
        <v>#VALUE!</v>
      </c>
      <c r="CB140" s="146" t="e">
        <f t="shared" ca="1" si="141"/>
        <v>#VALUE!</v>
      </c>
      <c r="CC140" s="147" t="e">
        <f t="shared" ca="1" si="141"/>
        <v>#VALUE!</v>
      </c>
      <c r="CD140" s="142">
        <f t="shared" ca="1" si="142"/>
        <v>0</v>
      </c>
      <c r="CE140" s="143">
        <f t="shared" ca="1" si="142"/>
        <v>0</v>
      </c>
      <c r="CF140" s="143">
        <f t="shared" ca="1" si="142"/>
        <v>0</v>
      </c>
      <c r="CG140" s="143">
        <f t="shared" ca="1" si="142"/>
        <v>0</v>
      </c>
      <c r="CH140" s="144">
        <f t="shared" ca="1" si="142"/>
        <v>0</v>
      </c>
      <c r="CO140" s="231" cm="1">
        <f t="array" aca="1" ref="CO140" ca="1">_xlfn.SINGLE(IFERROR(SUMIFS(rng_out_awp_base, rng_out_sel_G_ind, "G", rng_out_sel_sp_ind, $D140, rng_out_sel_excl_ind,"Y")/[1]Tables!$AT$4, 0))</f>
        <v>0</v>
      </c>
      <c r="CP140" s="233" cm="1">
        <f t="array" aca="1" ref="CP140" ca="1">_xlfn.SINGLE(IFERROR(SUMIFS(rng_out_awp_base, rng_out_sel_G_ind, "B", rng_out_sel_sp_ind, $D140, rng_out_sel_excl_ind,"Y")/[1]Tables!$AT$4, 0))</f>
        <v>0</v>
      </c>
      <c r="CQ140" s="234">
        <f ca="1">SUM(CO140:CP140)</f>
        <v>0</v>
      </c>
      <c r="CR140" s="142">
        <f t="shared" ca="1" si="143"/>
        <v>0</v>
      </c>
      <c r="CS140" s="144">
        <f t="shared" ca="1" si="143"/>
        <v>0</v>
      </c>
      <c r="CT140" s="177">
        <f t="shared" ca="1" si="143"/>
        <v>0</v>
      </c>
    </row>
    <row r="141" spans="1:111" ht="15" thickBot="1" x14ac:dyDescent="0.4">
      <c r="B141" s="106"/>
      <c r="C141" s="236"/>
      <c r="D141" s="236" t="s">
        <v>29</v>
      </c>
      <c r="E141" s="237" t="str">
        <f>IF(sel_excl_nonRebatable=1, "Y", "N")</f>
        <v>N</v>
      </c>
      <c r="H141" s="154" t="s">
        <v>18</v>
      </c>
      <c r="I141" s="155" t="e">
        <f ca="1">SUM(I137:I140)</f>
        <v>#VALUE!</v>
      </c>
      <c r="J141" s="155" t="e">
        <f ca="1">SUM(J137:J140)</f>
        <v>#VALUE!</v>
      </c>
      <c r="K141" s="155" t="e">
        <f ca="1">SUM(K137:K140)</f>
        <v>#VALUE!</v>
      </c>
      <c r="L141" s="155" t="e">
        <f ca="1">SUM(L137:L140)</f>
        <v>#VALUE!</v>
      </c>
      <c r="M141" s="156" t="e">
        <f ca="1">SUM(M137:M140)</f>
        <v>#VALUE!</v>
      </c>
      <c r="N141" s="157">
        <f t="shared" ca="1" si="136"/>
        <v>0</v>
      </c>
      <c r="O141" s="157">
        <f t="shared" ca="1" si="136"/>
        <v>0</v>
      </c>
      <c r="P141" s="157">
        <f t="shared" ca="1" si="136"/>
        <v>0</v>
      </c>
      <c r="Q141" s="157">
        <f t="shared" ca="1" si="136"/>
        <v>0</v>
      </c>
      <c r="R141" s="158">
        <f t="shared" ca="1" si="136"/>
        <v>0</v>
      </c>
      <c r="Y141" s="159" t="s">
        <v>18</v>
      </c>
      <c r="Z141" s="160">
        <f ca="1">SUM(Z137:Z140)</f>
        <v>0</v>
      </c>
      <c r="AA141" s="161">
        <f ca="1">SUM(AA137:AA140)</f>
        <v>0</v>
      </c>
      <c r="AB141" s="161">
        <f ca="1">SUM(AB137:AB140)</f>
        <v>0</v>
      </c>
      <c r="AC141" s="161">
        <f ca="1">SUM(AC137:AC140)</f>
        <v>0</v>
      </c>
      <c r="AD141" s="162">
        <f ca="1">SUM(AD137:AD140)</f>
        <v>0</v>
      </c>
      <c r="AE141" s="163">
        <f t="shared" ca="1" si="137"/>
        <v>0</v>
      </c>
      <c r="AF141" s="164">
        <f t="shared" ca="1" si="137"/>
        <v>0</v>
      </c>
      <c r="AG141" s="164">
        <f t="shared" ca="1" si="137"/>
        <v>0</v>
      </c>
      <c r="AH141" s="164">
        <f t="shared" ca="1" si="137"/>
        <v>0</v>
      </c>
      <c r="AI141" s="165">
        <f t="shared" ca="1" si="137"/>
        <v>0</v>
      </c>
      <c r="AP141" s="166" t="s">
        <v>18</v>
      </c>
      <c r="AQ141" s="167">
        <f ca="1">SUM(AQ137:AQ140)</f>
        <v>0</v>
      </c>
      <c r="AR141" s="134">
        <f ca="1">SUM(AR137:AR140)</f>
        <v>0</v>
      </c>
      <c r="AS141" s="134">
        <f ca="1">SUM(AS137:AS140)</f>
        <v>0</v>
      </c>
      <c r="AT141" s="134">
        <f ca="1">SUM(AT137:AT140)</f>
        <v>0</v>
      </c>
      <c r="AU141" s="135">
        <f ca="1">SUM(AU137:AU140)</f>
        <v>0</v>
      </c>
      <c r="AV141" s="168">
        <f t="shared" ca="1" si="138"/>
        <v>0</v>
      </c>
      <c r="AW141" s="169">
        <f t="shared" ca="1" si="138"/>
        <v>0</v>
      </c>
      <c r="AX141" s="169">
        <f t="shared" ca="1" si="138"/>
        <v>0</v>
      </c>
      <c r="AY141" s="169">
        <f t="shared" ca="1" si="138"/>
        <v>0</v>
      </c>
      <c r="AZ141" s="170">
        <f t="shared" ca="1" si="138"/>
        <v>0</v>
      </c>
      <c r="BG141" s="171" t="s">
        <v>18</v>
      </c>
      <c r="BH141" s="172">
        <f ca="1">SUM(BH137:BH140)</f>
        <v>0</v>
      </c>
      <c r="BI141" s="173">
        <f ca="1">SUM(BI137:BI140)</f>
        <v>0</v>
      </c>
      <c r="BJ141" s="173">
        <f ca="1">SUM(BJ137:BJ140)</f>
        <v>0</v>
      </c>
      <c r="BK141" s="173">
        <f ca="1">SUM(BK137:BK140)</f>
        <v>0</v>
      </c>
      <c r="BL141" s="174">
        <f ca="1">SUM(BL137:BL140)</f>
        <v>0</v>
      </c>
      <c r="BM141" s="175">
        <f t="shared" ca="1" si="140"/>
        <v>0</v>
      </c>
      <c r="BN141" s="176">
        <f t="shared" ca="1" si="140"/>
        <v>0</v>
      </c>
      <c r="BO141" s="176">
        <f t="shared" ca="1" si="140"/>
        <v>0</v>
      </c>
      <c r="BP141" s="176">
        <f t="shared" ca="1" si="140"/>
        <v>0</v>
      </c>
      <c r="BQ141" s="177">
        <f t="shared" ca="1" si="140"/>
        <v>0</v>
      </c>
      <c r="BX141" s="171" t="s">
        <v>18</v>
      </c>
      <c r="BY141" s="172" t="e">
        <f ca="1">SUM(BY137:BY140)</f>
        <v>#VALUE!</v>
      </c>
      <c r="BZ141" s="173" t="e">
        <f ca="1">SUM(BZ137:BZ140)</f>
        <v>#VALUE!</v>
      </c>
      <c r="CA141" s="173" t="e">
        <f ca="1">SUM(CA137:CA140)</f>
        <v>#VALUE!</v>
      </c>
      <c r="CB141" s="173" t="e">
        <f ca="1">SUM(CB137:CB140)</f>
        <v>#VALUE!</v>
      </c>
      <c r="CC141" s="174" t="e">
        <f ca="1">SUM(CC137:CC140)</f>
        <v>#VALUE!</v>
      </c>
      <c r="CD141" s="175">
        <f ca="1">IFERROR(BY141/BY112, 0)</f>
        <v>0</v>
      </c>
      <c r="CE141" s="176">
        <f ca="1">IFERROR(BZ141/BZ112, 0)</f>
        <v>0</v>
      </c>
      <c r="CF141" s="176">
        <f ca="1">IFERROR(CA141/CA112, 0)</f>
        <v>0</v>
      </c>
      <c r="CG141" s="176">
        <f ca="1">IFERROR(CB141/CB112, 0)</f>
        <v>0</v>
      </c>
      <c r="CH141" s="177">
        <f ca="1">IFERROR(CC141/CC112, 0)</f>
        <v>0</v>
      </c>
      <c r="CO141" s="246">
        <f ca="1">SUM(CO137:CO140)</f>
        <v>0</v>
      </c>
      <c r="CP141" s="247">
        <f ca="1">SUM(CP137:CP140)</f>
        <v>0</v>
      </c>
      <c r="CQ141" s="247">
        <f ca="1">SUM(CQ137:CQ140)</f>
        <v>0</v>
      </c>
      <c r="CR141" s="359">
        <f t="shared" ca="1" si="143"/>
        <v>0</v>
      </c>
      <c r="CS141" s="360">
        <f t="shared" ca="1" si="143"/>
        <v>0</v>
      </c>
      <c r="CT141" s="360">
        <f t="shared" ca="1" si="143"/>
        <v>0</v>
      </c>
    </row>
    <row r="142" spans="1:111" ht="15" thickBot="1" x14ac:dyDescent="0.4">
      <c r="CO142" s="252"/>
      <c r="CP142" s="252"/>
    </row>
    <row r="143" spans="1:111" ht="15" thickBot="1" x14ac:dyDescent="0.4">
      <c r="I143" s="21" t="s">
        <v>50</v>
      </c>
      <c r="J143" s="22"/>
      <c r="K143" s="22"/>
      <c r="L143" s="22"/>
      <c r="M143" s="22"/>
      <c r="N143" s="22"/>
      <c r="O143" s="22"/>
      <c r="P143" s="22"/>
      <c r="Q143" s="22"/>
      <c r="R143" s="23"/>
      <c r="Z143" s="24" t="s">
        <v>50</v>
      </c>
      <c r="AA143" s="25"/>
      <c r="AB143" s="25"/>
      <c r="AC143" s="25"/>
      <c r="AD143" s="25"/>
      <c r="AE143" s="25"/>
      <c r="AF143" s="25"/>
      <c r="AG143" s="25"/>
      <c r="AH143" s="25"/>
      <c r="AI143" s="26"/>
      <c r="AQ143" s="354" t="s">
        <v>50</v>
      </c>
      <c r="AR143" s="29"/>
      <c r="AS143" s="29"/>
      <c r="AT143" s="29"/>
      <c r="AU143" s="29"/>
      <c r="AV143" s="29"/>
      <c r="AW143" s="29"/>
      <c r="AX143" s="29"/>
      <c r="AY143" s="29"/>
      <c r="AZ143" s="355"/>
      <c r="BH143" s="31" t="s">
        <v>50</v>
      </c>
      <c r="BI143" s="32"/>
      <c r="BJ143" s="32"/>
      <c r="BK143" s="32"/>
      <c r="BL143" s="32"/>
      <c r="BM143" s="32"/>
      <c r="BN143" s="32"/>
      <c r="BO143" s="32"/>
      <c r="BP143" s="32"/>
      <c r="BQ143" s="33"/>
      <c r="BY143" s="34" t="s">
        <v>50</v>
      </c>
      <c r="BZ143" s="35"/>
      <c r="CA143" s="35"/>
      <c r="CB143" s="35"/>
      <c r="CC143" s="35"/>
      <c r="CD143" s="35"/>
      <c r="CE143" s="35"/>
      <c r="CF143" s="35"/>
      <c r="CG143" s="35"/>
      <c r="CH143" s="36"/>
      <c r="DC143" s="34" t="s">
        <v>45</v>
      </c>
      <c r="DD143" s="35"/>
      <c r="DE143" s="35"/>
      <c r="DF143" s="35"/>
      <c r="DG143" s="36"/>
    </row>
    <row r="144" spans="1:111" ht="15" thickBot="1" x14ac:dyDescent="0.4">
      <c r="H144" s="37"/>
      <c r="I144" s="302" t="s">
        <v>42</v>
      </c>
      <c r="J144" s="303"/>
      <c r="K144" s="303"/>
      <c r="L144" s="303"/>
      <c r="M144" s="304"/>
      <c r="N144" s="302" t="s">
        <v>43</v>
      </c>
      <c r="O144" s="303"/>
      <c r="P144" s="303"/>
      <c r="Q144" s="303"/>
      <c r="R144" s="304"/>
      <c r="Z144" s="41" t="s">
        <v>42</v>
      </c>
      <c r="AA144" s="42"/>
      <c r="AB144" s="42"/>
      <c r="AC144" s="42"/>
      <c r="AD144" s="43"/>
      <c r="AE144" s="41" t="s">
        <v>43</v>
      </c>
      <c r="AF144" s="42"/>
      <c r="AG144" s="42"/>
      <c r="AH144" s="42"/>
      <c r="AI144" s="43"/>
      <c r="AQ144" s="44" t="s">
        <v>42</v>
      </c>
      <c r="AR144" s="45"/>
      <c r="AS144" s="45"/>
      <c r="AT144" s="45"/>
      <c r="AU144" s="46"/>
      <c r="AV144" s="44" t="s">
        <v>43</v>
      </c>
      <c r="AW144" s="45"/>
      <c r="AX144" s="45"/>
      <c r="AY144" s="45"/>
      <c r="AZ144" s="46"/>
      <c r="BH144" s="305" t="s">
        <v>42</v>
      </c>
      <c r="BI144" s="306"/>
      <c r="BJ144" s="306"/>
      <c r="BK144" s="306"/>
      <c r="BL144" s="307"/>
      <c r="BM144" s="305" t="s">
        <v>43</v>
      </c>
      <c r="BN144" s="306"/>
      <c r="BO144" s="306"/>
      <c r="BP144" s="306"/>
      <c r="BQ144" s="307"/>
      <c r="BY144" s="305" t="s">
        <v>42</v>
      </c>
      <c r="BZ144" s="306"/>
      <c r="CA144" s="306"/>
      <c r="CB144" s="306"/>
      <c r="CC144" s="307"/>
      <c r="CD144" s="305" t="s">
        <v>43</v>
      </c>
      <c r="CE144" s="306"/>
      <c r="CF144" s="306"/>
      <c r="CG144" s="306"/>
      <c r="CH144" s="307"/>
      <c r="DC144" s="52" t="s">
        <v>5</v>
      </c>
      <c r="DD144" s="50"/>
      <c r="DE144" s="50"/>
      <c r="DF144" s="50"/>
      <c r="DG144" s="51"/>
    </row>
    <row r="145" spans="1:117" ht="15" thickBot="1" x14ac:dyDescent="0.4">
      <c r="H145" s="55"/>
      <c r="I145" s="56" t="str">
        <f>[1]Tables!$AA$4</f>
        <v>07/27 - 06/28</v>
      </c>
      <c r="J145" s="55" t="str">
        <f>[1]Tables!$AA$5</f>
        <v>07/28 - 06/29</v>
      </c>
      <c r="K145" s="55" t="str">
        <f>[1]Tables!$AA$6</f>
        <v>07/29 - 06/30</v>
      </c>
      <c r="L145" s="55" t="str">
        <f>[1]Tables!$AA$7</f>
        <v>07/30 - 06/31</v>
      </c>
      <c r="M145" s="57" t="str">
        <f>[1]Tables!$AA$8</f>
        <v>07/31 - 06/32</v>
      </c>
      <c r="N145" s="56" t="str">
        <f>[1]Tables!$AA$4</f>
        <v>07/27 - 06/28</v>
      </c>
      <c r="O145" s="55" t="str">
        <f>[1]Tables!$AA$5</f>
        <v>07/28 - 06/29</v>
      </c>
      <c r="P145" s="55" t="str">
        <f>[1]Tables!$AA$6</f>
        <v>07/29 - 06/30</v>
      </c>
      <c r="Q145" s="55" t="str">
        <f>[1]Tables!$AA$7</f>
        <v>07/30 - 06/31</v>
      </c>
      <c r="R145" s="57" t="str">
        <f>[1]Tables!$AA$8</f>
        <v>07/31 - 06/32</v>
      </c>
      <c r="Y145" s="58"/>
      <c r="Z145" s="59" t="str">
        <f>[1]Tables!$AA$4</f>
        <v>07/27 - 06/28</v>
      </c>
      <c r="AA145" s="60" t="str">
        <f>[1]Tables!$AA$5</f>
        <v>07/28 - 06/29</v>
      </c>
      <c r="AB145" s="60" t="str">
        <f>[1]Tables!$AA$6</f>
        <v>07/29 - 06/30</v>
      </c>
      <c r="AC145" s="60" t="str">
        <f>[1]Tables!$AA$7</f>
        <v>07/30 - 06/31</v>
      </c>
      <c r="AD145" s="61" t="str">
        <f>[1]Tables!$AA$8</f>
        <v>07/31 - 06/32</v>
      </c>
      <c r="AE145" s="59" t="str">
        <f>[1]Tables!$AA$4</f>
        <v>07/27 - 06/28</v>
      </c>
      <c r="AF145" s="60" t="str">
        <f>[1]Tables!$AA$5</f>
        <v>07/28 - 06/29</v>
      </c>
      <c r="AG145" s="60" t="str">
        <f>[1]Tables!$AA$6</f>
        <v>07/29 - 06/30</v>
      </c>
      <c r="AH145" s="60" t="str">
        <f>[1]Tables!$AA$7</f>
        <v>07/30 - 06/31</v>
      </c>
      <c r="AI145" s="61" t="str">
        <f>[1]Tables!$AA$8</f>
        <v>07/31 - 06/32</v>
      </c>
      <c r="AP145" s="58"/>
      <c r="AQ145" s="62" t="str">
        <f>[1]Tables!$AA$4</f>
        <v>07/27 - 06/28</v>
      </c>
      <c r="AR145" s="63" t="str">
        <f>[1]Tables!$AA$5</f>
        <v>07/28 - 06/29</v>
      </c>
      <c r="AS145" s="63" t="str">
        <f>[1]Tables!$AA$6</f>
        <v>07/29 - 06/30</v>
      </c>
      <c r="AT145" s="63" t="str">
        <f>[1]Tables!$AA$7</f>
        <v>07/30 - 06/31</v>
      </c>
      <c r="AU145" s="64" t="str">
        <f>[1]Tables!$AA$8</f>
        <v>07/31 - 06/32</v>
      </c>
      <c r="AV145" s="62" t="str">
        <f>[1]Tables!$AA$4</f>
        <v>07/27 - 06/28</v>
      </c>
      <c r="AW145" s="63" t="str">
        <f>[1]Tables!$AA$5</f>
        <v>07/28 - 06/29</v>
      </c>
      <c r="AX145" s="63" t="str">
        <f>[1]Tables!$AA$6</f>
        <v>07/29 - 06/30</v>
      </c>
      <c r="AY145" s="63" t="str">
        <f>[1]Tables!$AA$7</f>
        <v>07/30 - 06/31</v>
      </c>
      <c r="AZ145" s="64" t="str">
        <f>[1]Tables!$AA$8</f>
        <v>07/31 - 06/32</v>
      </c>
      <c r="BG145" s="58"/>
      <c r="BH145" s="65" t="str">
        <f>[1]Tables!$AA$4</f>
        <v>07/27 - 06/28</v>
      </c>
      <c r="BI145" s="66" t="str">
        <f>[1]Tables!$AA$5</f>
        <v>07/28 - 06/29</v>
      </c>
      <c r="BJ145" s="66" t="str">
        <f>[1]Tables!$AA$6</f>
        <v>07/29 - 06/30</v>
      </c>
      <c r="BK145" s="66" t="str">
        <f>[1]Tables!$AA$7</f>
        <v>07/30 - 06/31</v>
      </c>
      <c r="BL145" s="67" t="str">
        <f>[1]Tables!$AA$8</f>
        <v>07/31 - 06/32</v>
      </c>
      <c r="BM145" s="65" t="str">
        <f>[1]Tables!$AA$4</f>
        <v>07/27 - 06/28</v>
      </c>
      <c r="BN145" s="66" t="str">
        <f>[1]Tables!$AA$5</f>
        <v>07/28 - 06/29</v>
      </c>
      <c r="BO145" s="66" t="str">
        <f>[1]Tables!$AA$6</f>
        <v>07/29 - 06/30</v>
      </c>
      <c r="BP145" s="66" t="str">
        <f>[1]Tables!$AA$7</f>
        <v>07/30 - 06/31</v>
      </c>
      <c r="BQ145" s="67" t="str">
        <f>[1]Tables!$AA$8</f>
        <v>07/31 - 06/32</v>
      </c>
      <c r="BX145" s="58"/>
      <c r="BY145" s="65" t="str">
        <f>[1]Tables!$AA$4</f>
        <v>07/27 - 06/28</v>
      </c>
      <c r="BZ145" s="66" t="str">
        <f>[1]Tables!$AA$5</f>
        <v>07/28 - 06/29</v>
      </c>
      <c r="CA145" s="66" t="str">
        <f>[1]Tables!$AA$6</f>
        <v>07/29 - 06/30</v>
      </c>
      <c r="CB145" s="66" t="str">
        <f>[1]Tables!$AA$7</f>
        <v>07/30 - 06/31</v>
      </c>
      <c r="CC145" s="67" t="str">
        <f>[1]Tables!$AA$8</f>
        <v>07/31 - 06/32</v>
      </c>
      <c r="CD145" s="65" t="str">
        <f>[1]Tables!$AA$4</f>
        <v>07/27 - 06/28</v>
      </c>
      <c r="CE145" s="66" t="str">
        <f>[1]Tables!$AA$5</f>
        <v>07/28 - 06/29</v>
      </c>
      <c r="CF145" s="66" t="str">
        <f>[1]Tables!$AA$6</f>
        <v>07/29 - 06/30</v>
      </c>
      <c r="CG145" s="66" t="str">
        <f>[1]Tables!$AA$7</f>
        <v>07/30 - 06/31</v>
      </c>
      <c r="CH145" s="67" t="str">
        <f>[1]Tables!$AA$8</f>
        <v>07/31 - 06/32</v>
      </c>
      <c r="DC145" s="65" t="str">
        <f>[1]Tables!$AA$4</f>
        <v>07/27 - 06/28</v>
      </c>
      <c r="DD145" s="66" t="str">
        <f>[1]Tables!$AA$5</f>
        <v>07/28 - 06/29</v>
      </c>
      <c r="DE145" s="66" t="str">
        <f>[1]Tables!$AA$6</f>
        <v>07/29 - 06/30</v>
      </c>
      <c r="DF145" s="66" t="str">
        <f>[1]Tables!$AA$7</f>
        <v>07/30 - 06/31</v>
      </c>
      <c r="DG145" s="67" t="str">
        <f>[1]Tables!$AA$8</f>
        <v>07/31 - 06/32</v>
      </c>
    </row>
    <row r="146" spans="1:117" x14ac:dyDescent="0.35">
      <c r="B146" s="68" t="s">
        <v>11</v>
      </c>
      <c r="C146" s="69">
        <v>30</v>
      </c>
      <c r="D146" s="69" t="s">
        <v>12</v>
      </c>
      <c r="E146" s="70" t="s">
        <v>13</v>
      </c>
      <c r="F146" s="106"/>
      <c r="H146" s="71" t="s">
        <v>14</v>
      </c>
      <c r="I146" s="72" t="e" cm="1">
        <f t="array" aca="1" ref="I146" ca="1">SUMIFS(rng_out_awp_pre_yr1,rng_out_sel_excl_yr_ind, "",rng_out_sel_G_ind,N$1,rng_out_mail_ind,$B117,rng_out_ds,$C117,rng_out_sel_sp_ind,$D117,rng_out_sel_excl_ind,$E146)+
SUMIFS(rng_out_awp_pre_yr1,rng_out_sel_excl_yr_ind, [1]Tables!$HN$4,rng_out_sel_G_ind,N$1,rng_out_mail_ind,$B117,rng_out_ds,$C117,rng_out_sel_sp_ind,$D117,rng_out_sel_excl_ind,$E146)*         _xlfn.XLOOKUP([1]Tables!$HN$4,'[1]RA Output'!$AY$4:$AY$5,'[1]RA Output'!AZ$4:AZ$5,0)  +
SUMIFS(rng_out_awp_pre_yr1,rng_out_sel_excl_yr_ind, [1]Tables!$HN$5,rng_out_sel_G_ind,N$1,rng_out_mail_ind,$B117,rng_out_ds,$C117,rng_out_sel_sp_ind,$D117,rng_out_sel_excl_ind,$E146)* _xlfn.XLOOKUP([1]Tables!$HN$5,'[1]RA Output'!$AY$4:$AY$5,'[1]RA Output'!AZ$4:AZ$5,0)+
IF($E$150="Y", SUMIFS(rng_out_awp_pre_yr1, rng_out_sel_G_ind, "B", rng_out_mail_ind, $B146, rng_out_ds, $C146, rng_out_sel_sp_ind, $D146, rng_out_sel_excl_ind,"N", rng_out_post_reb_ind_yr1, 0), 0)</f>
        <v>#VALUE!</v>
      </c>
      <c r="J146" s="5" t="e" cm="1">
        <f t="array" aca="1" ref="J146" ca="1">SUMIFS(rng_out_awp_pre_yr2,rng_out_sel_excl_yr_ind, "",rng_out_sel_G_ind,O$1,rng_out_mail_ind,$B117,rng_out_ds,$C117,rng_out_sel_sp_ind,$D117,rng_out_sel_excl_ind,$E146)+
SUMIFS(rng_out_awp_pre_yr2,rng_out_sel_excl_yr_ind, [1]Tables!$HN$4,rng_out_sel_G_ind,O$1,rng_out_mail_ind,$B117,rng_out_ds,$C117,rng_out_sel_sp_ind,$D117,rng_out_sel_excl_ind,$E146)*         _xlfn.XLOOKUP([1]Tables!$HN$4,'[1]RA Output'!$AY$4:$AY$5,'[1]RA Output'!BA$4:BA$5,0)  +
SUMIFS(rng_out_awp_pre_yr2,rng_out_sel_excl_yr_ind, [1]Tables!$HN$5,rng_out_sel_G_ind,O$1,rng_out_mail_ind,$B117,rng_out_ds,$C117,rng_out_sel_sp_ind,$D117,rng_out_sel_excl_ind,$E146)* _xlfn.XLOOKUP([1]Tables!$HN$5,'[1]RA Output'!$AY$4:$AY$5,'[1]RA Output'!BA$4:BA$5,0)+
IF($E$150="Y", SUMIFS(rng_out_awp_pre_yr2, rng_out_sel_G_ind, "B", rng_out_mail_ind, $B146, rng_out_ds, $C146, rng_out_sel_sp_ind, $D146, rng_out_sel_excl_ind,"N", rng_out_post_reb_ind_yr2, 0), 0)</f>
        <v>#VALUE!</v>
      </c>
      <c r="K146" s="5" t="e" cm="1">
        <f t="array" aca="1" ref="K146" ca="1">SUMIFS(rng_out_awp_pre_yr3,rng_out_sel_excl_yr_ind, "",rng_out_sel_G_ind,P$1,rng_out_mail_ind,$B117,rng_out_ds,$C117,rng_out_sel_sp_ind,$D117,rng_out_sel_excl_ind,$E146)+
SUMIFS(rng_out_awp_pre_yr3,rng_out_sel_excl_yr_ind, [1]Tables!$HN$4,rng_out_sel_G_ind,P$1,rng_out_mail_ind,$B117,rng_out_ds,$C117,rng_out_sel_sp_ind,$D117,rng_out_sel_excl_ind,$E146)*         _xlfn.XLOOKUP([1]Tables!$HN$4,'[1]RA Output'!$AY$4:$AY$5,'[1]RA Output'!BB$4:BB$5,0)  +
SUMIFS(rng_out_awp_pre_yr3,rng_out_sel_excl_yr_ind, [1]Tables!$HN$5,rng_out_sel_G_ind,P$1,rng_out_mail_ind,$B117,rng_out_ds,$C117,rng_out_sel_sp_ind,$D117,rng_out_sel_excl_ind,$E146)* _xlfn.XLOOKUP([1]Tables!$HN$5,'[1]RA Output'!$AY$4:$AY$5,'[1]RA Output'!BB$4:BB$5,0)+
IF($E$150="Y", SUMIFS(rng_out_awp_pre_yr3, rng_out_sel_G_ind, "B", rng_out_mail_ind, $B146, rng_out_ds, $C146, rng_out_sel_sp_ind, $D146, rng_out_sel_excl_ind,"N", rng_out_post_reb_ind_yr3, 0), 0)</f>
        <v>#VALUE!</v>
      </c>
      <c r="L146" s="5" t="e" cm="1">
        <f t="array" aca="1" ref="L146" ca="1">SUMIFS(rng_out_awp_pre_yr4,rng_out_sel_excl_yr_ind, "",rng_out_sel_G_ind,Q$1,rng_out_mail_ind,$B117,rng_out_ds,$C117,rng_out_sel_sp_ind,$D117,rng_out_sel_excl_ind,$E146)+
SUMIFS(rng_out_awp_pre_yr4,rng_out_sel_excl_yr_ind, [1]Tables!$HN$4,rng_out_sel_G_ind,Q$1,rng_out_mail_ind,$B117,rng_out_ds,$C117,rng_out_sel_sp_ind,$D117,rng_out_sel_excl_ind,$E146)*         _xlfn.XLOOKUP([1]Tables!$HN$4,'[1]RA Output'!$AY$4:$AY$5,'[1]RA Output'!BC$4:BC$5,0)  +
SUMIFS(rng_out_awp_pre_yr4,rng_out_sel_excl_yr_ind, [1]Tables!$HN$5,rng_out_sel_G_ind,Q$1,rng_out_mail_ind,$B117,rng_out_ds,$C117,rng_out_sel_sp_ind,$D117,rng_out_sel_excl_ind,$E146)* _xlfn.XLOOKUP([1]Tables!$HN$5,'[1]RA Output'!$AY$4:$AY$5,'[1]RA Output'!BC$4:BC$5,0)+
IF($E$150="Y", SUMIFS(rng_out_awp_pre_yr4, rng_out_sel_G_ind, "B", rng_out_mail_ind, $B146, rng_out_ds, $C146, rng_out_sel_sp_ind, $D146, rng_out_sel_excl_ind,"N", rng_out_post_reb_ind_yr4, 0), 0)</f>
        <v>#VALUE!</v>
      </c>
      <c r="M146" s="73" t="e" cm="1">
        <f t="array" aca="1" ref="M146" ca="1">SUMIFS(rng_out_awp_pre_yr5,rng_out_sel_excl_yr_ind, "",rng_out_sel_G_ind,R$1,rng_out_mail_ind,$B117,rng_out_ds,$C117,rng_out_sel_sp_ind,$D117,rng_out_sel_excl_ind,$E146)+
SUMIFS(rng_out_awp_pre_yr5,rng_out_sel_excl_yr_ind, [1]Tables!$HN$4,rng_out_sel_G_ind,R$1,rng_out_mail_ind,$B117,rng_out_ds,$C117,rng_out_sel_sp_ind,$D117,rng_out_sel_excl_ind,$E146)*         _xlfn.XLOOKUP([1]Tables!$HN$4,'[1]RA Output'!$AY$4:$AY$5,'[1]RA Output'!BD$4:BD$5,0)  +
SUMIFS(rng_out_awp_pre_yr5,rng_out_sel_excl_yr_ind, [1]Tables!$HN$5,rng_out_sel_G_ind,R$1,rng_out_mail_ind,$B117,rng_out_ds,$C117,rng_out_sel_sp_ind,$D117,rng_out_sel_excl_ind,$E146)* _xlfn.XLOOKUP([1]Tables!$HN$5,'[1]RA Output'!$AY$4:$AY$5,'[1]RA Output'!BD$4:BD$5,0)+
IF($E$150="Y", SUMIFS(rng_out_awp_pre_yr5, rng_out_sel_G_ind, "B", rng_out_mail_ind, $B146, rng_out_ds, $C146, rng_out_sel_sp_ind, $D146, rng_out_sel_excl_ind,"N", rng_out_post_reb_ind_yr5, 0), 0)</f>
        <v>#VALUE!</v>
      </c>
      <c r="N146" s="74">
        <f t="shared" ref="N146:R150" ca="1" si="144">IFERROR(I146/N108, 0)</f>
        <v>0</v>
      </c>
      <c r="O146" s="75">
        <f t="shared" ca="1" si="144"/>
        <v>0</v>
      </c>
      <c r="P146" s="75">
        <f t="shared" ca="1" si="144"/>
        <v>0</v>
      </c>
      <c r="Q146" s="75">
        <f t="shared" ca="1" si="144"/>
        <v>0</v>
      </c>
      <c r="R146" s="76">
        <f t="shared" ca="1" si="144"/>
        <v>0</v>
      </c>
      <c r="Y146" s="77" t="s">
        <v>14</v>
      </c>
      <c r="Z146" s="78">
        <f ca="1">IFERROR(I146/[1]Tables!$AT$4, 0)</f>
        <v>0</v>
      </c>
      <c r="AA146" s="79">
        <f ca="1">IFERROR(J146/[1]Tables!$AT$4, 0)</f>
        <v>0</v>
      </c>
      <c r="AB146" s="79">
        <f ca="1">IFERROR(K146/[1]Tables!$AT$4, 0)</f>
        <v>0</v>
      </c>
      <c r="AC146" s="79">
        <f ca="1">IFERROR(L146/[1]Tables!$AT$4, 0)</f>
        <v>0</v>
      </c>
      <c r="AD146" s="80">
        <f ca="1">IFERROR(M146/[1]Tables!$AT$4, 0)</f>
        <v>0</v>
      </c>
      <c r="AE146" s="81">
        <f t="shared" ref="AE146:AI150" ca="1" si="145">IFERROR(Z146/AE108, 0)</f>
        <v>0</v>
      </c>
      <c r="AF146" s="75">
        <f t="shared" ca="1" si="145"/>
        <v>0</v>
      </c>
      <c r="AG146" s="75">
        <f t="shared" ca="1" si="145"/>
        <v>0</v>
      </c>
      <c r="AH146" s="75">
        <f t="shared" ca="1" si="145"/>
        <v>0</v>
      </c>
      <c r="AI146" s="82">
        <f t="shared" ca="1" si="145"/>
        <v>0</v>
      </c>
      <c r="AP146" s="83" t="s">
        <v>14</v>
      </c>
      <c r="AQ146" s="356" cm="1">
        <f t="array" aca="1" ref="AQ146" ca="1">IFERROR(IF($E$150="N", (SUMIFS(rng_out_awp_post_yr1,rng_out_sel_excl_yr_ind, "",rng_out_sel_G_ind,N$1,rng_out_mail_ind,$B117,rng_out_ds,$C117,rng_out_sel_sp_ind,$D117,rng_out_sel_excl_ind,$E146)+
SUMIFS(rng_out_awp_post_yr1,rng_out_sel_excl_yr_ind, [1]Tables!$HN$4,rng_out_sel_G_ind,N$1,rng_out_mail_ind,$B117,rng_out_ds,$C117,rng_out_sel_sp_ind,$D117,rng_out_sel_excl_ind,$E146)*         _xlfn.XLOOKUP([1]Tables!$HN$4,'[1]RA Output'!$AY$4:$AY$5,'[1]RA Output'!AZ$4:AZ$5,0)  +
SUMIFS(rng_out_awp_post_yr1,rng_out_sel_excl_yr_ind, [1]Tables!$HN$5,rng_out_sel_G_ind,N$1,rng_out_mail_ind,$B117,rng_out_ds,$C117,rng_out_sel_sp_ind,$D117,rng_out_sel_excl_ind,$E146)* _xlfn.XLOOKUP([1]Tables!$HN$5,'[1]RA Output'!$AY$4:$AY$5,'[1]RA Output'!AZ$4:AZ$5,0))/[1]Tables!$AT$4,
(SUMIFS(rng_out_awp_post_yr1,rng_out_sel_excl_yr_ind, "",rng_out_sel_G_ind,N$1,rng_out_mail_ind,$B117,rng_out_ds,$C117,rng_out_sel_sp_ind,$D117,rng_out_sel_excl_ind,$E146)+
SUMIFS(rng_out_awp_post_yr1,rng_out_sel_excl_yr_ind, [1]Tables!$HN$4,rng_out_sel_G_ind,N$1,rng_out_mail_ind,$B117,rng_out_ds,$C117,rng_out_sel_sp_ind,$D117,rng_out_sel_excl_ind,$E146)*         _xlfn.XLOOKUP([1]Tables!$HN$4,'[1]RA Output'!$AY$4:$AY$5,'[1]RA Output'!AZ$4:AZ$5,0)  +
SUMIFS(rng_out_awp_post_yr1,rng_out_sel_excl_yr_ind, [1]Tables!$HN$5,rng_out_sel_G_ind,N$1,rng_out_mail_ind,$B117,rng_out_ds,$C117,rng_out_sel_sp_ind,$D117,rng_out_sel_excl_ind,$E146)* _xlfn.XLOOKUP([1]Tables!$HN$5,'[1]RA Output'!$AY$4:$AY$5,'[1]RA Output'!AZ$4:AZ$5,0))/[1]Tables!$AT$4 +
SUMIFS(rng_out_awp_post_yr1, rng_out_sel_G_ind, N$1, rng_out_mail_ind, $B146, rng_out_ds, $C146, rng_out_sel_sp_ind, $D146, rng_out_sel_excl_ind,"N", rng_out_post_reb_ind_yr1, 0)/[1]Tables!$AT$4), 0)</f>
        <v>0</v>
      </c>
      <c r="AR146" s="5" cm="1">
        <f t="array" aca="1" ref="AR146" ca="1">IFERROR(IF($E$150="N", (SUMIFS(rng_out_awp_post_yr2,rng_out_sel_excl_yr_ind, "",rng_out_sel_G_ind,O$1,rng_out_mail_ind,$B117,rng_out_ds,$C117,rng_out_sel_sp_ind,$D117,rng_out_sel_excl_ind,$E146)+
SUMIFS(rng_out_awp_post_yr2,rng_out_sel_excl_yr_ind, [1]Tables!$HN$4,rng_out_sel_G_ind,O$1,rng_out_mail_ind,$B117,rng_out_ds,$C117,rng_out_sel_sp_ind,$D117,rng_out_sel_excl_ind,$E146)*         _xlfn.XLOOKUP([1]Tables!$HN$4,'[1]RA Output'!$AY$4:$AY$5,'[1]RA Output'!BA$4:BA$5,0)  +
SUMIFS(rng_out_awp_post_yr2,rng_out_sel_excl_yr_ind, [1]Tables!$HN$5,rng_out_sel_G_ind,O$1,rng_out_mail_ind,$B117,rng_out_ds,$C117,rng_out_sel_sp_ind,$D117,rng_out_sel_excl_ind,$E146)* _xlfn.XLOOKUP([1]Tables!$HN$5,'[1]RA Output'!$AY$4:$AY$5,'[1]RA Output'!BA$4:BA$5,0))/[1]Tables!$AT$4,
(SUMIFS(rng_out_awp_post_yr2,rng_out_sel_excl_yr_ind, "",rng_out_sel_G_ind,O$1,rng_out_mail_ind,$B117,rng_out_ds,$C117,rng_out_sel_sp_ind,$D117,rng_out_sel_excl_ind,$E146)+
SUMIFS(rng_out_awp_post_yr2,rng_out_sel_excl_yr_ind, [1]Tables!$HN$4,rng_out_sel_G_ind,O$1,rng_out_mail_ind,$B117,rng_out_ds,$C117,rng_out_sel_sp_ind,$D117,rng_out_sel_excl_ind,$E146)*         _xlfn.XLOOKUP([1]Tables!$HN$4,'[1]RA Output'!$AY$4:$AY$5,'[1]RA Output'!BA$4:BA$5,0)  +
SUMIFS(rng_out_awp_post_yr2,rng_out_sel_excl_yr_ind, [1]Tables!$HN$5,rng_out_sel_G_ind,O$1,rng_out_mail_ind,$B117,rng_out_ds,$C117,rng_out_sel_sp_ind,$D117,rng_out_sel_excl_ind,$E146)* _xlfn.XLOOKUP([1]Tables!$HN$5,'[1]RA Output'!$AY$4:$AY$5,'[1]RA Output'!BA$4:BA$5,0))/[1]Tables!$AT$4 +
SUMIFS(rng_out_awp_post_yr2, rng_out_sel_G_ind, O$1, rng_out_mail_ind, $B146, rng_out_ds, $C146, rng_out_sel_sp_ind, $D146, rng_out_sel_excl_ind,"N", rng_out_post_reb_ind_yr2, 0)/[1]Tables!$AT$4), 0)</f>
        <v>0</v>
      </c>
      <c r="AS146" s="5" cm="1">
        <f t="array" aca="1" ref="AS146" ca="1">IFERROR(IF($E$150="N", (SUMIFS(rng_out_awp_post_yr3,rng_out_sel_excl_yr_ind, "",rng_out_sel_G_ind,P$1,rng_out_mail_ind,$B117,rng_out_ds,$C117,rng_out_sel_sp_ind,$D117,rng_out_sel_excl_ind,$E146)+
SUMIFS(rng_out_awp_post_yr3,rng_out_sel_excl_yr_ind, [1]Tables!$HN$4,rng_out_sel_G_ind,P$1,rng_out_mail_ind,$B117,rng_out_ds,$C117,rng_out_sel_sp_ind,$D117,rng_out_sel_excl_ind,$E146)*         _xlfn.XLOOKUP([1]Tables!$HN$4,'[1]RA Output'!$AY$4:$AY$5,'[1]RA Output'!BB$4:BB$5,0)  +
SUMIFS(rng_out_awp_post_yr3,rng_out_sel_excl_yr_ind, [1]Tables!$HN$5,rng_out_sel_G_ind,P$1,rng_out_mail_ind,$B117,rng_out_ds,$C117,rng_out_sel_sp_ind,$D117,rng_out_sel_excl_ind,$E146)* _xlfn.XLOOKUP([1]Tables!$HN$5,'[1]RA Output'!$AY$4:$AY$5,'[1]RA Output'!BB$4:BB$5,0))/[1]Tables!$AT$4,
(SUMIFS(rng_out_awp_post_yr3,rng_out_sel_excl_yr_ind, "",rng_out_sel_G_ind,P$1,rng_out_mail_ind,$B117,rng_out_ds,$C117,rng_out_sel_sp_ind,$D117,rng_out_sel_excl_ind,$E146)+
SUMIFS(rng_out_awp_post_yr3,rng_out_sel_excl_yr_ind, [1]Tables!$HN$4,rng_out_sel_G_ind,P$1,rng_out_mail_ind,$B117,rng_out_ds,$C117,rng_out_sel_sp_ind,$D117,rng_out_sel_excl_ind,$E146)*         _xlfn.XLOOKUP([1]Tables!$HN$4,'[1]RA Output'!$AY$4:$AY$5,'[1]RA Output'!BB$4:BB$5,0)  +
SUMIFS(rng_out_awp_post_yr3,rng_out_sel_excl_yr_ind, [1]Tables!$HN$5,rng_out_sel_G_ind,P$1,rng_out_mail_ind,$B117,rng_out_ds,$C117,rng_out_sel_sp_ind,$D117,rng_out_sel_excl_ind,$E146)* _xlfn.XLOOKUP([1]Tables!$HN$5,'[1]RA Output'!$AY$4:$AY$5,'[1]RA Output'!BB$4:BB$5,0))/[1]Tables!$AT$4 +
SUMIFS(rng_out_awp_post_yr3, rng_out_sel_G_ind, P$1, rng_out_mail_ind, $B146, rng_out_ds, $C146, rng_out_sel_sp_ind, $D146, rng_out_sel_excl_ind,"N", rng_out_post_reb_ind_yr3, 0)/[1]Tables!$AT$4), 0)</f>
        <v>0</v>
      </c>
      <c r="AT146" s="5" cm="1">
        <f t="array" aca="1" ref="AT146" ca="1">IFERROR(IF($E$150="N", (SUMIFS(rng_out_awp_post_yr4,rng_out_sel_excl_yr_ind, "",rng_out_sel_G_ind,Q$1,rng_out_mail_ind,$B117,rng_out_ds,$C117,rng_out_sel_sp_ind,$D117,rng_out_sel_excl_ind,$E146)+
SUMIFS(rng_out_awp_post_yr4,rng_out_sel_excl_yr_ind, [1]Tables!$HN$4,rng_out_sel_G_ind,Q$1,rng_out_mail_ind,$B117,rng_out_ds,$C117,rng_out_sel_sp_ind,$D117,rng_out_sel_excl_ind,$E146)*         _xlfn.XLOOKUP([1]Tables!$HN$4,'[1]RA Output'!$AY$4:$AY$5,'[1]RA Output'!BC$4:BC$5,0)  +
SUMIFS(rng_out_awp_post_yr4,rng_out_sel_excl_yr_ind, [1]Tables!$HN$5,rng_out_sel_G_ind,Q$1,rng_out_mail_ind,$B117,rng_out_ds,$C117,rng_out_sel_sp_ind,$D117,rng_out_sel_excl_ind,$E146)* _xlfn.XLOOKUP([1]Tables!$HN$5,'[1]RA Output'!$AY$4:$AY$5,'[1]RA Output'!BC$4:BC$5,0))/[1]Tables!$AT$4,
(SUMIFS(rng_out_awp_post_yr4,rng_out_sel_excl_yr_ind, "",rng_out_sel_G_ind,Q$1,rng_out_mail_ind,$B117,rng_out_ds,$C117,rng_out_sel_sp_ind,$D117,rng_out_sel_excl_ind,$E146)+
SUMIFS(rng_out_awp_post_yr4,rng_out_sel_excl_yr_ind, [1]Tables!$HN$4,rng_out_sel_G_ind,Q$1,rng_out_mail_ind,$B117,rng_out_ds,$C117,rng_out_sel_sp_ind,$D117,rng_out_sel_excl_ind,$E146)*         _xlfn.XLOOKUP([1]Tables!$HN$4,'[1]RA Output'!$AY$4:$AY$5,'[1]RA Output'!BC$4:BC$5,0)  +
SUMIFS(rng_out_awp_post_yr4,rng_out_sel_excl_yr_ind, [1]Tables!$HN$5,rng_out_sel_G_ind,Q$1,rng_out_mail_ind,$B117,rng_out_ds,$C117,rng_out_sel_sp_ind,$D117,rng_out_sel_excl_ind,$E146)* _xlfn.XLOOKUP([1]Tables!$HN$5,'[1]RA Output'!$AY$4:$AY$5,'[1]RA Output'!BC$4:BC$5,0))/[1]Tables!$AT$4 +
SUMIFS(rng_out_awp_post_yr4, rng_out_sel_G_ind, Q$1, rng_out_mail_ind, $B146, rng_out_ds, $C146, rng_out_sel_sp_ind, $D146, rng_out_sel_excl_ind,"N", rng_out_post_reb_ind_yr4, 0)/[1]Tables!$AT$4), 0)</f>
        <v>0</v>
      </c>
      <c r="AU146" s="85" cm="1">
        <f t="array" aca="1" ref="AU146" ca="1">IFERROR(IF($E$150="N", (SUMIFS(rng_out_awp_post_yr5,rng_out_sel_excl_yr_ind, "",rng_out_sel_G_ind,R$1,rng_out_mail_ind,$B117,rng_out_ds,$C117,rng_out_sel_sp_ind,$D117,rng_out_sel_excl_ind,$E146)+
SUMIFS(rng_out_awp_post_yr5,rng_out_sel_excl_yr_ind, [1]Tables!$HN$4,rng_out_sel_G_ind,R$1,rng_out_mail_ind,$B117,rng_out_ds,$C117,rng_out_sel_sp_ind,$D117,rng_out_sel_excl_ind,$E146)*         _xlfn.XLOOKUP([1]Tables!$HN$4,'[1]RA Output'!$AY$4:$AY$5,'[1]RA Output'!BD$4:BD$5,0)  +
SUMIFS(rng_out_awp_post_yr5,rng_out_sel_excl_yr_ind, [1]Tables!$HN$5,rng_out_sel_G_ind,R$1,rng_out_mail_ind,$B117,rng_out_ds,$C117,rng_out_sel_sp_ind,$D117,rng_out_sel_excl_ind,$E146)* _xlfn.XLOOKUP([1]Tables!$HN$5,'[1]RA Output'!$AY$4:$AY$5,'[1]RA Output'!BD$4:BD$5,0))/[1]Tables!$AT$4,
(SUMIFS(rng_out_awp_post_yr5,rng_out_sel_excl_yr_ind, "",rng_out_sel_G_ind,R$1,rng_out_mail_ind,$B117,rng_out_ds,$C117,rng_out_sel_sp_ind,$D117,rng_out_sel_excl_ind,$E146)+
SUMIFS(rng_out_awp_post_yr5,rng_out_sel_excl_yr_ind, [1]Tables!$HN$4,rng_out_sel_G_ind,R$1,rng_out_mail_ind,$B117,rng_out_ds,$C117,rng_out_sel_sp_ind,$D117,rng_out_sel_excl_ind,$E146)*         _xlfn.XLOOKUP([1]Tables!$HN$4,'[1]RA Output'!$AY$4:$AY$5,'[1]RA Output'!BD$4:BD$5,0)  +
SUMIFS(rng_out_awp_post_yr5,rng_out_sel_excl_yr_ind, [1]Tables!$HN$5,rng_out_sel_G_ind,R$1,rng_out_mail_ind,$B117,rng_out_ds,$C117,rng_out_sel_sp_ind,$D117,rng_out_sel_excl_ind,$E146)* _xlfn.XLOOKUP([1]Tables!$HN$5,'[1]RA Output'!$AY$4:$AY$5,'[1]RA Output'!BD$4:BD$5,0))/[1]Tables!$AT$4 +
SUMIFS(rng_out_awp_post_yr5, rng_out_sel_G_ind, R$1, rng_out_mail_ind, $B146, rng_out_ds, $C146, rng_out_sel_sp_ind, $D146, rng_out_sel_excl_ind,"N", rng_out_post_reb_ind_yr5, 0)/[1]Tables!$AT$4), 0)</f>
        <v>0</v>
      </c>
      <c r="AV146" s="86">
        <f t="shared" ref="AV146:AZ150" ca="1" si="146">IFERROR(AQ146/AV108, 0)</f>
        <v>0</v>
      </c>
      <c r="AW146" s="75">
        <f t="shared" ca="1" si="146"/>
        <v>0</v>
      </c>
      <c r="AX146" s="75">
        <f t="shared" ca="1" si="146"/>
        <v>0</v>
      </c>
      <c r="AY146" s="75">
        <f t="shared" ca="1" si="146"/>
        <v>0</v>
      </c>
      <c r="AZ146" s="87">
        <f t="shared" ca="1" si="146"/>
        <v>0</v>
      </c>
      <c r="BG146" s="88" t="s">
        <v>14</v>
      </c>
      <c r="BH146" s="97">
        <f t="shared" ref="BH146:BL149" ca="1" si="147">AQ146</f>
        <v>0</v>
      </c>
      <c r="BI146" s="79">
        <f t="shared" ca="1" si="147"/>
        <v>0</v>
      </c>
      <c r="BJ146" s="79">
        <f t="shared" ca="1" si="147"/>
        <v>0</v>
      </c>
      <c r="BK146" s="79">
        <f t="shared" ca="1" si="147"/>
        <v>0</v>
      </c>
      <c r="BL146" s="98">
        <f t="shared" ca="1" si="147"/>
        <v>0</v>
      </c>
      <c r="BM146" s="92">
        <f t="shared" ref="BM146:BQ150" ca="1" si="148">IFERROR(BH146/BM108, 0)</f>
        <v>0</v>
      </c>
      <c r="BN146" s="75">
        <f t="shared" ca="1" si="148"/>
        <v>0</v>
      </c>
      <c r="BO146" s="75">
        <f t="shared" ca="1" si="148"/>
        <v>0</v>
      </c>
      <c r="BP146" s="75">
        <f t="shared" ca="1" si="148"/>
        <v>0</v>
      </c>
      <c r="BQ146" s="93">
        <f t="shared" ca="1" si="148"/>
        <v>0</v>
      </c>
      <c r="BX146" s="88" t="s">
        <v>14</v>
      </c>
      <c r="BY146" s="97">
        <f t="shared" ref="BY146:CC149" ca="1" si="149">IFERROR(CD146*CD108, 0)</f>
        <v>0</v>
      </c>
      <c r="BZ146" s="79">
        <f t="shared" ca="1" si="149"/>
        <v>0</v>
      </c>
      <c r="CA146" s="79">
        <f t="shared" ca="1" si="149"/>
        <v>0</v>
      </c>
      <c r="CB146" s="79">
        <f t="shared" ca="1" si="149"/>
        <v>0</v>
      </c>
      <c r="CC146" s="98">
        <f t="shared" ca="1" si="149"/>
        <v>0</v>
      </c>
      <c r="CD146" s="92">
        <f t="shared" ref="CD146:CH149" ca="1" si="150">IFERROR((BM146 * (CD108 - DC108) + DC146)/CD108, 0)</f>
        <v>0</v>
      </c>
      <c r="CE146" s="75">
        <f t="shared" ca="1" si="150"/>
        <v>0</v>
      </c>
      <c r="CF146" s="75">
        <f t="shared" ca="1" si="150"/>
        <v>0</v>
      </c>
      <c r="CG146" s="75">
        <f t="shared" ca="1" si="150"/>
        <v>0</v>
      </c>
      <c r="CH146" s="93">
        <f t="shared" ca="1" si="150"/>
        <v>0</v>
      </c>
      <c r="DC146" s="361" t="e">
        <f t="shared" ref="DC146:DG149" ca="1" si="151">DC58*CD96</f>
        <v>#VALUE!</v>
      </c>
      <c r="DD146" s="362" t="e">
        <f t="shared" ca="1" si="151"/>
        <v>#VALUE!</v>
      </c>
      <c r="DE146" s="362" t="e">
        <f t="shared" ca="1" si="151"/>
        <v>#VALUE!</v>
      </c>
      <c r="DF146" s="362" t="e">
        <f t="shared" ca="1" si="151"/>
        <v>#VALUE!</v>
      </c>
      <c r="DG146" s="363" t="e">
        <f t="shared" ca="1" si="151"/>
        <v>#VALUE!</v>
      </c>
    </row>
    <row r="147" spans="1:117" x14ac:dyDescent="0.35">
      <c r="B147" s="105" t="s">
        <v>11</v>
      </c>
      <c r="C147" s="106">
        <v>90</v>
      </c>
      <c r="D147" s="106" t="s">
        <v>12</v>
      </c>
      <c r="E147" s="107" t="s">
        <v>13</v>
      </c>
      <c r="F147" s="106"/>
      <c r="H147" s="108" t="s">
        <v>15</v>
      </c>
      <c r="I147" s="72" t="e" cm="1">
        <f t="array" aca="1" ref="I147" ca="1">SUMIFS(rng_out_awp_pre_yr1,rng_out_sel_excl_yr_ind, "",rng_out_sel_G_ind,N$1,rng_out_mail_ind,$B118,rng_out_ds,$C118,rng_out_sel_sp_ind,$D118,rng_out_sel_excl_ind,$E147)+
SUMIFS(rng_out_awp_pre_yr1,rng_out_sel_excl_yr_ind, [1]Tables!$HN$4,rng_out_sel_G_ind,N$1,rng_out_mail_ind,$B118,rng_out_ds,$C118,rng_out_sel_sp_ind,$D118,rng_out_sel_excl_ind,$E147)*         _xlfn.XLOOKUP([1]Tables!$HN$4,'[1]RA Output'!$AY$4:$AY$5,'[1]RA Output'!AZ$4:AZ$5,0)  +
SUMIFS(rng_out_awp_pre_yr1,rng_out_sel_excl_yr_ind, [1]Tables!$HN$5,rng_out_sel_G_ind,N$1,rng_out_mail_ind,$B118,rng_out_ds,$C118,rng_out_sel_sp_ind,$D118,rng_out_sel_excl_ind,$E147)* _xlfn.XLOOKUP([1]Tables!$HN$5,'[1]RA Output'!$AY$4:$AY$5,'[1]RA Output'!AZ$4:AZ$5,0)+
IF($E$150="Y", SUMIFS(rng_out_awp_pre_yr1, rng_out_sel_G_ind, "B", rng_out_mail_ind, $B147, rng_out_ds, $C147, rng_out_sel_sp_ind, $D147, rng_out_sel_excl_ind,"N", rng_out_post_reb_ind_yr1, 0), 0)</f>
        <v>#VALUE!</v>
      </c>
      <c r="J147" s="5" t="e" cm="1">
        <f t="array" aca="1" ref="J147" ca="1">SUMIFS(rng_out_awp_pre_yr2,rng_out_sel_excl_yr_ind, "",rng_out_sel_G_ind,O$1,rng_out_mail_ind,$B118,rng_out_ds,$C118,rng_out_sel_sp_ind,$D118,rng_out_sel_excl_ind,$E147)+
SUMIFS(rng_out_awp_pre_yr2,rng_out_sel_excl_yr_ind, [1]Tables!$HN$4,rng_out_sel_G_ind,O$1,rng_out_mail_ind,$B118,rng_out_ds,$C118,rng_out_sel_sp_ind,$D118,rng_out_sel_excl_ind,$E147)*         _xlfn.XLOOKUP([1]Tables!$HN$4,'[1]RA Output'!$AY$4:$AY$5,'[1]RA Output'!BA$4:BA$5,0)  +
SUMIFS(rng_out_awp_pre_yr2,rng_out_sel_excl_yr_ind, [1]Tables!$HN$5,rng_out_sel_G_ind,O$1,rng_out_mail_ind,$B118,rng_out_ds,$C118,rng_out_sel_sp_ind,$D118,rng_out_sel_excl_ind,$E147)* _xlfn.XLOOKUP([1]Tables!$HN$5,'[1]RA Output'!$AY$4:$AY$5,'[1]RA Output'!BA$4:BA$5,0)+
IF($E$150="Y", SUMIFS(rng_out_awp_pre_yr2, rng_out_sel_G_ind, "B", rng_out_mail_ind, $B147, rng_out_ds, $C147, rng_out_sel_sp_ind, $D147, rng_out_sel_excl_ind,"N", rng_out_post_reb_ind_yr2, 0), 0)</f>
        <v>#VALUE!</v>
      </c>
      <c r="K147" s="5" t="e" cm="1">
        <f t="array" aca="1" ref="K147" ca="1">SUMIFS(rng_out_awp_pre_yr3,rng_out_sel_excl_yr_ind, "",rng_out_sel_G_ind,P$1,rng_out_mail_ind,$B118,rng_out_ds,$C118,rng_out_sel_sp_ind,$D118,rng_out_sel_excl_ind,$E147)+
SUMIFS(rng_out_awp_pre_yr3,rng_out_sel_excl_yr_ind, [1]Tables!$HN$4,rng_out_sel_G_ind,P$1,rng_out_mail_ind,$B118,rng_out_ds,$C118,rng_out_sel_sp_ind,$D118,rng_out_sel_excl_ind,$E147)*         _xlfn.XLOOKUP([1]Tables!$HN$4,'[1]RA Output'!$AY$4:$AY$5,'[1]RA Output'!BB$4:BB$5,0)  +
SUMIFS(rng_out_awp_pre_yr3,rng_out_sel_excl_yr_ind, [1]Tables!$HN$5,rng_out_sel_G_ind,P$1,rng_out_mail_ind,$B118,rng_out_ds,$C118,rng_out_sel_sp_ind,$D118,rng_out_sel_excl_ind,$E147)* _xlfn.XLOOKUP([1]Tables!$HN$5,'[1]RA Output'!$AY$4:$AY$5,'[1]RA Output'!BB$4:BB$5,0)+
IF($E$150="Y", SUMIFS(rng_out_awp_pre_yr3, rng_out_sel_G_ind, "B", rng_out_mail_ind, $B147, rng_out_ds, $C147, rng_out_sel_sp_ind, $D147, rng_out_sel_excl_ind,"N", rng_out_post_reb_ind_yr3, 0), 0)</f>
        <v>#VALUE!</v>
      </c>
      <c r="L147" s="5" t="e" cm="1">
        <f t="array" aca="1" ref="L147" ca="1">SUMIFS(rng_out_awp_pre_yr4,rng_out_sel_excl_yr_ind, "",rng_out_sel_G_ind,Q$1,rng_out_mail_ind,$B118,rng_out_ds,$C118,rng_out_sel_sp_ind,$D118,rng_out_sel_excl_ind,$E147)+
SUMIFS(rng_out_awp_pre_yr4,rng_out_sel_excl_yr_ind, [1]Tables!$HN$4,rng_out_sel_G_ind,Q$1,rng_out_mail_ind,$B118,rng_out_ds,$C118,rng_out_sel_sp_ind,$D118,rng_out_sel_excl_ind,$E147)*         _xlfn.XLOOKUP([1]Tables!$HN$4,'[1]RA Output'!$AY$4:$AY$5,'[1]RA Output'!BC$4:BC$5,0)  +
SUMIFS(rng_out_awp_pre_yr4,rng_out_sel_excl_yr_ind, [1]Tables!$HN$5,rng_out_sel_G_ind,Q$1,rng_out_mail_ind,$B118,rng_out_ds,$C118,rng_out_sel_sp_ind,$D118,rng_out_sel_excl_ind,$E147)* _xlfn.XLOOKUP([1]Tables!$HN$5,'[1]RA Output'!$AY$4:$AY$5,'[1]RA Output'!BC$4:BC$5,0)+
IF($E$150="Y", SUMIFS(rng_out_awp_pre_yr4, rng_out_sel_G_ind, "B", rng_out_mail_ind, $B147, rng_out_ds, $C147, rng_out_sel_sp_ind, $D147, rng_out_sel_excl_ind,"N", rng_out_post_reb_ind_yr4, 0), 0)</f>
        <v>#VALUE!</v>
      </c>
      <c r="M147" s="73" t="e" cm="1">
        <f t="array" aca="1" ref="M147" ca="1">SUMIFS(rng_out_awp_pre_yr5,rng_out_sel_excl_yr_ind, "",rng_out_sel_G_ind,R$1,rng_out_mail_ind,$B118,rng_out_ds,$C118,rng_out_sel_sp_ind,$D118,rng_out_sel_excl_ind,$E147)+
SUMIFS(rng_out_awp_pre_yr5,rng_out_sel_excl_yr_ind, [1]Tables!$HN$4,rng_out_sel_G_ind,R$1,rng_out_mail_ind,$B118,rng_out_ds,$C118,rng_out_sel_sp_ind,$D118,rng_out_sel_excl_ind,$E147)*         _xlfn.XLOOKUP([1]Tables!$HN$4,'[1]RA Output'!$AY$4:$AY$5,'[1]RA Output'!BD$4:BD$5,0)  +
SUMIFS(rng_out_awp_pre_yr5,rng_out_sel_excl_yr_ind, [1]Tables!$HN$5,rng_out_sel_G_ind,R$1,rng_out_mail_ind,$B118,rng_out_ds,$C118,rng_out_sel_sp_ind,$D118,rng_out_sel_excl_ind,$E147)* _xlfn.XLOOKUP([1]Tables!$HN$5,'[1]RA Output'!$AY$4:$AY$5,'[1]RA Output'!BD$4:BD$5,0)+
IF($E$150="Y", SUMIFS(rng_out_awp_pre_yr5, rng_out_sel_G_ind, "B", rng_out_mail_ind, $B147, rng_out_ds, $C147, rng_out_sel_sp_ind, $D147, rng_out_sel_excl_ind,"N", rng_out_post_reb_ind_yr5, 0), 0)</f>
        <v>#VALUE!</v>
      </c>
      <c r="N147" s="74">
        <f t="shared" ca="1" si="144"/>
        <v>0</v>
      </c>
      <c r="O147" s="75">
        <f t="shared" ca="1" si="144"/>
        <v>0</v>
      </c>
      <c r="P147" s="75">
        <f t="shared" ca="1" si="144"/>
        <v>0</v>
      </c>
      <c r="Q147" s="75">
        <f t="shared" ca="1" si="144"/>
        <v>0</v>
      </c>
      <c r="R147" s="76">
        <f t="shared" ca="1" si="144"/>
        <v>0</v>
      </c>
      <c r="Y147" s="109" t="s">
        <v>15</v>
      </c>
      <c r="Z147" s="78">
        <f ca="1">IFERROR(I147/[1]Tables!$AT$4, 0)</f>
        <v>0</v>
      </c>
      <c r="AA147" s="79">
        <f ca="1">IFERROR(J147/[1]Tables!$AT$4, 0)</f>
        <v>0</v>
      </c>
      <c r="AB147" s="79">
        <f ca="1">IFERROR(K147/[1]Tables!$AT$4, 0)</f>
        <v>0</v>
      </c>
      <c r="AC147" s="79">
        <f ca="1">IFERROR(L147/[1]Tables!$AT$4, 0)</f>
        <v>0</v>
      </c>
      <c r="AD147" s="80">
        <f ca="1">IFERROR(M147/[1]Tables!$AT$4, 0)</f>
        <v>0</v>
      </c>
      <c r="AE147" s="81">
        <f t="shared" ca="1" si="145"/>
        <v>0</v>
      </c>
      <c r="AF147" s="75">
        <f t="shared" ca="1" si="145"/>
        <v>0</v>
      </c>
      <c r="AG147" s="75">
        <f t="shared" ca="1" si="145"/>
        <v>0</v>
      </c>
      <c r="AH147" s="75">
        <f t="shared" ca="1" si="145"/>
        <v>0</v>
      </c>
      <c r="AI147" s="82">
        <f t="shared" ca="1" si="145"/>
        <v>0</v>
      </c>
      <c r="AP147" s="110" t="s">
        <v>15</v>
      </c>
      <c r="AQ147" s="356" cm="1">
        <f t="array" aca="1" ref="AQ147" ca="1">IFERROR(IF($E$150="N", (SUMIFS(rng_out_awp_post_yr1,rng_out_sel_excl_yr_ind, "",rng_out_sel_G_ind,N$1,rng_out_mail_ind,$B118,rng_out_ds,$C118,rng_out_sel_sp_ind,$D118,rng_out_sel_excl_ind,$E147)+
SUMIFS(rng_out_awp_post_yr1,rng_out_sel_excl_yr_ind, [1]Tables!$HN$4,rng_out_sel_G_ind,N$1,rng_out_mail_ind,$B118,rng_out_ds,$C118,rng_out_sel_sp_ind,$D118,rng_out_sel_excl_ind,$E147)*         _xlfn.XLOOKUP([1]Tables!$HN$4,'[1]RA Output'!$AY$4:$AY$5,'[1]RA Output'!AZ$4:AZ$5,0)  +
SUMIFS(rng_out_awp_post_yr1,rng_out_sel_excl_yr_ind, [1]Tables!$HN$5,rng_out_sel_G_ind,N$1,rng_out_mail_ind,$B118,rng_out_ds,$C118,rng_out_sel_sp_ind,$D118,rng_out_sel_excl_ind,$E147)* _xlfn.XLOOKUP([1]Tables!$HN$5,'[1]RA Output'!$AY$4:$AY$5,'[1]RA Output'!AZ$4:AZ$5,0))/[1]Tables!$AT$4,
(SUMIFS(rng_out_awp_post_yr1,rng_out_sel_excl_yr_ind, "",rng_out_sel_G_ind,N$1,rng_out_mail_ind,$B118,rng_out_ds,$C118,rng_out_sel_sp_ind,$D118,rng_out_sel_excl_ind,$E147)+
SUMIFS(rng_out_awp_post_yr1,rng_out_sel_excl_yr_ind, [1]Tables!$HN$4,rng_out_sel_G_ind,N$1,rng_out_mail_ind,$B118,rng_out_ds,$C118,rng_out_sel_sp_ind,$D118,rng_out_sel_excl_ind,$E147)*         _xlfn.XLOOKUP([1]Tables!$HN$4,'[1]RA Output'!$AY$4:$AY$5,'[1]RA Output'!AZ$4:AZ$5,0)  +
SUMIFS(rng_out_awp_post_yr1,rng_out_sel_excl_yr_ind, [1]Tables!$HN$5,rng_out_sel_G_ind,N$1,rng_out_mail_ind,$B118,rng_out_ds,$C118,rng_out_sel_sp_ind,$D118,rng_out_sel_excl_ind,$E147)* _xlfn.XLOOKUP([1]Tables!$HN$5,'[1]RA Output'!$AY$4:$AY$5,'[1]RA Output'!AZ$4:AZ$5,0))/[1]Tables!$AT$4 +
SUMIFS(rng_out_awp_post_yr1, rng_out_sel_G_ind, N$1, rng_out_mail_ind, $B147, rng_out_ds, $C147, rng_out_sel_sp_ind, $D147, rng_out_sel_excl_ind,"N", rng_out_post_reb_ind_yr1, 0)/[1]Tables!$AT$4), 0)</f>
        <v>0</v>
      </c>
      <c r="AR147" s="5" cm="1">
        <f t="array" aca="1" ref="AR147" ca="1">IFERROR(IF($E$150="N", (SUMIFS(rng_out_awp_post_yr2,rng_out_sel_excl_yr_ind, "",rng_out_sel_G_ind,O$1,rng_out_mail_ind,$B118,rng_out_ds,$C118,rng_out_sel_sp_ind,$D118,rng_out_sel_excl_ind,$E147)+
SUMIFS(rng_out_awp_post_yr2,rng_out_sel_excl_yr_ind, [1]Tables!$HN$4,rng_out_sel_G_ind,O$1,rng_out_mail_ind,$B118,rng_out_ds,$C118,rng_out_sel_sp_ind,$D118,rng_out_sel_excl_ind,$E147)*         _xlfn.XLOOKUP([1]Tables!$HN$4,'[1]RA Output'!$AY$4:$AY$5,'[1]RA Output'!BA$4:BA$5,0)  +
SUMIFS(rng_out_awp_post_yr2,rng_out_sel_excl_yr_ind, [1]Tables!$HN$5,rng_out_sel_G_ind,O$1,rng_out_mail_ind,$B118,rng_out_ds,$C118,rng_out_sel_sp_ind,$D118,rng_out_sel_excl_ind,$E147)* _xlfn.XLOOKUP([1]Tables!$HN$5,'[1]RA Output'!$AY$4:$AY$5,'[1]RA Output'!BA$4:BA$5,0))/[1]Tables!$AT$4,
(SUMIFS(rng_out_awp_post_yr2,rng_out_sel_excl_yr_ind, "",rng_out_sel_G_ind,O$1,rng_out_mail_ind,$B118,rng_out_ds,$C118,rng_out_sel_sp_ind,$D118,rng_out_sel_excl_ind,$E147)+
SUMIFS(rng_out_awp_post_yr2,rng_out_sel_excl_yr_ind, [1]Tables!$HN$4,rng_out_sel_G_ind,O$1,rng_out_mail_ind,$B118,rng_out_ds,$C118,rng_out_sel_sp_ind,$D118,rng_out_sel_excl_ind,$E147)*         _xlfn.XLOOKUP([1]Tables!$HN$4,'[1]RA Output'!$AY$4:$AY$5,'[1]RA Output'!BA$4:BA$5,0)  +
SUMIFS(rng_out_awp_post_yr2,rng_out_sel_excl_yr_ind, [1]Tables!$HN$5,rng_out_sel_G_ind,O$1,rng_out_mail_ind,$B118,rng_out_ds,$C118,rng_out_sel_sp_ind,$D118,rng_out_sel_excl_ind,$E147)* _xlfn.XLOOKUP([1]Tables!$HN$5,'[1]RA Output'!$AY$4:$AY$5,'[1]RA Output'!BA$4:BA$5,0))/[1]Tables!$AT$4 +
SUMIFS(rng_out_awp_post_yr2, rng_out_sel_G_ind, O$1, rng_out_mail_ind, $B147, rng_out_ds, $C147, rng_out_sel_sp_ind, $D147, rng_out_sel_excl_ind,"N", rng_out_post_reb_ind_yr2, 0)/[1]Tables!$AT$4), 0)</f>
        <v>0</v>
      </c>
      <c r="AS147" s="5" cm="1">
        <f t="array" aca="1" ref="AS147" ca="1">IFERROR(IF($E$150="N", (SUMIFS(rng_out_awp_post_yr3,rng_out_sel_excl_yr_ind, "",rng_out_sel_G_ind,P$1,rng_out_mail_ind,$B118,rng_out_ds,$C118,rng_out_sel_sp_ind,$D118,rng_out_sel_excl_ind,$E147)+
SUMIFS(rng_out_awp_post_yr3,rng_out_sel_excl_yr_ind, [1]Tables!$HN$4,rng_out_sel_G_ind,P$1,rng_out_mail_ind,$B118,rng_out_ds,$C118,rng_out_sel_sp_ind,$D118,rng_out_sel_excl_ind,$E147)*         _xlfn.XLOOKUP([1]Tables!$HN$4,'[1]RA Output'!$AY$4:$AY$5,'[1]RA Output'!BB$4:BB$5,0)  +
SUMIFS(rng_out_awp_post_yr3,rng_out_sel_excl_yr_ind, [1]Tables!$HN$5,rng_out_sel_G_ind,P$1,rng_out_mail_ind,$B118,rng_out_ds,$C118,rng_out_sel_sp_ind,$D118,rng_out_sel_excl_ind,$E147)* _xlfn.XLOOKUP([1]Tables!$HN$5,'[1]RA Output'!$AY$4:$AY$5,'[1]RA Output'!BB$4:BB$5,0))/[1]Tables!$AT$4,
(SUMIFS(rng_out_awp_post_yr3,rng_out_sel_excl_yr_ind, "",rng_out_sel_G_ind,P$1,rng_out_mail_ind,$B118,rng_out_ds,$C118,rng_out_sel_sp_ind,$D118,rng_out_sel_excl_ind,$E147)+
SUMIFS(rng_out_awp_post_yr3,rng_out_sel_excl_yr_ind, [1]Tables!$HN$4,rng_out_sel_G_ind,P$1,rng_out_mail_ind,$B118,rng_out_ds,$C118,rng_out_sel_sp_ind,$D118,rng_out_sel_excl_ind,$E147)*         _xlfn.XLOOKUP([1]Tables!$HN$4,'[1]RA Output'!$AY$4:$AY$5,'[1]RA Output'!BB$4:BB$5,0)  +
SUMIFS(rng_out_awp_post_yr3,rng_out_sel_excl_yr_ind, [1]Tables!$HN$5,rng_out_sel_G_ind,P$1,rng_out_mail_ind,$B118,rng_out_ds,$C118,rng_out_sel_sp_ind,$D118,rng_out_sel_excl_ind,$E147)* _xlfn.XLOOKUP([1]Tables!$HN$5,'[1]RA Output'!$AY$4:$AY$5,'[1]RA Output'!BB$4:BB$5,0))/[1]Tables!$AT$4 +
SUMIFS(rng_out_awp_post_yr3, rng_out_sel_G_ind, P$1, rng_out_mail_ind, $B147, rng_out_ds, $C147, rng_out_sel_sp_ind, $D147, rng_out_sel_excl_ind,"N", rng_out_post_reb_ind_yr3, 0)/[1]Tables!$AT$4), 0)</f>
        <v>0</v>
      </c>
      <c r="AT147" s="5" cm="1">
        <f t="array" aca="1" ref="AT147" ca="1">IFERROR(IF($E$150="N", (SUMIFS(rng_out_awp_post_yr4,rng_out_sel_excl_yr_ind, "",rng_out_sel_G_ind,Q$1,rng_out_mail_ind,$B118,rng_out_ds,$C118,rng_out_sel_sp_ind,$D118,rng_out_sel_excl_ind,$E147)+
SUMIFS(rng_out_awp_post_yr4,rng_out_sel_excl_yr_ind, [1]Tables!$HN$4,rng_out_sel_G_ind,Q$1,rng_out_mail_ind,$B118,rng_out_ds,$C118,rng_out_sel_sp_ind,$D118,rng_out_sel_excl_ind,$E147)*         _xlfn.XLOOKUP([1]Tables!$HN$4,'[1]RA Output'!$AY$4:$AY$5,'[1]RA Output'!BC$4:BC$5,0)  +
SUMIFS(rng_out_awp_post_yr4,rng_out_sel_excl_yr_ind, [1]Tables!$HN$5,rng_out_sel_G_ind,Q$1,rng_out_mail_ind,$B118,rng_out_ds,$C118,rng_out_sel_sp_ind,$D118,rng_out_sel_excl_ind,$E147)* _xlfn.XLOOKUP([1]Tables!$HN$5,'[1]RA Output'!$AY$4:$AY$5,'[1]RA Output'!BC$4:BC$5,0))/[1]Tables!$AT$4,
(SUMIFS(rng_out_awp_post_yr4,rng_out_sel_excl_yr_ind, "",rng_out_sel_G_ind,Q$1,rng_out_mail_ind,$B118,rng_out_ds,$C118,rng_out_sel_sp_ind,$D118,rng_out_sel_excl_ind,$E147)+
SUMIFS(rng_out_awp_post_yr4,rng_out_sel_excl_yr_ind, [1]Tables!$HN$4,rng_out_sel_G_ind,Q$1,rng_out_mail_ind,$B118,rng_out_ds,$C118,rng_out_sel_sp_ind,$D118,rng_out_sel_excl_ind,$E147)*         _xlfn.XLOOKUP([1]Tables!$HN$4,'[1]RA Output'!$AY$4:$AY$5,'[1]RA Output'!BC$4:BC$5,0)  +
SUMIFS(rng_out_awp_post_yr4,rng_out_sel_excl_yr_ind, [1]Tables!$HN$5,rng_out_sel_G_ind,Q$1,rng_out_mail_ind,$B118,rng_out_ds,$C118,rng_out_sel_sp_ind,$D118,rng_out_sel_excl_ind,$E147)* _xlfn.XLOOKUP([1]Tables!$HN$5,'[1]RA Output'!$AY$4:$AY$5,'[1]RA Output'!BC$4:BC$5,0))/[1]Tables!$AT$4 +
SUMIFS(rng_out_awp_post_yr4, rng_out_sel_G_ind, Q$1, rng_out_mail_ind, $B147, rng_out_ds, $C147, rng_out_sel_sp_ind, $D147, rng_out_sel_excl_ind,"N", rng_out_post_reb_ind_yr4, 0)/[1]Tables!$AT$4), 0)</f>
        <v>0</v>
      </c>
      <c r="AU147" s="85" cm="1">
        <f t="array" aca="1" ref="AU147" ca="1">IFERROR(IF($E$150="N", (SUMIFS(rng_out_awp_post_yr5,rng_out_sel_excl_yr_ind, "",rng_out_sel_G_ind,R$1,rng_out_mail_ind,$B118,rng_out_ds,$C118,rng_out_sel_sp_ind,$D118,rng_out_sel_excl_ind,$E147)+
SUMIFS(rng_out_awp_post_yr5,rng_out_sel_excl_yr_ind, [1]Tables!$HN$4,rng_out_sel_G_ind,R$1,rng_out_mail_ind,$B118,rng_out_ds,$C118,rng_out_sel_sp_ind,$D118,rng_out_sel_excl_ind,$E147)*         _xlfn.XLOOKUP([1]Tables!$HN$4,'[1]RA Output'!$AY$4:$AY$5,'[1]RA Output'!BD$4:BD$5,0)  +
SUMIFS(rng_out_awp_post_yr5,rng_out_sel_excl_yr_ind, [1]Tables!$HN$5,rng_out_sel_G_ind,R$1,rng_out_mail_ind,$B118,rng_out_ds,$C118,rng_out_sel_sp_ind,$D118,rng_out_sel_excl_ind,$E147)* _xlfn.XLOOKUP([1]Tables!$HN$5,'[1]RA Output'!$AY$4:$AY$5,'[1]RA Output'!BD$4:BD$5,0))/[1]Tables!$AT$4,
(SUMIFS(rng_out_awp_post_yr5,rng_out_sel_excl_yr_ind, "",rng_out_sel_G_ind,R$1,rng_out_mail_ind,$B118,rng_out_ds,$C118,rng_out_sel_sp_ind,$D118,rng_out_sel_excl_ind,$E147)+
SUMIFS(rng_out_awp_post_yr5,rng_out_sel_excl_yr_ind, [1]Tables!$HN$4,rng_out_sel_G_ind,R$1,rng_out_mail_ind,$B118,rng_out_ds,$C118,rng_out_sel_sp_ind,$D118,rng_out_sel_excl_ind,$E147)*         _xlfn.XLOOKUP([1]Tables!$HN$4,'[1]RA Output'!$AY$4:$AY$5,'[1]RA Output'!BD$4:BD$5,0)  +
SUMIFS(rng_out_awp_post_yr5,rng_out_sel_excl_yr_ind, [1]Tables!$HN$5,rng_out_sel_G_ind,R$1,rng_out_mail_ind,$B118,rng_out_ds,$C118,rng_out_sel_sp_ind,$D118,rng_out_sel_excl_ind,$E147)* _xlfn.XLOOKUP([1]Tables!$HN$5,'[1]RA Output'!$AY$4:$AY$5,'[1]RA Output'!BD$4:BD$5,0))/[1]Tables!$AT$4 +
SUMIFS(rng_out_awp_post_yr5, rng_out_sel_G_ind, R$1, rng_out_mail_ind, $B147, rng_out_ds, $C147, rng_out_sel_sp_ind, $D147, rng_out_sel_excl_ind,"N", rng_out_post_reb_ind_yr5, 0)/[1]Tables!$AT$4), 0)</f>
        <v>0</v>
      </c>
      <c r="AV147" s="86">
        <f t="shared" ca="1" si="146"/>
        <v>0</v>
      </c>
      <c r="AW147" s="75">
        <f t="shared" ca="1" si="146"/>
        <v>0</v>
      </c>
      <c r="AX147" s="75">
        <f t="shared" ca="1" si="146"/>
        <v>0</v>
      </c>
      <c r="AY147" s="75">
        <f t="shared" ca="1" si="146"/>
        <v>0</v>
      </c>
      <c r="AZ147" s="87">
        <f t="shared" ca="1" si="146"/>
        <v>0</v>
      </c>
      <c r="BG147" s="111" t="s">
        <v>15</v>
      </c>
      <c r="BH147" s="97">
        <f t="shared" ca="1" si="147"/>
        <v>0</v>
      </c>
      <c r="BI147" s="79">
        <f t="shared" ca="1" si="147"/>
        <v>0</v>
      </c>
      <c r="BJ147" s="79">
        <f t="shared" ca="1" si="147"/>
        <v>0</v>
      </c>
      <c r="BK147" s="79">
        <f t="shared" ca="1" si="147"/>
        <v>0</v>
      </c>
      <c r="BL147" s="98">
        <f t="shared" ca="1" si="147"/>
        <v>0</v>
      </c>
      <c r="BM147" s="92">
        <f t="shared" ca="1" si="148"/>
        <v>0</v>
      </c>
      <c r="BN147" s="75">
        <f t="shared" ca="1" si="148"/>
        <v>0</v>
      </c>
      <c r="BO147" s="75">
        <f t="shared" ca="1" si="148"/>
        <v>0</v>
      </c>
      <c r="BP147" s="75">
        <f t="shared" ca="1" si="148"/>
        <v>0</v>
      </c>
      <c r="BQ147" s="93">
        <f t="shared" ca="1" si="148"/>
        <v>0</v>
      </c>
      <c r="BX147" s="111" t="s">
        <v>15</v>
      </c>
      <c r="BY147" s="97">
        <f t="shared" ca="1" si="149"/>
        <v>0</v>
      </c>
      <c r="BZ147" s="79">
        <f t="shared" ca="1" si="149"/>
        <v>0</v>
      </c>
      <c r="CA147" s="79">
        <f t="shared" ca="1" si="149"/>
        <v>0</v>
      </c>
      <c r="CB147" s="79">
        <f t="shared" ca="1" si="149"/>
        <v>0</v>
      </c>
      <c r="CC147" s="98">
        <f t="shared" ca="1" si="149"/>
        <v>0</v>
      </c>
      <c r="CD147" s="92">
        <f t="shared" ca="1" si="150"/>
        <v>0</v>
      </c>
      <c r="CE147" s="75">
        <f t="shared" ca="1" si="150"/>
        <v>0</v>
      </c>
      <c r="CF147" s="75">
        <f t="shared" ca="1" si="150"/>
        <v>0</v>
      </c>
      <c r="CG147" s="75">
        <f t="shared" ca="1" si="150"/>
        <v>0</v>
      </c>
      <c r="CH147" s="93">
        <f t="shared" ca="1" si="150"/>
        <v>0</v>
      </c>
      <c r="DC147" s="97" t="e">
        <f t="shared" ca="1" si="151"/>
        <v>#VALUE!</v>
      </c>
      <c r="DD147" s="79" t="e">
        <f t="shared" ca="1" si="151"/>
        <v>#VALUE!</v>
      </c>
      <c r="DE147" s="79" t="e">
        <f t="shared" ca="1" si="151"/>
        <v>#VALUE!</v>
      </c>
      <c r="DF147" s="79" t="e">
        <f t="shared" ca="1" si="151"/>
        <v>#VALUE!</v>
      </c>
      <c r="DG147" s="98" t="e">
        <f t="shared" ca="1" si="151"/>
        <v>#VALUE!</v>
      </c>
    </row>
    <row r="148" spans="1:117" x14ac:dyDescent="0.35">
      <c r="B148" s="105" t="s">
        <v>16</v>
      </c>
      <c r="C148" s="106"/>
      <c r="D148" s="106" t="s">
        <v>12</v>
      </c>
      <c r="E148" s="107" t="s">
        <v>13</v>
      </c>
      <c r="F148" s="106"/>
      <c r="H148" s="118" t="s">
        <v>7</v>
      </c>
      <c r="I148" s="72" t="e" cm="1">
        <f t="array" aca="1" ref="I148" ca="1">SUMIFS(rng_out_awp_pre_yr1,rng_out_sel_excl_yr_ind, "",rng_out_sel_G_ind,N$1,rng_out_mail_ind,$B119,rng_out_sel_sp_ind,$D119,rng_out_sel_excl_ind,$E148)+
SUMIFS(rng_out_awp_pre_yr1,rng_out_sel_excl_yr_ind, [1]Tables!$HN$4,rng_out_sel_G_ind,N$1,rng_out_mail_ind,$B119,rng_out_sel_sp_ind,$D119,rng_out_sel_excl_ind,$E148)*         _xlfn.XLOOKUP([1]Tables!$HN$4,'[1]RA Output'!$AY$4:$AY$5,'[1]RA Output'!AZ$4:AZ$5,0)  +
SUMIFS(rng_out_awp_pre_yr1,rng_out_sel_excl_yr_ind, [1]Tables!$HN$5,rng_out_sel_G_ind,N$1,rng_out_mail_ind,$B119,rng_out_sel_sp_ind,$D119,rng_out_sel_excl_ind,$E148)* _xlfn.XLOOKUP([1]Tables!$HN$5,'[1]RA Output'!$AY$4:$AY$5,'[1]RA Output'!AZ$4:AZ$5,0)+
IF($E$150="Y", SUMIFS(rng_out_awp_pre_yr1, rng_out_sel_G_ind, "B", rng_out_mail_ind, $B148, rng_out_sel_sp_ind, $D148, rng_out_sel_excl_ind,"N", rng_out_post_reb_ind_yr1, 0), 0)</f>
        <v>#VALUE!</v>
      </c>
      <c r="J148" s="5" t="e" cm="1">
        <f t="array" aca="1" ref="J148" ca="1">SUMIFS(rng_out_awp_pre_yr2,rng_out_sel_excl_yr_ind, "",rng_out_sel_G_ind,O$1,rng_out_mail_ind,$B119,rng_out_sel_sp_ind,$D119,rng_out_sel_excl_ind,$E148)+
SUMIFS(rng_out_awp_pre_yr2,rng_out_sel_excl_yr_ind, [1]Tables!$HN$4,rng_out_sel_G_ind,O$1,rng_out_mail_ind,$B119,rng_out_sel_sp_ind,$D119,rng_out_sel_excl_ind,$E148)*         _xlfn.XLOOKUP([1]Tables!$HN$4,'[1]RA Output'!$AY$4:$AY$5,'[1]RA Output'!BA$4:BA$5,0)  +
SUMIFS(rng_out_awp_pre_yr2,rng_out_sel_excl_yr_ind, [1]Tables!$HN$5,rng_out_sel_G_ind,O$1,rng_out_mail_ind,$B119,rng_out_sel_sp_ind,$D119,rng_out_sel_excl_ind,$E148)* _xlfn.XLOOKUP([1]Tables!$HN$5,'[1]RA Output'!$AY$4:$AY$5,'[1]RA Output'!BA$4:BA$5,0)+
IF($E$150="Y", SUMIFS(rng_out_awp_pre_yr2, rng_out_sel_G_ind, "B", rng_out_mail_ind, $B148, rng_out_sel_sp_ind, $D148, rng_out_sel_excl_ind,"N", rng_out_post_reb_ind_yr2, 0), 0)</f>
        <v>#VALUE!</v>
      </c>
      <c r="K148" s="5" t="e" cm="1">
        <f t="array" aca="1" ref="K148" ca="1">SUMIFS(rng_out_awp_pre_yr3,rng_out_sel_excl_yr_ind, "",rng_out_sel_G_ind,P$1,rng_out_mail_ind,$B119,rng_out_sel_sp_ind,$D119,rng_out_sel_excl_ind,$E148)+
SUMIFS(rng_out_awp_pre_yr3,rng_out_sel_excl_yr_ind, [1]Tables!$HN$4,rng_out_sel_G_ind,P$1,rng_out_mail_ind,$B119,rng_out_sel_sp_ind,$D119,rng_out_sel_excl_ind,$E148)*         _xlfn.XLOOKUP([1]Tables!$HN$4,'[1]RA Output'!$AY$4:$AY$5,'[1]RA Output'!BB$4:BB$5,0)  +
SUMIFS(rng_out_awp_pre_yr3,rng_out_sel_excl_yr_ind, [1]Tables!$HN$5,rng_out_sel_G_ind,P$1,rng_out_mail_ind,$B119,rng_out_sel_sp_ind,$D119,rng_out_sel_excl_ind,$E148)* _xlfn.XLOOKUP([1]Tables!$HN$5,'[1]RA Output'!$AY$4:$AY$5,'[1]RA Output'!BB$4:BB$5,0)+
IF($E$150="Y", SUMIFS(rng_out_awp_pre_yr3, rng_out_sel_G_ind, "B", rng_out_mail_ind, $B148, rng_out_sel_sp_ind, $D148, rng_out_sel_excl_ind,"N", rng_out_post_reb_ind_yr3, 0), 0)</f>
        <v>#VALUE!</v>
      </c>
      <c r="L148" s="5" t="e" cm="1">
        <f t="array" aca="1" ref="L148" ca="1">SUMIFS(rng_out_awp_pre_yr4,rng_out_sel_excl_yr_ind, "",rng_out_sel_G_ind,Q$1,rng_out_mail_ind,$B119,rng_out_sel_sp_ind,$D119,rng_out_sel_excl_ind,$E148)+
SUMIFS(rng_out_awp_pre_yr4,rng_out_sel_excl_yr_ind, [1]Tables!$HN$4,rng_out_sel_G_ind,Q$1,rng_out_mail_ind,$B119,rng_out_sel_sp_ind,$D119,rng_out_sel_excl_ind,$E148)*         _xlfn.XLOOKUP([1]Tables!$HN$4,'[1]RA Output'!$AY$4:$AY$5,'[1]RA Output'!BC$4:BC$5,0)  +
SUMIFS(rng_out_awp_pre_yr4,rng_out_sel_excl_yr_ind, [1]Tables!$HN$5,rng_out_sel_G_ind,Q$1,rng_out_mail_ind,$B119,rng_out_sel_sp_ind,$D119,rng_out_sel_excl_ind,$E148)* _xlfn.XLOOKUP([1]Tables!$HN$5,'[1]RA Output'!$AY$4:$AY$5,'[1]RA Output'!BC$4:BC$5,0)+
IF($E$150="Y", SUMIFS(rng_out_awp_pre_yr4, rng_out_sel_G_ind, "B", rng_out_mail_ind, $B148, rng_out_sel_sp_ind, $D148, rng_out_sel_excl_ind,"N", rng_out_post_reb_ind_yr4, 0), 0)</f>
        <v>#VALUE!</v>
      </c>
      <c r="M148" s="73" t="e" cm="1">
        <f t="array" aca="1" ref="M148" ca="1">SUMIFS(rng_out_awp_pre_yr5,rng_out_sel_excl_yr_ind, "",rng_out_sel_G_ind,R$1,rng_out_mail_ind,$B119,rng_out_sel_sp_ind,$D119,rng_out_sel_excl_ind,$E148)+
SUMIFS(rng_out_awp_pre_yr5,rng_out_sel_excl_yr_ind, [1]Tables!$HN$4,rng_out_sel_G_ind,R$1,rng_out_mail_ind,$B119,rng_out_sel_sp_ind,$D119,rng_out_sel_excl_ind,$E148)*         _xlfn.XLOOKUP([1]Tables!$HN$4,'[1]RA Output'!$AY$4:$AY$5,'[1]RA Output'!BD$4:BD$5,0)  +
SUMIFS(rng_out_awp_pre_yr5,rng_out_sel_excl_yr_ind, [1]Tables!$HN$5,rng_out_sel_G_ind,R$1,rng_out_mail_ind,$B119,rng_out_sel_sp_ind,$D119,rng_out_sel_excl_ind,$E148)* _xlfn.XLOOKUP([1]Tables!$HN$5,'[1]RA Output'!$AY$4:$AY$5,'[1]RA Output'!BD$4:BD$5,0)+
IF($E$150="Y", SUMIFS(rng_out_awp_pre_yr5, rng_out_sel_G_ind, "B", rng_out_mail_ind, $B148, rng_out_sel_sp_ind, $D148, rng_out_sel_excl_ind,"N", rng_out_post_reb_ind_yr5, 0), 0)</f>
        <v>#VALUE!</v>
      </c>
      <c r="N148" s="74">
        <f t="shared" ca="1" si="144"/>
        <v>0</v>
      </c>
      <c r="O148" s="75">
        <f t="shared" ca="1" si="144"/>
        <v>0</v>
      </c>
      <c r="P148" s="75">
        <f t="shared" ca="1" si="144"/>
        <v>0</v>
      </c>
      <c r="Q148" s="75">
        <f t="shared" ca="1" si="144"/>
        <v>0</v>
      </c>
      <c r="R148" s="76">
        <f t="shared" ca="1" si="144"/>
        <v>0</v>
      </c>
      <c r="Y148" s="119" t="s">
        <v>7</v>
      </c>
      <c r="Z148" s="78">
        <f ca="1">IFERROR(I148/[1]Tables!$AT$4, 0)</f>
        <v>0</v>
      </c>
      <c r="AA148" s="79">
        <f ca="1">IFERROR(J148/[1]Tables!$AT$4, 0)</f>
        <v>0</v>
      </c>
      <c r="AB148" s="79">
        <f ca="1">IFERROR(K148/[1]Tables!$AT$4, 0)</f>
        <v>0</v>
      </c>
      <c r="AC148" s="79">
        <f ca="1">IFERROR(L148/[1]Tables!$AT$4, 0)</f>
        <v>0</v>
      </c>
      <c r="AD148" s="80">
        <f ca="1">IFERROR(M148/[1]Tables!$AT$4, 0)</f>
        <v>0</v>
      </c>
      <c r="AE148" s="81">
        <f t="shared" ca="1" si="145"/>
        <v>0</v>
      </c>
      <c r="AF148" s="75">
        <f t="shared" ca="1" si="145"/>
        <v>0</v>
      </c>
      <c r="AG148" s="75">
        <f t="shared" ca="1" si="145"/>
        <v>0</v>
      </c>
      <c r="AH148" s="75">
        <f t="shared" ca="1" si="145"/>
        <v>0</v>
      </c>
      <c r="AI148" s="82">
        <f t="shared" ca="1" si="145"/>
        <v>0</v>
      </c>
      <c r="AP148" s="120" t="s">
        <v>7</v>
      </c>
      <c r="AQ148" s="356" cm="1">
        <f t="array" aca="1" ref="AQ148" ca="1">IFERROR(IF($E$150="N", (SUMIFS(rng_out_awp_post_yr1,rng_out_sel_excl_yr_ind, "",rng_out_sel_G_ind,N$1,rng_out_mail_ind,$B119,rng_out_sel_sp_ind,$D119,rng_out_sel_excl_ind,$E148)+
SUMIFS(rng_out_awp_post_yr1,rng_out_sel_excl_yr_ind, [1]Tables!$HN$4,rng_out_sel_G_ind,N$1,rng_out_mail_ind,$B119,rng_out_sel_sp_ind,$D119,rng_out_sel_excl_ind,$E148)*         _xlfn.XLOOKUP([1]Tables!$HN$4,'[1]RA Output'!$AY$4:$AY$5,'[1]RA Output'!AZ$4:AZ$5,0)  +
SUMIFS(rng_out_awp_post_yr1,rng_out_sel_excl_yr_ind, [1]Tables!$HN$5,rng_out_sel_G_ind,N$1,rng_out_mail_ind,$B119,rng_out_sel_sp_ind,$D119,rng_out_sel_excl_ind,$E148)* _xlfn.XLOOKUP([1]Tables!$HN$5,'[1]RA Output'!$AY$4:$AY$5,'[1]RA Output'!AZ$4:AZ$5,0))/[1]Tables!$AT$4,
(SUMIFS(rng_out_awp_post_yr1,rng_out_sel_excl_yr_ind, "",rng_out_sel_G_ind,N$1,rng_out_mail_ind,$B119,rng_out_sel_sp_ind,$D119,rng_out_sel_excl_ind,$E148)+
SUMIFS(rng_out_awp_post_yr1,rng_out_sel_excl_yr_ind, [1]Tables!$HN$4,rng_out_sel_G_ind,N$1,rng_out_mail_ind,$B119,rng_out_sel_sp_ind,$D119,rng_out_sel_excl_ind,$E148)*         _xlfn.XLOOKUP([1]Tables!$HN$4,'[1]RA Output'!$AY$4:$AY$5,'[1]RA Output'!AZ$4:AZ$5,0)  +
SUMIFS(rng_out_awp_post_yr1,rng_out_sel_excl_yr_ind, [1]Tables!$HN$5,rng_out_sel_G_ind,N$1,rng_out_mail_ind,$B119,rng_out_sel_sp_ind,$D119,rng_out_sel_excl_ind,$E148)* _xlfn.XLOOKUP([1]Tables!$HN$5,'[1]RA Output'!$AY$4:$AY$5,'[1]RA Output'!AZ$4:AZ$5,0))/[1]Tables!$AT$4 +
SUMIFS(rng_out_awp_post_yr1, rng_out_sel_G_ind, N$1, rng_out_mail_ind, $B148, rng_out_sel_sp_ind, $D148, rng_out_sel_excl_ind,"N", rng_out_post_reb_ind_yr1, 0)/[1]Tables!$AT$4), 0)</f>
        <v>0</v>
      </c>
      <c r="AR148" s="5" cm="1">
        <f t="array" aca="1" ref="AR148" ca="1">IFERROR(IF($E$150="N", (SUMIFS(rng_out_awp_post_yr2,rng_out_sel_excl_yr_ind, "",rng_out_sel_G_ind,O$1,rng_out_mail_ind,$B119,rng_out_sel_sp_ind,$D119,rng_out_sel_excl_ind,$E148)+
SUMIFS(rng_out_awp_post_yr2,rng_out_sel_excl_yr_ind, [1]Tables!$HN$4,rng_out_sel_G_ind,O$1,rng_out_mail_ind,$B119,rng_out_sel_sp_ind,$D119,rng_out_sel_excl_ind,$E148)*         _xlfn.XLOOKUP([1]Tables!$HN$4,'[1]RA Output'!$AY$4:$AY$5,'[1]RA Output'!BA$4:BA$5,0)  +
SUMIFS(rng_out_awp_post_yr2,rng_out_sel_excl_yr_ind, [1]Tables!$HN$5,rng_out_sel_G_ind,O$1,rng_out_mail_ind,$B119,rng_out_sel_sp_ind,$D119,rng_out_sel_excl_ind,$E148)* _xlfn.XLOOKUP([1]Tables!$HN$5,'[1]RA Output'!$AY$4:$AY$5,'[1]RA Output'!BA$4:BA$5,0))/[1]Tables!$AT$4,
(SUMIFS(rng_out_awp_post_yr2,rng_out_sel_excl_yr_ind, "",rng_out_sel_G_ind,O$1,rng_out_mail_ind,$B119,rng_out_sel_sp_ind,$D119,rng_out_sel_excl_ind,$E148)+
SUMIFS(rng_out_awp_post_yr2,rng_out_sel_excl_yr_ind, [1]Tables!$HN$4,rng_out_sel_G_ind,O$1,rng_out_mail_ind,$B119,rng_out_sel_sp_ind,$D119,rng_out_sel_excl_ind,$E148)*         _xlfn.XLOOKUP([1]Tables!$HN$4,'[1]RA Output'!$AY$4:$AY$5,'[1]RA Output'!BA$4:BA$5,0)  +
SUMIFS(rng_out_awp_post_yr2,rng_out_sel_excl_yr_ind, [1]Tables!$HN$5,rng_out_sel_G_ind,O$1,rng_out_mail_ind,$B119,rng_out_sel_sp_ind,$D119,rng_out_sel_excl_ind,$E148)* _xlfn.XLOOKUP([1]Tables!$HN$5,'[1]RA Output'!$AY$4:$AY$5,'[1]RA Output'!BA$4:BA$5,0))/[1]Tables!$AT$4 +
SUMIFS(rng_out_awp_post_yr2, rng_out_sel_G_ind, O$1, rng_out_mail_ind, $B148, rng_out_sel_sp_ind, $D148, rng_out_sel_excl_ind,"N", rng_out_post_reb_ind_yr2, 0)/[1]Tables!$AT$4), 0)</f>
        <v>0</v>
      </c>
      <c r="AS148" s="5" cm="1">
        <f t="array" aca="1" ref="AS148" ca="1">IFERROR(IF($E$150="N", (SUMIFS(rng_out_awp_post_yr3,rng_out_sel_excl_yr_ind, "",rng_out_sel_G_ind,P$1,rng_out_mail_ind,$B119,rng_out_sel_sp_ind,$D119,rng_out_sel_excl_ind,$E148)+
SUMIFS(rng_out_awp_post_yr3,rng_out_sel_excl_yr_ind, [1]Tables!$HN$4,rng_out_sel_G_ind,P$1,rng_out_mail_ind,$B119,rng_out_sel_sp_ind,$D119,rng_out_sel_excl_ind,$E148)*         _xlfn.XLOOKUP([1]Tables!$HN$4,'[1]RA Output'!$AY$4:$AY$5,'[1]RA Output'!BB$4:BB$5,0)  +
SUMIFS(rng_out_awp_post_yr3,rng_out_sel_excl_yr_ind, [1]Tables!$HN$5,rng_out_sel_G_ind,P$1,rng_out_mail_ind,$B119,rng_out_sel_sp_ind,$D119,rng_out_sel_excl_ind,$E148)* _xlfn.XLOOKUP([1]Tables!$HN$5,'[1]RA Output'!$AY$4:$AY$5,'[1]RA Output'!BB$4:BB$5,0))/[1]Tables!$AT$4,
(SUMIFS(rng_out_awp_post_yr3,rng_out_sel_excl_yr_ind, "",rng_out_sel_G_ind,P$1,rng_out_mail_ind,$B119,rng_out_sel_sp_ind,$D119,rng_out_sel_excl_ind,$E148)+
SUMIFS(rng_out_awp_post_yr3,rng_out_sel_excl_yr_ind, [1]Tables!$HN$4,rng_out_sel_G_ind,P$1,rng_out_mail_ind,$B119,rng_out_sel_sp_ind,$D119,rng_out_sel_excl_ind,$E148)*         _xlfn.XLOOKUP([1]Tables!$HN$4,'[1]RA Output'!$AY$4:$AY$5,'[1]RA Output'!BB$4:BB$5,0)  +
SUMIFS(rng_out_awp_post_yr3,rng_out_sel_excl_yr_ind, [1]Tables!$HN$5,rng_out_sel_G_ind,P$1,rng_out_mail_ind,$B119,rng_out_sel_sp_ind,$D119,rng_out_sel_excl_ind,$E148)* _xlfn.XLOOKUP([1]Tables!$HN$5,'[1]RA Output'!$AY$4:$AY$5,'[1]RA Output'!BB$4:BB$5,0))/[1]Tables!$AT$4 +
SUMIFS(rng_out_awp_post_yr3, rng_out_sel_G_ind, P$1, rng_out_mail_ind, $B148, rng_out_sel_sp_ind, $D148, rng_out_sel_excl_ind,"N", rng_out_post_reb_ind_yr3, 0)/[1]Tables!$AT$4), 0)</f>
        <v>0</v>
      </c>
      <c r="AT148" s="5" cm="1">
        <f t="array" aca="1" ref="AT148" ca="1">IFERROR(IF($E$150="N", (SUMIFS(rng_out_awp_post_yr4,rng_out_sel_excl_yr_ind, "",rng_out_sel_G_ind,Q$1,rng_out_mail_ind,$B119,rng_out_sel_sp_ind,$D119,rng_out_sel_excl_ind,$E148)+
SUMIFS(rng_out_awp_post_yr4,rng_out_sel_excl_yr_ind, [1]Tables!$HN$4,rng_out_sel_G_ind,Q$1,rng_out_mail_ind,$B119,rng_out_sel_sp_ind,$D119,rng_out_sel_excl_ind,$E148)*         _xlfn.XLOOKUP([1]Tables!$HN$4,'[1]RA Output'!$AY$4:$AY$5,'[1]RA Output'!BC$4:BC$5,0)  +
SUMIFS(rng_out_awp_post_yr4,rng_out_sel_excl_yr_ind, [1]Tables!$HN$5,rng_out_sel_G_ind,Q$1,rng_out_mail_ind,$B119,rng_out_sel_sp_ind,$D119,rng_out_sel_excl_ind,$E148)* _xlfn.XLOOKUP([1]Tables!$HN$5,'[1]RA Output'!$AY$4:$AY$5,'[1]RA Output'!BC$4:BC$5,0))/[1]Tables!$AT$4,
(SUMIFS(rng_out_awp_post_yr4,rng_out_sel_excl_yr_ind, "",rng_out_sel_G_ind,Q$1,rng_out_mail_ind,$B119,rng_out_sel_sp_ind,$D119,rng_out_sel_excl_ind,$E148)+
SUMIFS(rng_out_awp_post_yr4,rng_out_sel_excl_yr_ind, [1]Tables!$HN$4,rng_out_sel_G_ind,Q$1,rng_out_mail_ind,$B119,rng_out_sel_sp_ind,$D119,rng_out_sel_excl_ind,$E148)*         _xlfn.XLOOKUP([1]Tables!$HN$4,'[1]RA Output'!$AY$4:$AY$5,'[1]RA Output'!BC$4:BC$5,0)  +
SUMIFS(rng_out_awp_post_yr4,rng_out_sel_excl_yr_ind, [1]Tables!$HN$5,rng_out_sel_G_ind,Q$1,rng_out_mail_ind,$B119,rng_out_sel_sp_ind,$D119,rng_out_sel_excl_ind,$E148)* _xlfn.XLOOKUP([1]Tables!$HN$5,'[1]RA Output'!$AY$4:$AY$5,'[1]RA Output'!BC$4:BC$5,0))/[1]Tables!$AT$4 +
SUMIFS(rng_out_awp_post_yr4, rng_out_sel_G_ind, Q$1, rng_out_mail_ind, $B148, rng_out_sel_sp_ind, $D148, rng_out_sel_excl_ind,"N", rng_out_post_reb_ind_yr4, 0)/[1]Tables!$AT$4), 0)</f>
        <v>0</v>
      </c>
      <c r="AU148" s="85" cm="1">
        <f t="array" aca="1" ref="AU148" ca="1">IFERROR(IF($E$150="N", (SUMIFS(rng_out_awp_post_yr5,rng_out_sel_excl_yr_ind, "",rng_out_sel_G_ind,R$1,rng_out_mail_ind,$B119,rng_out_sel_sp_ind,$D119,rng_out_sel_excl_ind,$E148)+
SUMIFS(rng_out_awp_post_yr5,rng_out_sel_excl_yr_ind, [1]Tables!$HN$4,rng_out_sel_G_ind,R$1,rng_out_mail_ind,$B119,rng_out_sel_sp_ind,$D119,rng_out_sel_excl_ind,$E148)*         _xlfn.XLOOKUP([1]Tables!$HN$4,'[1]RA Output'!$AY$4:$AY$5,'[1]RA Output'!BD$4:BD$5,0)  +
SUMIFS(rng_out_awp_post_yr5,rng_out_sel_excl_yr_ind, [1]Tables!$HN$5,rng_out_sel_G_ind,R$1,rng_out_mail_ind,$B119,rng_out_sel_sp_ind,$D119,rng_out_sel_excl_ind,$E148)* _xlfn.XLOOKUP([1]Tables!$HN$5,'[1]RA Output'!$AY$4:$AY$5,'[1]RA Output'!BD$4:BD$5,0))/[1]Tables!$AT$4,
(SUMIFS(rng_out_awp_post_yr5,rng_out_sel_excl_yr_ind, "",rng_out_sel_G_ind,R$1,rng_out_mail_ind,$B119,rng_out_sel_sp_ind,$D119,rng_out_sel_excl_ind,$E148)+
SUMIFS(rng_out_awp_post_yr5,rng_out_sel_excl_yr_ind, [1]Tables!$HN$4,rng_out_sel_G_ind,R$1,rng_out_mail_ind,$B119,rng_out_sel_sp_ind,$D119,rng_out_sel_excl_ind,$E148)*         _xlfn.XLOOKUP([1]Tables!$HN$4,'[1]RA Output'!$AY$4:$AY$5,'[1]RA Output'!BD$4:BD$5,0)  +
SUMIFS(rng_out_awp_post_yr5,rng_out_sel_excl_yr_ind, [1]Tables!$HN$5,rng_out_sel_G_ind,R$1,rng_out_mail_ind,$B119,rng_out_sel_sp_ind,$D119,rng_out_sel_excl_ind,$E148)* _xlfn.XLOOKUP([1]Tables!$HN$5,'[1]RA Output'!$AY$4:$AY$5,'[1]RA Output'!BD$4:BD$5,0))/[1]Tables!$AT$4 +
SUMIFS(rng_out_awp_post_yr5, rng_out_sel_G_ind, R$1, rng_out_mail_ind, $B148, rng_out_sel_sp_ind, $D148, rng_out_sel_excl_ind,"N", rng_out_post_reb_ind_yr5, 0)/[1]Tables!$AT$4), 0)</f>
        <v>0</v>
      </c>
      <c r="AV148" s="86">
        <f t="shared" ca="1" si="146"/>
        <v>0</v>
      </c>
      <c r="AW148" s="75">
        <f t="shared" ca="1" si="146"/>
        <v>0</v>
      </c>
      <c r="AX148" s="75">
        <f t="shared" ca="1" si="146"/>
        <v>0</v>
      </c>
      <c r="AY148" s="75">
        <f t="shared" ca="1" si="146"/>
        <v>0</v>
      </c>
      <c r="AZ148" s="87">
        <f t="shared" ca="1" si="146"/>
        <v>0</v>
      </c>
      <c r="BG148" s="121" t="s">
        <v>7</v>
      </c>
      <c r="BH148" s="97">
        <f t="shared" ca="1" si="147"/>
        <v>0</v>
      </c>
      <c r="BI148" s="79">
        <f t="shared" ca="1" si="147"/>
        <v>0</v>
      </c>
      <c r="BJ148" s="79">
        <f t="shared" ca="1" si="147"/>
        <v>0</v>
      </c>
      <c r="BK148" s="79">
        <f t="shared" ca="1" si="147"/>
        <v>0</v>
      </c>
      <c r="BL148" s="98">
        <f t="shared" ca="1" si="147"/>
        <v>0</v>
      </c>
      <c r="BM148" s="92">
        <f t="shared" ca="1" si="148"/>
        <v>0</v>
      </c>
      <c r="BN148" s="75">
        <f t="shared" ca="1" si="148"/>
        <v>0</v>
      </c>
      <c r="BO148" s="75">
        <f t="shared" ca="1" si="148"/>
        <v>0</v>
      </c>
      <c r="BP148" s="75">
        <f t="shared" ca="1" si="148"/>
        <v>0</v>
      </c>
      <c r="BQ148" s="93">
        <f t="shared" ca="1" si="148"/>
        <v>0</v>
      </c>
      <c r="BX148" s="121" t="s">
        <v>7</v>
      </c>
      <c r="BY148" s="97">
        <f t="shared" ca="1" si="149"/>
        <v>0</v>
      </c>
      <c r="BZ148" s="79">
        <f t="shared" ca="1" si="149"/>
        <v>0</v>
      </c>
      <c r="CA148" s="79">
        <f t="shared" ca="1" si="149"/>
        <v>0</v>
      </c>
      <c r="CB148" s="79">
        <f t="shared" ca="1" si="149"/>
        <v>0</v>
      </c>
      <c r="CC148" s="98">
        <f t="shared" ca="1" si="149"/>
        <v>0</v>
      </c>
      <c r="CD148" s="92">
        <f t="shared" ca="1" si="150"/>
        <v>0</v>
      </c>
      <c r="CE148" s="75">
        <f t="shared" ca="1" si="150"/>
        <v>0</v>
      </c>
      <c r="CF148" s="75">
        <f t="shared" ca="1" si="150"/>
        <v>0</v>
      </c>
      <c r="CG148" s="75">
        <f t="shared" ca="1" si="150"/>
        <v>0</v>
      </c>
      <c r="CH148" s="93">
        <f t="shared" ca="1" si="150"/>
        <v>0</v>
      </c>
      <c r="DC148" s="97" t="e">
        <f t="shared" ca="1" si="151"/>
        <v>#VALUE!</v>
      </c>
      <c r="DD148" s="79" t="e">
        <f t="shared" ca="1" si="151"/>
        <v>#VALUE!</v>
      </c>
      <c r="DE148" s="79" t="e">
        <f t="shared" ca="1" si="151"/>
        <v>#VALUE!</v>
      </c>
      <c r="DF148" s="79" t="e">
        <f t="shared" ca="1" si="151"/>
        <v>#VALUE!</v>
      </c>
      <c r="DG148" s="98" t="e">
        <f t="shared" ca="1" si="151"/>
        <v>#VALUE!</v>
      </c>
    </row>
    <row r="149" spans="1:117" ht="15" thickBot="1" x14ac:dyDescent="0.4">
      <c r="B149" s="122"/>
      <c r="C149" s="123"/>
      <c r="D149" s="123" t="s">
        <v>13</v>
      </c>
      <c r="E149" s="124" t="s">
        <v>13</v>
      </c>
      <c r="F149" s="106"/>
      <c r="H149" s="118" t="s">
        <v>17</v>
      </c>
      <c r="I149" s="72" t="e" cm="1">
        <f t="array" aca="1" ref="I149" ca="1">SUMIFS(rng_out_awp_pre_yr1,rng_out_sel_excl_yr_ind, "",rng_out_sel_G_ind,N$1,rng_out_sel_sp_ind,$D120,rng_out_sel_excl_ind,$E149)+
SUMIFS(rng_out_awp_pre_yr1,rng_out_sel_excl_yr_ind, [1]Tables!$HN$4,rng_out_sel_G_ind,N$1,rng_out_sel_sp_ind,$D120,rng_out_sel_excl_ind,$E149)*         _xlfn.XLOOKUP([1]Tables!$HN$4,'[1]RA Output'!$AY$4:$AY$5,'[1]RA Output'!AZ$4:AZ$5,0)  +
SUMIFS(rng_out_awp_pre_yr1,rng_out_sel_excl_yr_ind, [1]Tables!$HN$5,rng_out_sel_G_ind,N$1,rng_out_sel_sp_ind,$D120,rng_out_sel_excl_ind,$E149)* _xlfn.XLOOKUP([1]Tables!$HN$5,'[1]RA Output'!$AY$4:$AY$5,'[1]RA Output'!AZ$4:AZ$5,0)+
IF($E$150="Y", SUMIFS(rng_out_awp_pre_yr1, rng_out_sel_G_ind, "B", rng_out_sel_sp_ind, $D149, rng_out_sel_excl_ind,"N", rng_out_post_reb_ind_yr1, 0), 0)</f>
        <v>#VALUE!</v>
      </c>
      <c r="J149" s="5" t="e" cm="1">
        <f t="array" aca="1" ref="J149" ca="1">SUMIFS(rng_out_awp_pre_yr2,rng_out_sel_excl_yr_ind, "",rng_out_sel_G_ind,O$1,rng_out_sel_sp_ind,$D120,rng_out_sel_excl_ind,$E149)+
SUMIFS(rng_out_awp_pre_yr2,rng_out_sel_excl_yr_ind, [1]Tables!$HN$4,rng_out_sel_G_ind,O$1,rng_out_sel_sp_ind,$D120,rng_out_sel_excl_ind,$E149)*         _xlfn.XLOOKUP([1]Tables!$HN$4,'[1]RA Output'!$AY$4:$AY$5,'[1]RA Output'!BA$4:BA$5,0)  +
SUMIFS(rng_out_awp_pre_yr2,rng_out_sel_excl_yr_ind, [1]Tables!$HN$5,rng_out_sel_G_ind,O$1,rng_out_sel_sp_ind,$D120,rng_out_sel_excl_ind,$E149)* _xlfn.XLOOKUP([1]Tables!$HN$5,'[1]RA Output'!$AY$4:$AY$5,'[1]RA Output'!BA$4:BA$5,0)+
IF($E$150="Y", SUMIFS(rng_out_awp_pre_yr2, rng_out_sel_G_ind, "B", rng_out_sel_sp_ind, $D149, rng_out_sel_excl_ind,"N", rng_out_post_reb_ind_yr2, 0), 0)</f>
        <v>#VALUE!</v>
      </c>
      <c r="K149" s="5" t="e" cm="1">
        <f t="array" aca="1" ref="K149" ca="1">SUMIFS(rng_out_awp_pre_yr3,rng_out_sel_excl_yr_ind, "",rng_out_sel_G_ind,P$1,rng_out_sel_sp_ind,$D120,rng_out_sel_excl_ind,$E149)+
SUMIFS(rng_out_awp_pre_yr3,rng_out_sel_excl_yr_ind, [1]Tables!$HN$4,rng_out_sel_G_ind,P$1,rng_out_sel_sp_ind,$D120,rng_out_sel_excl_ind,$E149)*         _xlfn.XLOOKUP([1]Tables!$HN$4,'[1]RA Output'!$AY$4:$AY$5,'[1]RA Output'!BB$4:BB$5,0)  +
SUMIFS(rng_out_awp_pre_yr3,rng_out_sel_excl_yr_ind, [1]Tables!$HN$5,rng_out_sel_G_ind,P$1,rng_out_sel_sp_ind,$D120,rng_out_sel_excl_ind,$E149)* _xlfn.XLOOKUP([1]Tables!$HN$5,'[1]RA Output'!$AY$4:$AY$5,'[1]RA Output'!BB$4:BB$5,0)+
IF($E$150="Y", SUMIFS(rng_out_awp_pre_yr3, rng_out_sel_G_ind, "B", rng_out_sel_sp_ind, $D149, rng_out_sel_excl_ind,"N", rng_out_post_reb_ind_yr3, 0), 0)</f>
        <v>#VALUE!</v>
      </c>
      <c r="L149" s="5" t="e" cm="1">
        <f t="array" aca="1" ref="L149" ca="1">SUMIFS(rng_out_awp_pre_yr4,rng_out_sel_excl_yr_ind, "",rng_out_sel_G_ind,Q$1,rng_out_sel_sp_ind,$D120,rng_out_sel_excl_ind,$E149)+
SUMIFS(rng_out_awp_pre_yr4,rng_out_sel_excl_yr_ind, [1]Tables!$HN$4,rng_out_sel_G_ind,Q$1,rng_out_sel_sp_ind,$D120,rng_out_sel_excl_ind,$E149)*         _xlfn.XLOOKUP([1]Tables!$HN$4,'[1]RA Output'!$AY$4:$AY$5,'[1]RA Output'!BC$4:BC$5,0)  +
SUMIFS(rng_out_awp_pre_yr4,rng_out_sel_excl_yr_ind, [1]Tables!$HN$5,rng_out_sel_G_ind,Q$1,rng_out_sel_sp_ind,$D120,rng_out_sel_excl_ind,$E149)* _xlfn.XLOOKUP([1]Tables!$HN$5,'[1]RA Output'!$AY$4:$AY$5,'[1]RA Output'!BC$4:BC$5,0)+
IF($E$150="Y", SUMIFS(rng_out_awp_pre_yr4, rng_out_sel_G_ind, "B", rng_out_sel_sp_ind, $D149, rng_out_sel_excl_ind,"N", rng_out_post_reb_ind_yr4, 0), 0)</f>
        <v>#VALUE!</v>
      </c>
      <c r="M149" s="125" t="e" cm="1">
        <f t="array" aca="1" ref="M149" ca="1">SUMIFS(rng_out_awp_pre_yr5,rng_out_sel_excl_yr_ind, "",rng_out_sel_G_ind,R$1,rng_out_sel_sp_ind,$D120,rng_out_sel_excl_ind,$E149)+
SUMIFS(rng_out_awp_pre_yr5,rng_out_sel_excl_yr_ind, [1]Tables!$HN$4,rng_out_sel_G_ind,R$1,rng_out_sel_sp_ind,$D120,rng_out_sel_excl_ind,$E149)*         _xlfn.XLOOKUP([1]Tables!$HN$4,'[1]RA Output'!$AY$4:$AY$5,'[1]RA Output'!BD$4:BD$5,0)  +
SUMIFS(rng_out_awp_pre_yr5,rng_out_sel_excl_yr_ind, [1]Tables!$HN$5,rng_out_sel_G_ind,R$1,rng_out_sel_sp_ind,$D120,rng_out_sel_excl_ind,$E149)* _xlfn.XLOOKUP([1]Tables!$HN$5,'[1]RA Output'!$AY$4:$AY$5,'[1]RA Output'!BD$4:BD$5,0)+
IF($E$150="Y", SUMIFS(rng_out_awp_pre_yr5, rng_out_sel_G_ind, "B", rng_out_sel_sp_ind, $D149, rng_out_sel_excl_ind,"N", rng_out_post_reb_ind_yr5, 0), 0)</f>
        <v>#VALUE!</v>
      </c>
      <c r="N149" s="74">
        <f t="shared" ca="1" si="144"/>
        <v>0</v>
      </c>
      <c r="O149" s="75">
        <f t="shared" ca="1" si="144"/>
        <v>0</v>
      </c>
      <c r="P149" s="75">
        <f t="shared" ca="1" si="144"/>
        <v>0</v>
      </c>
      <c r="Q149" s="75">
        <f t="shared" ca="1" si="144"/>
        <v>0</v>
      </c>
      <c r="R149" s="126">
        <f t="shared" ca="1" si="144"/>
        <v>0</v>
      </c>
      <c r="Y149" s="119" t="s">
        <v>17</v>
      </c>
      <c r="Z149" s="127">
        <f ca="1">IFERROR(I149/[1]Tables!$AT$4, 0)</f>
        <v>0</v>
      </c>
      <c r="AA149" s="128">
        <f ca="1">IFERROR(J149/[1]Tables!$AT$4, 0)</f>
        <v>0</v>
      </c>
      <c r="AB149" s="128">
        <f ca="1">IFERROR(K149/[1]Tables!$AT$4, 0)</f>
        <v>0</v>
      </c>
      <c r="AC149" s="128">
        <f ca="1">IFERROR(L149/[1]Tables!$AT$4, 0)</f>
        <v>0</v>
      </c>
      <c r="AD149" s="129">
        <f ca="1">IFERROR(M149/[1]Tables!$AT$4, 0)</f>
        <v>0</v>
      </c>
      <c r="AE149" s="130">
        <f t="shared" ca="1" si="145"/>
        <v>0</v>
      </c>
      <c r="AF149" s="131">
        <f t="shared" ca="1" si="145"/>
        <v>0</v>
      </c>
      <c r="AG149" s="131">
        <f t="shared" ca="1" si="145"/>
        <v>0</v>
      </c>
      <c r="AH149" s="131">
        <f t="shared" ca="1" si="145"/>
        <v>0</v>
      </c>
      <c r="AI149" s="132">
        <f t="shared" ca="1" si="145"/>
        <v>0</v>
      </c>
      <c r="AP149" s="120" t="s">
        <v>17</v>
      </c>
      <c r="AQ149" s="167" cm="1">
        <f t="array" aca="1" ref="AQ149" ca="1">IFERROR(IF($E$150="N", (SUMIFS(rng_out_awp_post_yr1,rng_out_sel_excl_yr_ind, "",rng_out_sel_G_ind,N$1,rng_out_sel_sp_ind,$D120,rng_out_sel_excl_ind,$E149)+
SUMIFS(rng_out_awp_post_yr1,rng_out_sel_excl_yr_ind, [1]Tables!$HN$4,rng_out_sel_G_ind,N$1,rng_out_sel_sp_ind,$D120,rng_out_sel_excl_ind,$E149)*         _xlfn.XLOOKUP([1]Tables!$HN$4,'[1]RA Output'!$AY$4:$AY$5,'[1]RA Output'!AZ$4:AZ$5,0)  +
SUMIFS(rng_out_awp_post_yr1,rng_out_sel_excl_yr_ind, [1]Tables!$HN$5,rng_out_sel_G_ind,N$1,rng_out_sel_sp_ind,$D120,rng_out_sel_excl_ind,$E149)* _xlfn.XLOOKUP([1]Tables!$HN$5,'[1]RA Output'!$AY$4:$AY$5,'[1]RA Output'!AZ$4:AZ$5,0))/[1]Tables!$AT$4,
(SUMIFS(rng_out_awp_post_yr1,rng_out_sel_excl_yr_ind, "",rng_out_sel_G_ind,N$1,rng_out_sel_sp_ind,$D120,rng_out_sel_excl_ind,$E149)+
SUMIFS(rng_out_awp_post_yr1,rng_out_sel_excl_yr_ind, [1]Tables!$HN$4,rng_out_sel_G_ind,N$1,rng_out_sel_sp_ind,$D120,rng_out_sel_excl_ind,$E149)*         _xlfn.XLOOKUP([1]Tables!$HN$4,'[1]RA Output'!$AY$4:$AY$5,'[1]RA Output'!AZ$4:AZ$5,0)  +
SUMIFS(rng_out_awp_post_yr1,rng_out_sel_excl_yr_ind, [1]Tables!$HN$5,rng_out_sel_G_ind,N$1,rng_out_sel_sp_ind,$D120,rng_out_sel_excl_ind,$E149)* _xlfn.XLOOKUP([1]Tables!$HN$5,'[1]RA Output'!$AY$4:$AY$5,'[1]RA Output'!AZ$4:AZ$5,0))/[1]Tables!$AT$4 +
SUMIFS(rng_out_awp_post_yr1, rng_out_sel_G_ind, N$1, rng_out_sel_sp_ind, $D149, rng_out_sel_excl_ind,"N", rng_out_post_reb_ind_yr1, 0)/[1]Tables!$AT$4), 0)</f>
        <v>0</v>
      </c>
      <c r="AR149" s="134" cm="1">
        <f t="array" aca="1" ref="AR149" ca="1">IFERROR(IF($E$150="N", (SUMIFS(rng_out_awp_post_yr2,rng_out_sel_excl_yr_ind, "",rng_out_sel_G_ind,O$1,rng_out_sel_sp_ind,$D120,rng_out_sel_excl_ind,$E149)+
SUMIFS(rng_out_awp_post_yr2,rng_out_sel_excl_yr_ind, [1]Tables!$HN$4,rng_out_sel_G_ind,O$1,rng_out_sel_sp_ind,$D120,rng_out_sel_excl_ind,$E149)*         _xlfn.XLOOKUP([1]Tables!$HN$4,'[1]RA Output'!$AY$4:$AY$5,'[1]RA Output'!BA$4:BA$5,0)  +
SUMIFS(rng_out_awp_post_yr2,rng_out_sel_excl_yr_ind, [1]Tables!$HN$5,rng_out_sel_G_ind,O$1,rng_out_sel_sp_ind,$D120,rng_out_sel_excl_ind,$E149)* _xlfn.XLOOKUP([1]Tables!$HN$5,'[1]RA Output'!$AY$4:$AY$5,'[1]RA Output'!BA$4:BA$5,0))/[1]Tables!$AT$4,
(SUMIFS(rng_out_awp_post_yr2,rng_out_sel_excl_yr_ind, "",rng_out_sel_G_ind,O$1,rng_out_sel_sp_ind,$D120,rng_out_sel_excl_ind,$E149)+
SUMIFS(rng_out_awp_post_yr2,rng_out_sel_excl_yr_ind, [1]Tables!$HN$4,rng_out_sel_G_ind,O$1,rng_out_sel_sp_ind,$D120,rng_out_sel_excl_ind,$E149)*         _xlfn.XLOOKUP([1]Tables!$HN$4,'[1]RA Output'!$AY$4:$AY$5,'[1]RA Output'!BA$4:BA$5,0)  +
SUMIFS(rng_out_awp_post_yr2,rng_out_sel_excl_yr_ind, [1]Tables!$HN$5,rng_out_sel_G_ind,O$1,rng_out_sel_sp_ind,$D120,rng_out_sel_excl_ind,$E149)* _xlfn.XLOOKUP([1]Tables!$HN$5,'[1]RA Output'!$AY$4:$AY$5,'[1]RA Output'!BA$4:BA$5,0))/[1]Tables!$AT$4 +
SUMIFS(rng_out_awp_post_yr2, rng_out_sel_G_ind, O$1, rng_out_sel_sp_ind, $D149, rng_out_sel_excl_ind,"N", rng_out_post_reb_ind_yr2, 0)/[1]Tables!$AT$4), 0)</f>
        <v>0</v>
      </c>
      <c r="AS149" s="134" cm="1">
        <f t="array" aca="1" ref="AS149" ca="1">IFERROR(IF($E$150="N", (SUMIFS(rng_out_awp_post_yr3,rng_out_sel_excl_yr_ind, "",rng_out_sel_G_ind,P$1,rng_out_sel_sp_ind,$D120,rng_out_sel_excl_ind,$E149)+
SUMIFS(rng_out_awp_post_yr3,rng_out_sel_excl_yr_ind, [1]Tables!$HN$4,rng_out_sel_G_ind,P$1,rng_out_sel_sp_ind,$D120,rng_out_sel_excl_ind,$E149)*         _xlfn.XLOOKUP([1]Tables!$HN$4,'[1]RA Output'!$AY$4:$AY$5,'[1]RA Output'!BB$4:BB$5,0)  +
SUMIFS(rng_out_awp_post_yr3,rng_out_sel_excl_yr_ind, [1]Tables!$HN$5,rng_out_sel_G_ind,P$1,rng_out_sel_sp_ind,$D120,rng_out_sel_excl_ind,$E149)* _xlfn.XLOOKUP([1]Tables!$HN$5,'[1]RA Output'!$AY$4:$AY$5,'[1]RA Output'!BB$4:BB$5,0))/[1]Tables!$AT$4,
(SUMIFS(rng_out_awp_post_yr3,rng_out_sel_excl_yr_ind, "",rng_out_sel_G_ind,P$1,rng_out_sel_sp_ind,$D120,rng_out_sel_excl_ind,$E149)+
SUMIFS(rng_out_awp_post_yr3,rng_out_sel_excl_yr_ind, [1]Tables!$HN$4,rng_out_sel_G_ind,P$1,rng_out_sel_sp_ind,$D120,rng_out_sel_excl_ind,$E149)*         _xlfn.XLOOKUP([1]Tables!$HN$4,'[1]RA Output'!$AY$4:$AY$5,'[1]RA Output'!BB$4:BB$5,0)  +
SUMIFS(rng_out_awp_post_yr3,rng_out_sel_excl_yr_ind, [1]Tables!$HN$5,rng_out_sel_G_ind,P$1,rng_out_sel_sp_ind,$D120,rng_out_sel_excl_ind,$E149)* _xlfn.XLOOKUP([1]Tables!$HN$5,'[1]RA Output'!$AY$4:$AY$5,'[1]RA Output'!BB$4:BB$5,0))/[1]Tables!$AT$4 +
SUMIFS(rng_out_awp_post_yr3, rng_out_sel_G_ind, P$1, rng_out_sel_sp_ind, $D149, rng_out_sel_excl_ind,"N", rng_out_post_reb_ind_yr3, 0)/[1]Tables!$AT$4), 0)</f>
        <v>0</v>
      </c>
      <c r="AT149" s="134" cm="1">
        <f t="array" aca="1" ref="AT149" ca="1">IFERROR(IF($E$150="N", (SUMIFS(rng_out_awp_post_yr4,rng_out_sel_excl_yr_ind, "",rng_out_sel_G_ind,Q$1,rng_out_sel_sp_ind,$D120,rng_out_sel_excl_ind,$E149)+
SUMIFS(rng_out_awp_post_yr4,rng_out_sel_excl_yr_ind, [1]Tables!$HN$4,rng_out_sel_G_ind,Q$1,rng_out_sel_sp_ind,$D120,rng_out_sel_excl_ind,$E149)*         _xlfn.XLOOKUP([1]Tables!$HN$4,'[1]RA Output'!$AY$4:$AY$5,'[1]RA Output'!BC$4:BC$5,0)  +
SUMIFS(rng_out_awp_post_yr4,rng_out_sel_excl_yr_ind, [1]Tables!$HN$5,rng_out_sel_G_ind,Q$1,rng_out_sel_sp_ind,$D120,rng_out_sel_excl_ind,$E149)* _xlfn.XLOOKUP([1]Tables!$HN$5,'[1]RA Output'!$AY$4:$AY$5,'[1]RA Output'!BC$4:BC$5,0))/[1]Tables!$AT$4,
(SUMIFS(rng_out_awp_post_yr4,rng_out_sel_excl_yr_ind, "",rng_out_sel_G_ind,Q$1,rng_out_sel_sp_ind,$D120,rng_out_sel_excl_ind,$E149)+
SUMIFS(rng_out_awp_post_yr4,rng_out_sel_excl_yr_ind, [1]Tables!$HN$4,rng_out_sel_G_ind,Q$1,rng_out_sel_sp_ind,$D120,rng_out_sel_excl_ind,$E149)*         _xlfn.XLOOKUP([1]Tables!$HN$4,'[1]RA Output'!$AY$4:$AY$5,'[1]RA Output'!BC$4:BC$5,0)  +
SUMIFS(rng_out_awp_post_yr4,rng_out_sel_excl_yr_ind, [1]Tables!$HN$5,rng_out_sel_G_ind,Q$1,rng_out_sel_sp_ind,$D120,rng_out_sel_excl_ind,$E149)* _xlfn.XLOOKUP([1]Tables!$HN$5,'[1]RA Output'!$AY$4:$AY$5,'[1]RA Output'!BC$4:BC$5,0))/[1]Tables!$AT$4 +
SUMIFS(rng_out_awp_post_yr4, rng_out_sel_G_ind, Q$1, rng_out_sel_sp_ind, $D149, rng_out_sel_excl_ind,"N", rng_out_post_reb_ind_yr4, 0)/[1]Tables!$AT$4), 0)</f>
        <v>0</v>
      </c>
      <c r="AU149" s="135" cm="1">
        <f t="array" aca="1" ref="AU149" ca="1">IFERROR(IF($E$150="N", (SUMIFS(rng_out_awp_post_yr5,rng_out_sel_excl_yr_ind, "",rng_out_sel_G_ind,R$1,rng_out_sel_sp_ind,$D120,rng_out_sel_excl_ind,$E149)+
SUMIFS(rng_out_awp_post_yr5,rng_out_sel_excl_yr_ind, [1]Tables!$HN$4,rng_out_sel_G_ind,R$1,rng_out_sel_sp_ind,$D120,rng_out_sel_excl_ind,$E149)*         _xlfn.XLOOKUP([1]Tables!$HN$4,'[1]RA Output'!$AY$4:$AY$5,'[1]RA Output'!BD$4:BD$5,0)  +
SUMIFS(rng_out_awp_post_yr5,rng_out_sel_excl_yr_ind, [1]Tables!$HN$5,rng_out_sel_G_ind,R$1,rng_out_sel_sp_ind,$D120,rng_out_sel_excl_ind,$E149)* _xlfn.XLOOKUP([1]Tables!$HN$5,'[1]RA Output'!$AY$4:$AY$5,'[1]RA Output'!BD$4:BD$5,0))/[1]Tables!$AT$4,
(SUMIFS(rng_out_awp_post_yr5,rng_out_sel_excl_yr_ind, "",rng_out_sel_G_ind,R$1,rng_out_sel_sp_ind,$D120,rng_out_sel_excl_ind,$E149)+
SUMIFS(rng_out_awp_post_yr5,rng_out_sel_excl_yr_ind, [1]Tables!$HN$4,rng_out_sel_G_ind,R$1,rng_out_sel_sp_ind,$D120,rng_out_sel_excl_ind,$E149)*         _xlfn.XLOOKUP([1]Tables!$HN$4,'[1]RA Output'!$AY$4:$AY$5,'[1]RA Output'!BD$4:BD$5,0)  +
SUMIFS(rng_out_awp_post_yr5,rng_out_sel_excl_yr_ind, [1]Tables!$HN$5,rng_out_sel_G_ind,R$1,rng_out_sel_sp_ind,$D120,rng_out_sel_excl_ind,$E149)* _xlfn.XLOOKUP([1]Tables!$HN$5,'[1]RA Output'!$AY$4:$AY$5,'[1]RA Output'!BD$4:BD$5,0))/[1]Tables!$AT$4 +
SUMIFS(rng_out_awp_post_yr5, rng_out_sel_G_ind, R$1, rng_out_sel_sp_ind, $D149, rng_out_sel_excl_ind,"N", rng_out_post_reb_ind_yr5, 0)/[1]Tables!$AT$4), 0)</f>
        <v>0</v>
      </c>
      <c r="AV149" s="136">
        <f t="shared" ca="1" si="146"/>
        <v>0</v>
      </c>
      <c r="AW149" s="137">
        <f t="shared" ca="1" si="146"/>
        <v>0</v>
      </c>
      <c r="AX149" s="137">
        <f t="shared" ca="1" si="146"/>
        <v>0</v>
      </c>
      <c r="AY149" s="137">
        <f t="shared" ca="1" si="146"/>
        <v>0</v>
      </c>
      <c r="AZ149" s="138">
        <f t="shared" ca="1" si="146"/>
        <v>0</v>
      </c>
      <c r="BG149" s="121" t="s">
        <v>17</v>
      </c>
      <c r="BH149" s="145">
        <f t="shared" ca="1" si="147"/>
        <v>0</v>
      </c>
      <c r="BI149" s="146">
        <f t="shared" ca="1" si="147"/>
        <v>0</v>
      </c>
      <c r="BJ149" s="146">
        <f t="shared" ca="1" si="147"/>
        <v>0</v>
      </c>
      <c r="BK149" s="146">
        <f t="shared" ca="1" si="147"/>
        <v>0</v>
      </c>
      <c r="BL149" s="147">
        <f t="shared" ca="1" si="147"/>
        <v>0</v>
      </c>
      <c r="BM149" s="142">
        <f t="shared" ca="1" si="148"/>
        <v>0</v>
      </c>
      <c r="BN149" s="143">
        <f t="shared" ca="1" si="148"/>
        <v>0</v>
      </c>
      <c r="BO149" s="143">
        <f t="shared" ca="1" si="148"/>
        <v>0</v>
      </c>
      <c r="BP149" s="143">
        <f t="shared" ca="1" si="148"/>
        <v>0</v>
      </c>
      <c r="BQ149" s="144">
        <f t="shared" ca="1" si="148"/>
        <v>0</v>
      </c>
      <c r="BX149" s="121" t="s">
        <v>17</v>
      </c>
      <c r="BY149" s="145">
        <f t="shared" ca="1" si="149"/>
        <v>0</v>
      </c>
      <c r="BZ149" s="146">
        <f t="shared" ca="1" si="149"/>
        <v>0</v>
      </c>
      <c r="CA149" s="146">
        <f t="shared" ca="1" si="149"/>
        <v>0</v>
      </c>
      <c r="CB149" s="146">
        <f t="shared" ca="1" si="149"/>
        <v>0</v>
      </c>
      <c r="CC149" s="147">
        <f t="shared" ca="1" si="149"/>
        <v>0</v>
      </c>
      <c r="CD149" s="142">
        <f t="shared" ca="1" si="150"/>
        <v>0</v>
      </c>
      <c r="CE149" s="143">
        <f t="shared" ca="1" si="150"/>
        <v>0</v>
      </c>
      <c r="CF149" s="143">
        <f t="shared" ca="1" si="150"/>
        <v>0</v>
      </c>
      <c r="CG149" s="143">
        <f t="shared" ca="1" si="150"/>
        <v>0</v>
      </c>
      <c r="CH149" s="144">
        <f t="shared" ca="1" si="150"/>
        <v>0</v>
      </c>
      <c r="DC149" s="145" t="e">
        <f t="shared" ca="1" si="151"/>
        <v>#VALUE!</v>
      </c>
      <c r="DD149" s="146" t="e">
        <f t="shared" ca="1" si="151"/>
        <v>#VALUE!</v>
      </c>
      <c r="DE149" s="146" t="e">
        <f t="shared" ca="1" si="151"/>
        <v>#VALUE!</v>
      </c>
      <c r="DF149" s="146" t="e">
        <f t="shared" ca="1" si="151"/>
        <v>#VALUE!</v>
      </c>
      <c r="DG149" s="147" t="e">
        <f t="shared" ca="1" si="151"/>
        <v>#VALUE!</v>
      </c>
    </row>
    <row r="150" spans="1:117" ht="15" thickBot="1" x14ac:dyDescent="0.4">
      <c r="B150" s="106"/>
      <c r="C150" s="236"/>
      <c r="D150" s="236" t="s">
        <v>29</v>
      </c>
      <c r="E150" s="237" t="str">
        <f>IF(sel_excl_nonRebatable=1, "Y", "N")</f>
        <v>N</v>
      </c>
      <c r="H150" s="154" t="s">
        <v>18</v>
      </c>
      <c r="I150" s="155" t="e">
        <f ca="1">SUM(I146:I149)</f>
        <v>#VALUE!</v>
      </c>
      <c r="J150" s="155" t="e">
        <f ca="1">SUM(J146:J149)</f>
        <v>#VALUE!</v>
      </c>
      <c r="K150" s="155" t="e">
        <f ca="1">SUM(K146:K149)</f>
        <v>#VALUE!</v>
      </c>
      <c r="L150" s="155" t="e">
        <f ca="1">SUM(L146:L149)</f>
        <v>#VALUE!</v>
      </c>
      <c r="M150" s="156" t="e">
        <f ca="1">SUM(M146:M149)</f>
        <v>#VALUE!</v>
      </c>
      <c r="N150" s="157">
        <f t="shared" ca="1" si="144"/>
        <v>0</v>
      </c>
      <c r="O150" s="157">
        <f t="shared" ca="1" si="144"/>
        <v>0</v>
      </c>
      <c r="P150" s="157">
        <f t="shared" ca="1" si="144"/>
        <v>0</v>
      </c>
      <c r="Q150" s="157">
        <f t="shared" ca="1" si="144"/>
        <v>0</v>
      </c>
      <c r="R150" s="158">
        <f t="shared" ca="1" si="144"/>
        <v>0</v>
      </c>
      <c r="Y150" s="159" t="s">
        <v>18</v>
      </c>
      <c r="Z150" s="160">
        <f ca="1">SUM(Z146:Z149)</f>
        <v>0</v>
      </c>
      <c r="AA150" s="161">
        <f ca="1">SUM(AA146:AA149)</f>
        <v>0</v>
      </c>
      <c r="AB150" s="161">
        <f ca="1">SUM(AB146:AB149)</f>
        <v>0</v>
      </c>
      <c r="AC150" s="161">
        <f ca="1">SUM(AC146:AC149)</f>
        <v>0</v>
      </c>
      <c r="AD150" s="162">
        <f ca="1">SUM(AD146:AD149)</f>
        <v>0</v>
      </c>
      <c r="AE150" s="163">
        <f t="shared" ca="1" si="145"/>
        <v>0</v>
      </c>
      <c r="AF150" s="164">
        <f t="shared" ca="1" si="145"/>
        <v>0</v>
      </c>
      <c r="AG150" s="164">
        <f t="shared" ca="1" si="145"/>
        <v>0</v>
      </c>
      <c r="AH150" s="164">
        <f t="shared" ca="1" si="145"/>
        <v>0</v>
      </c>
      <c r="AI150" s="165">
        <f t="shared" ca="1" si="145"/>
        <v>0</v>
      </c>
      <c r="AP150" s="166" t="s">
        <v>18</v>
      </c>
      <c r="AQ150" s="167">
        <f ca="1">SUM(AQ146:AQ149)</f>
        <v>0</v>
      </c>
      <c r="AR150" s="134">
        <f ca="1">SUM(AR146:AR149)</f>
        <v>0</v>
      </c>
      <c r="AS150" s="134">
        <f ca="1">SUM(AS146:AS149)</f>
        <v>0</v>
      </c>
      <c r="AT150" s="134">
        <f ca="1">SUM(AT146:AT149)</f>
        <v>0</v>
      </c>
      <c r="AU150" s="135">
        <f ca="1">SUM(AU146:AU149)</f>
        <v>0</v>
      </c>
      <c r="AV150" s="168">
        <f t="shared" ca="1" si="146"/>
        <v>0</v>
      </c>
      <c r="AW150" s="169">
        <f t="shared" ca="1" si="146"/>
        <v>0</v>
      </c>
      <c r="AX150" s="169">
        <f t="shared" ca="1" si="146"/>
        <v>0</v>
      </c>
      <c r="AY150" s="169">
        <f t="shared" ca="1" si="146"/>
        <v>0</v>
      </c>
      <c r="AZ150" s="170">
        <f t="shared" ca="1" si="146"/>
        <v>0</v>
      </c>
      <c r="BG150" s="171" t="s">
        <v>18</v>
      </c>
      <c r="BH150" s="172">
        <f ca="1">SUM(BH146:BH149)</f>
        <v>0</v>
      </c>
      <c r="BI150" s="173">
        <f ca="1">SUM(BI146:BI149)</f>
        <v>0</v>
      </c>
      <c r="BJ150" s="173">
        <f ca="1">SUM(BJ146:BJ149)</f>
        <v>0</v>
      </c>
      <c r="BK150" s="173">
        <f ca="1">SUM(BK146:BK149)</f>
        <v>0</v>
      </c>
      <c r="BL150" s="174">
        <f ca="1">SUM(BL146:BL149)</f>
        <v>0</v>
      </c>
      <c r="BM150" s="175">
        <f t="shared" ca="1" si="148"/>
        <v>0</v>
      </c>
      <c r="BN150" s="176">
        <f t="shared" ca="1" si="148"/>
        <v>0</v>
      </c>
      <c r="BO150" s="176">
        <f t="shared" ca="1" si="148"/>
        <v>0</v>
      </c>
      <c r="BP150" s="176">
        <f t="shared" ca="1" si="148"/>
        <v>0</v>
      </c>
      <c r="BQ150" s="177">
        <f t="shared" ca="1" si="148"/>
        <v>0</v>
      </c>
      <c r="BX150" s="171" t="s">
        <v>18</v>
      </c>
      <c r="BY150" s="172">
        <f ca="1">SUM(BY146:BY149)</f>
        <v>0</v>
      </c>
      <c r="BZ150" s="173">
        <f ca="1">SUM(BZ146:BZ149)</f>
        <v>0</v>
      </c>
      <c r="CA150" s="173">
        <f ca="1">SUM(CA146:CA149)</f>
        <v>0</v>
      </c>
      <c r="CB150" s="173">
        <f ca="1">SUM(CB146:CB149)</f>
        <v>0</v>
      </c>
      <c r="CC150" s="174">
        <f ca="1">SUM(CC146:CC149)</f>
        <v>0</v>
      </c>
      <c r="CD150" s="175">
        <f ca="1">IFERROR(BY150/CD112, 0)</f>
        <v>0</v>
      </c>
      <c r="CE150" s="176">
        <f ca="1">IFERROR(BZ150/CE112, 0)</f>
        <v>0</v>
      </c>
      <c r="CF150" s="176">
        <f ca="1">IFERROR(CA150/CF112, 0)</f>
        <v>0</v>
      </c>
      <c r="CG150" s="176">
        <f ca="1">IFERROR(CB150/CG112, 0)</f>
        <v>0</v>
      </c>
      <c r="CH150" s="177">
        <f ca="1">IFERROR(CC150/CH112, 0)</f>
        <v>0</v>
      </c>
      <c r="DC150" s="145" t="e">
        <f ca="1">SUM(DC146:DC149)</f>
        <v>#VALUE!</v>
      </c>
      <c r="DD150" s="146" t="e">
        <f ca="1">SUM(DD146:DD149)</f>
        <v>#VALUE!</v>
      </c>
      <c r="DE150" s="146" t="e">
        <f ca="1">SUM(DE146:DE149)</f>
        <v>#VALUE!</v>
      </c>
      <c r="DF150" s="146" t="e">
        <f ca="1">SUM(DF146:DF149)</f>
        <v>#VALUE!</v>
      </c>
      <c r="DG150" s="147" t="e">
        <f ca="1">SUM(DG146:DG149)</f>
        <v>#VALUE!</v>
      </c>
    </row>
    <row r="151" spans="1:117" x14ac:dyDescent="0.35">
      <c r="S151" s="301"/>
    </row>
    <row r="153" spans="1:117" ht="2" customHeight="1" x14ac:dyDescent="0.35">
      <c r="A153" s="194"/>
      <c r="B153" s="194"/>
      <c r="C153" s="194"/>
      <c r="D153" s="194"/>
      <c r="E153" s="194"/>
      <c r="F153" s="194"/>
      <c r="G153" s="194"/>
      <c r="H153" s="194"/>
      <c r="I153" s="194"/>
      <c r="J153" s="194"/>
      <c r="K153" s="194"/>
      <c r="L153" s="194"/>
      <c r="M153" s="194"/>
      <c r="N153" s="194"/>
      <c r="O153" s="194"/>
      <c r="P153" s="194"/>
      <c r="Q153" s="194"/>
      <c r="R153" s="194"/>
      <c r="S153" s="194"/>
      <c r="T153" s="194"/>
      <c r="U153" s="194"/>
      <c r="V153" s="194"/>
      <c r="W153" s="194"/>
      <c r="X153" s="194"/>
      <c r="Y153" s="194"/>
      <c r="Z153" s="194"/>
      <c r="AA153" s="194"/>
      <c r="AB153" s="194"/>
      <c r="AC153" s="194"/>
      <c r="AD153" s="194"/>
      <c r="AE153" s="194"/>
      <c r="AF153" s="194"/>
      <c r="AG153" s="194"/>
      <c r="AH153" s="194"/>
      <c r="AI153" s="194"/>
      <c r="AJ153" s="194"/>
      <c r="AK153" s="194"/>
      <c r="AL153" s="194"/>
      <c r="AM153" s="194"/>
      <c r="AN153" s="194"/>
      <c r="AO153" s="194"/>
      <c r="AP153" s="194"/>
      <c r="AQ153" s="194"/>
      <c r="AR153" s="194"/>
      <c r="AS153" s="194"/>
      <c r="AT153" s="194"/>
      <c r="AU153" s="194"/>
      <c r="AV153" s="194"/>
      <c r="AW153" s="194"/>
      <c r="AX153" s="194"/>
      <c r="AY153" s="194"/>
      <c r="AZ153" s="194"/>
      <c r="BA153" s="194"/>
      <c r="BB153" s="194"/>
      <c r="BC153" s="194"/>
      <c r="BD153" s="194"/>
      <c r="BE153" s="194"/>
      <c r="BF153" s="194"/>
      <c r="BG153" s="194"/>
      <c r="BH153" s="194"/>
      <c r="BI153" s="194"/>
      <c r="BJ153" s="194"/>
      <c r="BK153" s="194"/>
      <c r="BL153" s="194"/>
      <c r="BM153" s="194"/>
      <c r="BN153" s="194"/>
      <c r="BO153" s="194"/>
      <c r="BP153" s="194"/>
      <c r="BQ153" s="194"/>
      <c r="BR153" s="194"/>
      <c r="BS153" s="194"/>
      <c r="BT153" s="194"/>
      <c r="BU153" s="194"/>
      <c r="BV153" s="194"/>
      <c r="BW153" s="194"/>
      <c r="BX153" s="194"/>
      <c r="BY153" s="194"/>
      <c r="BZ153" s="194"/>
      <c r="CA153" s="194"/>
      <c r="CB153" s="194"/>
      <c r="CC153" s="194"/>
      <c r="CD153" s="194"/>
      <c r="CE153" s="194"/>
      <c r="CF153" s="194"/>
      <c r="CG153" s="194"/>
      <c r="CH153" s="194"/>
      <c r="CI153" s="194"/>
      <c r="CJ153" s="194"/>
      <c r="CK153" s="194"/>
      <c r="CL153" s="194"/>
      <c r="CM153" s="194"/>
    </row>
    <row r="155" spans="1:117" ht="15" thickBot="1" x14ac:dyDescent="0.4"/>
    <row r="156" spans="1:117" ht="15" thickBot="1" x14ac:dyDescent="0.4">
      <c r="I156" s="21" t="s">
        <v>51</v>
      </c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3"/>
      <c r="Z156" s="24" t="s">
        <v>51</v>
      </c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6"/>
      <c r="AQ156" s="27" t="s">
        <v>51</v>
      </c>
      <c r="AR156" s="28"/>
      <c r="AS156" s="28"/>
      <c r="AT156" s="28"/>
      <c r="AU156" s="29"/>
      <c r="AV156" s="28"/>
      <c r="AW156" s="28"/>
      <c r="AX156" s="28"/>
      <c r="AY156" s="28"/>
      <c r="AZ156" s="28"/>
      <c r="BA156" s="28"/>
      <c r="BB156" s="28"/>
      <c r="BC156" s="28"/>
      <c r="BD156" s="28"/>
      <c r="BE156" s="30"/>
      <c r="BH156" s="31" t="s">
        <v>51</v>
      </c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3"/>
      <c r="BY156" s="34" t="s">
        <v>51</v>
      </c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6"/>
      <c r="DC156" s="34" t="s">
        <v>51</v>
      </c>
      <c r="DD156" s="35"/>
      <c r="DE156" s="35"/>
      <c r="DF156" s="35"/>
      <c r="DG156" s="36"/>
      <c r="DI156" s="34" t="s">
        <v>51</v>
      </c>
      <c r="DJ156" s="35"/>
      <c r="DK156" s="35"/>
      <c r="DL156" s="35"/>
      <c r="DM156" s="36"/>
    </row>
    <row r="157" spans="1:117" ht="15" thickBot="1" x14ac:dyDescent="0.4">
      <c r="H157" s="37"/>
      <c r="I157" s="38" t="s">
        <v>2</v>
      </c>
      <c r="J157" s="39"/>
      <c r="K157" s="39"/>
      <c r="L157" s="39"/>
      <c r="M157" s="40"/>
      <c r="N157" s="38" t="s">
        <v>3</v>
      </c>
      <c r="O157" s="39"/>
      <c r="P157" s="39"/>
      <c r="Q157" s="39"/>
      <c r="R157" s="40"/>
      <c r="S157" s="38" t="s">
        <v>4</v>
      </c>
      <c r="T157" s="39"/>
      <c r="U157" s="39"/>
      <c r="V157" s="39"/>
      <c r="W157" s="40"/>
      <c r="Z157" s="41" t="s">
        <v>2</v>
      </c>
      <c r="AA157" s="42"/>
      <c r="AB157" s="42"/>
      <c r="AC157" s="42"/>
      <c r="AD157" s="43"/>
      <c r="AE157" s="41" t="s">
        <v>3</v>
      </c>
      <c r="AF157" s="42"/>
      <c r="AG157" s="42"/>
      <c r="AH157" s="42"/>
      <c r="AI157" s="43"/>
      <c r="AJ157" s="41" t="s">
        <v>4</v>
      </c>
      <c r="AK157" s="42"/>
      <c r="AL157" s="42"/>
      <c r="AM157" s="42"/>
      <c r="AN157" s="43"/>
      <c r="AQ157" s="44" t="s">
        <v>2</v>
      </c>
      <c r="AR157" s="45"/>
      <c r="AS157" s="45"/>
      <c r="AT157" s="45"/>
      <c r="AU157" s="46"/>
      <c r="AV157" s="44" t="s">
        <v>3</v>
      </c>
      <c r="AW157" s="45"/>
      <c r="AX157" s="45"/>
      <c r="AY157" s="45"/>
      <c r="AZ157" s="46"/>
      <c r="BA157" s="45" t="s">
        <v>4</v>
      </c>
      <c r="BB157" s="45"/>
      <c r="BC157" s="45"/>
      <c r="BD157" s="45"/>
      <c r="BE157" s="46"/>
      <c r="BH157" s="47" t="s">
        <v>2</v>
      </c>
      <c r="BI157" s="48"/>
      <c r="BJ157" s="48"/>
      <c r="BK157" s="48"/>
      <c r="BL157" s="49"/>
      <c r="BM157" s="47" t="s">
        <v>3</v>
      </c>
      <c r="BN157" s="48"/>
      <c r="BO157" s="48"/>
      <c r="BP157" s="48"/>
      <c r="BQ157" s="49"/>
      <c r="BR157" s="50" t="s">
        <v>4</v>
      </c>
      <c r="BS157" s="50"/>
      <c r="BT157" s="50"/>
      <c r="BU157" s="50"/>
      <c r="BV157" s="51"/>
      <c r="BY157" s="47" t="s">
        <v>2</v>
      </c>
      <c r="BZ157" s="48"/>
      <c r="CA157" s="48"/>
      <c r="CB157" s="48"/>
      <c r="CC157" s="49"/>
      <c r="CD157" s="47" t="s">
        <v>3</v>
      </c>
      <c r="CE157" s="48"/>
      <c r="CF157" s="48"/>
      <c r="CG157" s="48"/>
      <c r="CH157" s="49"/>
      <c r="CI157" s="50" t="s">
        <v>4</v>
      </c>
      <c r="CJ157" s="50"/>
      <c r="CK157" s="50"/>
      <c r="CL157" s="50"/>
      <c r="CM157" s="51"/>
      <c r="DC157" s="52" t="s">
        <v>5</v>
      </c>
      <c r="DD157" s="50"/>
      <c r="DE157" s="50"/>
      <c r="DF157" s="50"/>
      <c r="DG157" s="51"/>
      <c r="DI157" s="52" t="s">
        <v>6</v>
      </c>
      <c r="DJ157" s="50"/>
      <c r="DK157" s="50"/>
      <c r="DL157" s="50"/>
      <c r="DM157" s="51"/>
    </row>
    <row r="158" spans="1:117" ht="15" thickBot="1" x14ac:dyDescent="0.4">
      <c r="F158" s="53"/>
      <c r="H158" s="55"/>
      <c r="I158" s="56" t="str">
        <f>[1]Tables!$AA$4</f>
        <v>07/27 - 06/28</v>
      </c>
      <c r="J158" s="55" t="str">
        <f>[1]Tables!$AA$5</f>
        <v>07/28 - 06/29</v>
      </c>
      <c r="K158" s="55" t="str">
        <f>[1]Tables!$AA$6</f>
        <v>07/29 - 06/30</v>
      </c>
      <c r="L158" s="55" t="str">
        <f>[1]Tables!$AA$7</f>
        <v>07/30 - 06/31</v>
      </c>
      <c r="M158" s="57" t="str">
        <f>[1]Tables!$AA$8</f>
        <v>07/31 - 06/32</v>
      </c>
      <c r="N158" s="56" t="str">
        <f>[1]Tables!$AA$4</f>
        <v>07/27 - 06/28</v>
      </c>
      <c r="O158" s="55" t="str">
        <f>[1]Tables!$AA$5</f>
        <v>07/28 - 06/29</v>
      </c>
      <c r="P158" s="55" t="str">
        <f>[1]Tables!$AA$6</f>
        <v>07/29 - 06/30</v>
      </c>
      <c r="Q158" s="55" t="str">
        <f>[1]Tables!$AA$7</f>
        <v>07/30 - 06/31</v>
      </c>
      <c r="R158" s="57" t="str">
        <f>[1]Tables!$AA$8</f>
        <v>07/31 - 06/32</v>
      </c>
      <c r="S158" s="56" t="str">
        <f>[1]Tables!$AA$4</f>
        <v>07/27 - 06/28</v>
      </c>
      <c r="T158" s="55" t="str">
        <f>[1]Tables!$AA$5</f>
        <v>07/28 - 06/29</v>
      </c>
      <c r="U158" s="55" t="str">
        <f>[1]Tables!$AA$6</f>
        <v>07/29 - 06/30</v>
      </c>
      <c r="V158" s="55" t="str">
        <f>[1]Tables!$AA$7</f>
        <v>07/30 - 06/31</v>
      </c>
      <c r="W158" s="57" t="str">
        <f>[1]Tables!$AA$8</f>
        <v>07/31 - 06/32</v>
      </c>
      <c r="Y158" s="58"/>
      <c r="Z158" s="59" t="str">
        <f>[1]Tables!$AA$4</f>
        <v>07/27 - 06/28</v>
      </c>
      <c r="AA158" s="60" t="str">
        <f>[1]Tables!$AA$5</f>
        <v>07/28 - 06/29</v>
      </c>
      <c r="AB158" s="60" t="str">
        <f>[1]Tables!$AA$6</f>
        <v>07/29 - 06/30</v>
      </c>
      <c r="AC158" s="60" t="str">
        <f>[1]Tables!$AA$7</f>
        <v>07/30 - 06/31</v>
      </c>
      <c r="AD158" s="61" t="str">
        <f>[1]Tables!$AA$8</f>
        <v>07/31 - 06/32</v>
      </c>
      <c r="AE158" s="59" t="str">
        <f>[1]Tables!$AA$4</f>
        <v>07/27 - 06/28</v>
      </c>
      <c r="AF158" s="60" t="str">
        <f>[1]Tables!$AA$5</f>
        <v>07/28 - 06/29</v>
      </c>
      <c r="AG158" s="60" t="str">
        <f>[1]Tables!$AA$6</f>
        <v>07/29 - 06/30</v>
      </c>
      <c r="AH158" s="60" t="str">
        <f>[1]Tables!$AA$7</f>
        <v>07/30 - 06/31</v>
      </c>
      <c r="AI158" s="61" t="str">
        <f>[1]Tables!$AA$8</f>
        <v>07/31 - 06/32</v>
      </c>
      <c r="AJ158" s="59" t="str">
        <f>[1]Tables!$AA$4</f>
        <v>07/27 - 06/28</v>
      </c>
      <c r="AK158" s="60" t="str">
        <f>[1]Tables!$AA$5</f>
        <v>07/28 - 06/29</v>
      </c>
      <c r="AL158" s="60" t="str">
        <f>[1]Tables!$AA$6</f>
        <v>07/29 - 06/30</v>
      </c>
      <c r="AM158" s="60" t="str">
        <f>[1]Tables!$AA$7</f>
        <v>07/30 - 06/31</v>
      </c>
      <c r="AN158" s="61" t="str">
        <f>[1]Tables!$AA$8</f>
        <v>07/31 - 06/32</v>
      </c>
      <c r="AP158" s="58"/>
      <c r="AQ158" s="62" t="str">
        <f>[1]Tables!$AA$4</f>
        <v>07/27 - 06/28</v>
      </c>
      <c r="AR158" s="63" t="str">
        <f>[1]Tables!$AA$5</f>
        <v>07/28 - 06/29</v>
      </c>
      <c r="AS158" s="63" t="str">
        <f>[1]Tables!$AA$6</f>
        <v>07/29 - 06/30</v>
      </c>
      <c r="AT158" s="63" t="str">
        <f>[1]Tables!$AA$7</f>
        <v>07/30 - 06/31</v>
      </c>
      <c r="AU158" s="64" t="str">
        <f>[1]Tables!$AA$8</f>
        <v>07/31 - 06/32</v>
      </c>
      <c r="AV158" s="62" t="str">
        <f>[1]Tables!$AA$4</f>
        <v>07/27 - 06/28</v>
      </c>
      <c r="AW158" s="63" t="str">
        <f>[1]Tables!$AA$5</f>
        <v>07/28 - 06/29</v>
      </c>
      <c r="AX158" s="63" t="str">
        <f>[1]Tables!$AA$6</f>
        <v>07/29 - 06/30</v>
      </c>
      <c r="AY158" s="63" t="str">
        <f>[1]Tables!$AA$7</f>
        <v>07/30 - 06/31</v>
      </c>
      <c r="AZ158" s="64" t="str">
        <f>[1]Tables!$AA$8</f>
        <v>07/31 - 06/32</v>
      </c>
      <c r="BA158" s="63" t="str">
        <f>[1]Tables!$AA$4</f>
        <v>07/27 - 06/28</v>
      </c>
      <c r="BB158" s="63" t="str">
        <f>[1]Tables!$AA$5</f>
        <v>07/28 - 06/29</v>
      </c>
      <c r="BC158" s="63" t="str">
        <f>[1]Tables!$AA$6</f>
        <v>07/29 - 06/30</v>
      </c>
      <c r="BD158" s="63" t="str">
        <f>[1]Tables!$AA$7</f>
        <v>07/30 - 06/31</v>
      </c>
      <c r="BE158" s="64" t="str">
        <f>[1]Tables!$AA$8</f>
        <v>07/31 - 06/32</v>
      </c>
      <c r="BG158" s="58"/>
      <c r="BH158" s="65" t="str">
        <f>[1]Tables!$AA$4</f>
        <v>07/27 - 06/28</v>
      </c>
      <c r="BI158" s="66" t="str">
        <f>[1]Tables!$AA$5</f>
        <v>07/28 - 06/29</v>
      </c>
      <c r="BJ158" s="66" t="str">
        <f>[1]Tables!$AA$6</f>
        <v>07/29 - 06/30</v>
      </c>
      <c r="BK158" s="66" t="str">
        <f>[1]Tables!$AA$7</f>
        <v>07/30 - 06/31</v>
      </c>
      <c r="BL158" s="67" t="str">
        <f>[1]Tables!$AA$8</f>
        <v>07/31 - 06/32</v>
      </c>
      <c r="BM158" s="65" t="str">
        <f>[1]Tables!$AA$4</f>
        <v>07/27 - 06/28</v>
      </c>
      <c r="BN158" s="66" t="str">
        <f>[1]Tables!$AA$5</f>
        <v>07/28 - 06/29</v>
      </c>
      <c r="BO158" s="66" t="str">
        <f>[1]Tables!$AA$6</f>
        <v>07/29 - 06/30</v>
      </c>
      <c r="BP158" s="66" t="str">
        <f>[1]Tables!$AA$7</f>
        <v>07/30 - 06/31</v>
      </c>
      <c r="BQ158" s="67" t="str">
        <f>[1]Tables!$AA$8</f>
        <v>07/31 - 06/32</v>
      </c>
      <c r="BR158" s="66" t="str">
        <f>[1]Tables!$AA$4</f>
        <v>07/27 - 06/28</v>
      </c>
      <c r="BS158" s="66" t="str">
        <f>[1]Tables!$AA$5</f>
        <v>07/28 - 06/29</v>
      </c>
      <c r="BT158" s="66" t="str">
        <f>[1]Tables!$AA$6</f>
        <v>07/29 - 06/30</v>
      </c>
      <c r="BU158" s="66" t="str">
        <f>[1]Tables!$AA$7</f>
        <v>07/30 - 06/31</v>
      </c>
      <c r="BV158" s="67" t="str">
        <f>[1]Tables!$AA$8</f>
        <v>07/31 - 06/32</v>
      </c>
      <c r="BX158" s="58"/>
      <c r="BY158" s="65" t="str">
        <f>[1]Tables!$AA$4</f>
        <v>07/27 - 06/28</v>
      </c>
      <c r="BZ158" s="66" t="str">
        <f>[1]Tables!$AA$5</f>
        <v>07/28 - 06/29</v>
      </c>
      <c r="CA158" s="66" t="str">
        <f>[1]Tables!$AA$6</f>
        <v>07/29 - 06/30</v>
      </c>
      <c r="CB158" s="66" t="str">
        <f>[1]Tables!$AA$7</f>
        <v>07/30 - 06/31</v>
      </c>
      <c r="CC158" s="67" t="str">
        <f>[1]Tables!$AA$8</f>
        <v>07/31 - 06/32</v>
      </c>
      <c r="CD158" s="65" t="str">
        <f>[1]Tables!$AA$4</f>
        <v>07/27 - 06/28</v>
      </c>
      <c r="CE158" s="66" t="str">
        <f>[1]Tables!$AA$5</f>
        <v>07/28 - 06/29</v>
      </c>
      <c r="CF158" s="66" t="str">
        <f>[1]Tables!$AA$6</f>
        <v>07/29 - 06/30</v>
      </c>
      <c r="CG158" s="66" t="str">
        <f>[1]Tables!$AA$7</f>
        <v>07/30 - 06/31</v>
      </c>
      <c r="CH158" s="67" t="str">
        <f>[1]Tables!$AA$8</f>
        <v>07/31 - 06/32</v>
      </c>
      <c r="CI158" s="66" t="str">
        <f>[1]Tables!$AA$4</f>
        <v>07/27 - 06/28</v>
      </c>
      <c r="CJ158" s="66" t="str">
        <f>[1]Tables!$AA$5</f>
        <v>07/28 - 06/29</v>
      </c>
      <c r="CK158" s="66" t="str">
        <f>[1]Tables!$AA$6</f>
        <v>07/29 - 06/30</v>
      </c>
      <c r="CL158" s="66" t="str">
        <f>[1]Tables!$AA$7</f>
        <v>07/30 - 06/31</v>
      </c>
      <c r="CM158" s="67" t="str">
        <f>[1]Tables!$AA$8</f>
        <v>07/31 - 06/32</v>
      </c>
      <c r="DC158" s="65" t="str">
        <f>[1]Tables!$AA$4</f>
        <v>07/27 - 06/28</v>
      </c>
      <c r="DD158" s="66" t="str">
        <f>[1]Tables!$AA$5</f>
        <v>07/28 - 06/29</v>
      </c>
      <c r="DE158" s="66" t="str">
        <f>[1]Tables!$AA$6</f>
        <v>07/29 - 06/30</v>
      </c>
      <c r="DF158" s="66" t="str">
        <f>[1]Tables!$AA$7</f>
        <v>07/30 - 06/31</v>
      </c>
      <c r="DG158" s="67" t="str">
        <f>[1]Tables!$AA$8</f>
        <v>07/31 - 06/32</v>
      </c>
      <c r="DI158" s="65" t="str">
        <f>[1]Tables!$AA$4</f>
        <v>07/27 - 06/28</v>
      </c>
      <c r="DJ158" s="66" t="str">
        <f>[1]Tables!$AA$5</f>
        <v>07/28 - 06/29</v>
      </c>
      <c r="DK158" s="66" t="str">
        <f>[1]Tables!$AA$6</f>
        <v>07/29 - 06/30</v>
      </c>
      <c r="DL158" s="66" t="str">
        <f>[1]Tables!$AA$7</f>
        <v>07/30 - 06/31</v>
      </c>
      <c r="DM158" s="67" t="str">
        <f>[1]Tables!$AA$8</f>
        <v>07/31 - 06/32</v>
      </c>
    </row>
    <row r="159" spans="1:117" x14ac:dyDescent="0.35">
      <c r="B159" s="68" t="s">
        <v>11</v>
      </c>
      <c r="C159" s="69">
        <v>30</v>
      </c>
      <c r="D159" s="69" t="s">
        <v>12</v>
      </c>
      <c r="E159" s="68" t="s">
        <v>12</v>
      </c>
      <c r="F159" s="70" t="s">
        <v>13</v>
      </c>
      <c r="H159" s="71" t="s">
        <v>14</v>
      </c>
      <c r="I159" s="72" t="e" cm="1">
        <f t="array" aca="1" ref="I159" ca="1">SUMIFS(rng_out_mafadj_pre_yr1, rng_out_mail_ind, $B159, rng_out_ds, $C159,rng_out_sel_sp_ind, $D159, rng_out_sel_excl_ind,$E159) +_xlfn.SINGLE(
IF([1]Tables!$C$16=[1]Tables!$CF$4, SUMIFS(rng_out_mafadj_pre_yr1,rng_out_sel_excl_yr_ind, "",rng_out_mail_ind,$B159,rng_out_ds,$C159,rng_out_sel_sp_ind,$D159,rng_out_sel_excl_ind,$F159)+
SUMIFS(rng_out_mafadj_pre_yr1,rng_out_sel_excl_yr_ind, [1]Tables!$HN$4,rng_out_mail_ind,$B159,rng_out_ds,$C159,rng_out_sel_sp_ind,$D159,rng_out_sel_excl_ind,$F159)*         _xlfn.XLOOKUP([1]Tables!$HN$4,'[1]RA Output'!$AY$4:$AY$5,'[1]RA Output'!AZ$4:AZ$5,0)  +
SUMIFS(rng_out_mafadj_pre_yr1,rng_out_sel_excl_yr_ind, [1]Tables!$HN$5,rng_out_mail_ind,$B159,rng_out_ds,$C159,rng_out_sel_sp_ind,$D159,rng_out_sel_excl_ind,$F159)* _xlfn.XLOOKUP([1]Tables!$HN$5,'[1]RA Output'!$AY$4:$AY$5,'[1]RA Output'!AZ$4:AZ$5,0), 0))</f>
        <v>#VALUE!</v>
      </c>
      <c r="J159" s="5" t="e" cm="1">
        <f t="array" aca="1" ref="J159" ca="1">SUMIFS(rng_out_mafadj_pre_yr2, rng_out_mail_ind, $B159, rng_out_ds, $C159,rng_out_sel_sp_ind, $D159, rng_out_sel_excl_ind,$E159) +_xlfn.SINGLE(
IF([1]Tables!$C$16=[1]Tables!$CF$4, SUMIFS(rng_out_mafadj_pre_yr2,rng_out_sel_excl_yr_ind, "",rng_out_mail_ind,$B159,rng_out_ds,$C159,rng_out_sel_sp_ind,$D159,rng_out_sel_excl_ind,$F159)+
SUMIFS(rng_out_mafadj_pre_yr2,rng_out_sel_excl_yr_ind, [1]Tables!$HN$4,rng_out_mail_ind,$B159,rng_out_ds,$C159,rng_out_sel_sp_ind,$D159,rng_out_sel_excl_ind,$F159)*         _xlfn.XLOOKUP([1]Tables!$HN$4,'[1]RA Output'!$AY$4:$AY$5,'[1]RA Output'!BA$4:BA$5,0)  +
SUMIFS(rng_out_mafadj_pre_yr2,rng_out_sel_excl_yr_ind, [1]Tables!$HN$5,rng_out_mail_ind,$B159,rng_out_ds,$C159,rng_out_sel_sp_ind,$D159,rng_out_sel_excl_ind,$F159)* _xlfn.XLOOKUP([1]Tables!$HN$5,'[1]RA Output'!$AY$4:$AY$5,'[1]RA Output'!BA$4:BA$5,0), 0))</f>
        <v>#VALUE!</v>
      </c>
      <c r="K159" s="5" t="e" cm="1">
        <f t="array" aca="1" ref="K159" ca="1">SUMIFS(rng_out_mafadj_pre_yr3, rng_out_mail_ind, $B159, rng_out_ds, $C159,rng_out_sel_sp_ind, $D159, rng_out_sel_excl_ind,$E159) +_xlfn.SINGLE(
IF([1]Tables!$C$16=[1]Tables!$CF$4, SUMIFS(rng_out_mafadj_pre_yr3,rng_out_sel_excl_yr_ind, "",rng_out_mail_ind,$B159,rng_out_ds,$C159,rng_out_sel_sp_ind,$D159,rng_out_sel_excl_ind,$F159)+
SUMIFS(rng_out_mafadj_pre_yr3,rng_out_sel_excl_yr_ind, [1]Tables!$HN$4,rng_out_mail_ind,$B159,rng_out_ds,$C159,rng_out_sel_sp_ind,$D159,rng_out_sel_excl_ind,$F159)*         _xlfn.XLOOKUP([1]Tables!$HN$4,'[1]RA Output'!$AY$4:$AY$5,'[1]RA Output'!BB$4:BB$5,0)  +
SUMIFS(rng_out_mafadj_pre_yr3,rng_out_sel_excl_yr_ind, [1]Tables!$HN$5,rng_out_mail_ind,$B159,rng_out_ds,$C159,rng_out_sel_sp_ind,$D159,rng_out_sel_excl_ind,$F159)* _xlfn.XLOOKUP([1]Tables!$HN$5,'[1]RA Output'!$AY$4:$AY$5,'[1]RA Output'!BB$4:BB$5,0), 0))</f>
        <v>#VALUE!</v>
      </c>
      <c r="L159" s="5" t="e" cm="1">
        <f t="array" aca="1" ref="L159" ca="1">SUMIFS(rng_out_mafadj_pre_yr4, rng_out_mail_ind, $B159, rng_out_ds, $C159,rng_out_sel_sp_ind, $D159, rng_out_sel_excl_ind,$E159) +_xlfn.SINGLE(
IF([1]Tables!$C$16=[1]Tables!$CF$4, SUMIFS(rng_out_mafadj_pre_yr4,rng_out_sel_excl_yr_ind, "",rng_out_mail_ind,$B159,rng_out_ds,$C159,rng_out_sel_sp_ind,$D159,rng_out_sel_excl_ind,$F159)+
SUMIFS(rng_out_mafadj_pre_yr4,rng_out_sel_excl_yr_ind, [1]Tables!$HN$4,rng_out_mail_ind,$B159,rng_out_ds,$C159,rng_out_sel_sp_ind,$D159,rng_out_sel_excl_ind,$F159)*         _xlfn.XLOOKUP([1]Tables!$HN$4,'[1]RA Output'!$AY$4:$AY$5,'[1]RA Output'!BC$4:BC$5,0)  +
SUMIFS(rng_out_mafadj_pre_yr4,rng_out_sel_excl_yr_ind, [1]Tables!$HN$5,rng_out_mail_ind,$B159,rng_out_ds,$C159,rng_out_sel_sp_ind,$D159,rng_out_sel_excl_ind,$F159)* _xlfn.XLOOKUP([1]Tables!$HN$5,'[1]RA Output'!$AY$4:$AY$5,'[1]RA Output'!BC$4:BC$5,0), 0))</f>
        <v>#VALUE!</v>
      </c>
      <c r="M159" s="73" t="e" cm="1">
        <f t="array" aca="1" ref="M159" ca="1">SUMIFS(rng_out_mafadj_pre_yr5, rng_out_mail_ind, $B159, rng_out_ds, $C159,rng_out_sel_sp_ind, $D159, rng_out_sel_excl_ind,$E159) +_xlfn.SINGLE(
IF([1]Tables!$C$16=[1]Tables!$CF$4, SUMIFS(rng_out_mafadj_pre_yr5,rng_out_sel_excl_yr_ind, "",rng_out_mail_ind,$B159,rng_out_ds,$C159,rng_out_sel_sp_ind,$D159,rng_out_sel_excl_ind,$F159)+
SUMIFS(rng_out_mafadj_pre_yr5,rng_out_sel_excl_yr_ind, [1]Tables!$HN$4,rng_out_mail_ind,$B159,rng_out_ds,$C159,rng_out_sel_sp_ind,$D159,rng_out_sel_excl_ind,$F159)*         _xlfn.XLOOKUP([1]Tables!$HN$4,'[1]RA Output'!$AY$4:$AY$5,'[1]RA Output'!BD$4:BD$5,0)  +
SUMIFS(rng_out_mafadj_pre_yr5,rng_out_sel_excl_yr_ind, [1]Tables!$HN$5,rng_out_mail_ind,$B159,rng_out_ds,$C159,rng_out_sel_sp_ind,$D159,rng_out_sel_excl_ind,$F159)* _xlfn.XLOOKUP([1]Tables!$HN$5,'[1]RA Output'!$AY$4:$AY$5,'[1]RA Output'!BD$4:BD$5,0), 0))</f>
        <v>#VALUE!</v>
      </c>
      <c r="N159" s="74">
        <f ca="1">IFERROR(I159/N$58, 0)</f>
        <v>0</v>
      </c>
      <c r="O159" s="75">
        <f ca="1">IFERROR(J159/O$58, 0)</f>
        <v>0</v>
      </c>
      <c r="P159" s="75">
        <f ca="1">IFERROR(K159/P$58, 0)</f>
        <v>0</v>
      </c>
      <c r="Q159" s="75">
        <f ca="1">IFERROR(L159/Q$58, 0)</f>
        <v>0</v>
      </c>
      <c r="R159" s="76">
        <f ca="1">IFERROR(M159/R$58, 0)</f>
        <v>0</v>
      </c>
      <c r="S159" s="74">
        <f ca="1">IFERROR(I159/S$58, 0)</f>
        <v>0</v>
      </c>
      <c r="T159" s="75">
        <f ca="1">IFERROR(J159/T$58, 0)</f>
        <v>0</v>
      </c>
      <c r="U159" s="75">
        <f ca="1">IFERROR(K159/U$58, 0)</f>
        <v>0</v>
      </c>
      <c r="V159" s="75">
        <f ca="1">IFERROR(L159/V$58, 0)</f>
        <v>0</v>
      </c>
      <c r="W159" s="76">
        <f ca="1">IFERROR(M159/W$58, 0)</f>
        <v>0</v>
      </c>
      <c r="Y159" s="77" t="s">
        <v>14</v>
      </c>
      <c r="Z159" s="78">
        <f ca="1">IFERROR(I159/[1]Tables!$AT$4, 0)</f>
        <v>0</v>
      </c>
      <c r="AA159" s="79">
        <f ca="1">IFERROR(J159/[1]Tables!$AT$4, 0)</f>
        <v>0</v>
      </c>
      <c r="AB159" s="79">
        <f ca="1">IFERROR(K159/[1]Tables!$AT$4, 0)</f>
        <v>0</v>
      </c>
      <c r="AC159" s="79">
        <f ca="1">IFERROR(L159/[1]Tables!$AT$4, 0)</f>
        <v>0</v>
      </c>
      <c r="AD159" s="80">
        <f ca="1">IFERROR(M159/[1]Tables!$AT$4, 0)</f>
        <v>0</v>
      </c>
      <c r="AE159" s="81">
        <f ca="1">IFERROR(N159/[1]Tables!$AT$4, 0)</f>
        <v>0</v>
      </c>
      <c r="AF159" s="75">
        <f ca="1">IFERROR(O159/[1]Tables!$AT$4, 0)</f>
        <v>0</v>
      </c>
      <c r="AG159" s="75">
        <f ca="1">IFERROR(P159/[1]Tables!$AT$4, 0)</f>
        <v>0</v>
      </c>
      <c r="AH159" s="75">
        <f ca="1">IFERROR(Q159/[1]Tables!$AT$4, 0)</f>
        <v>0</v>
      </c>
      <c r="AI159" s="82">
        <f ca="1">IFERROR(R159/[1]Tables!$AT$4, 0)</f>
        <v>0</v>
      </c>
      <c r="AJ159" s="81">
        <f ca="1">IFERROR(S159/[1]Tables!$AT$4, 0)</f>
        <v>0</v>
      </c>
      <c r="AK159" s="75">
        <f ca="1">IFERROR(T159/[1]Tables!$AT$4, 0)</f>
        <v>0</v>
      </c>
      <c r="AL159" s="75">
        <f ca="1">IFERROR(U159/[1]Tables!$AT$4, 0)</f>
        <v>0</v>
      </c>
      <c r="AM159" s="75">
        <f ca="1">IFERROR(V159/[1]Tables!$AT$4, 0)</f>
        <v>0</v>
      </c>
      <c r="AN159" s="82">
        <f ca="1">IFERROR(W159/[1]Tables!$AT$4, 0)</f>
        <v>0</v>
      </c>
      <c r="AP159" s="83" t="s">
        <v>14</v>
      </c>
      <c r="AQ159" s="356" cm="1">
        <f t="array" aca="1" ref="AQ159" ca="1">_xlfn.SINGLE(IFERROR((SUMIFS(rng_out_mafadj_post_yr1, rng_out_mail_ind, $B159, rng_out_ds, $C159, rng_out_sel_sp_ind, $D159, rng_out_sel_excl_ind,$E159) +_xlfn.SINGLE(
IF([1]Tables!$C$16=[1]Tables!$CF$4, SUMIFS(rng_out_mafadj_post_yr1,rng_out_sel_excl_yr_ind, "",rng_out_mail_ind,$B159,rng_out_ds,$C159,rng_out_sel_sp_ind,$D159,rng_out_sel_excl_ind,$F159)+
SUMIFS(rng_out_mafadj_post_yr1,rng_out_sel_excl_yr_ind, [1]Tables!$HN$4,rng_out_mail_ind,$B159,rng_out_ds,$C159,rng_out_sel_sp_ind,$D159,rng_out_sel_excl_ind,$F159)*         _xlfn.XLOOKUP([1]Tables!$HN$4,'[1]RA Output'!$AY$4:$AY$5,'[1]RA Output'!AZ$4:AZ$5,0)  +
SUMIFS(rng_out_mafadj_post_yr1,rng_out_sel_excl_yr_ind, [1]Tables!$HN$5,rng_out_mail_ind,$B159,rng_out_ds,$C159,rng_out_sel_sp_ind,$D159,rng_out_sel_excl_ind,$F159)* _xlfn.XLOOKUP([1]Tables!$HN$5,'[1]RA Output'!$AY$4:$AY$5,'[1]RA Output'!AZ$4:AZ$5,0), 0)))/[1]Tables!$AT$4, 0))</f>
        <v>0</v>
      </c>
      <c r="AR159" s="5" cm="1">
        <f t="array" aca="1" ref="AR159" ca="1">_xlfn.SINGLE(IFERROR((SUMIFS(rng_out_mafadj_post_yr2, rng_out_mail_ind, $B159, rng_out_ds, $C159, rng_out_sel_sp_ind, $D159, rng_out_sel_excl_ind,$E159) +_xlfn.SINGLE(
IF([1]Tables!$C$16=[1]Tables!$CF$4, SUMIFS(rng_out_mafadj_post_yr2,rng_out_sel_excl_yr_ind, "",rng_out_mail_ind,$B159,rng_out_ds,$C159,rng_out_sel_sp_ind,$D159,rng_out_sel_excl_ind,$F159)+
SUMIFS(rng_out_mafadj_post_yr2,rng_out_sel_excl_yr_ind, [1]Tables!$HN$4,rng_out_mail_ind,$B159,rng_out_ds,$C159,rng_out_sel_sp_ind,$D159,rng_out_sel_excl_ind,$F159)*         _xlfn.XLOOKUP([1]Tables!$HN$4,'[1]RA Output'!$AY$4:$AY$5,'[1]RA Output'!BA$4:BA$5,0)  +
SUMIFS(rng_out_mafadj_post_yr2,rng_out_sel_excl_yr_ind, [1]Tables!$HN$5,rng_out_mail_ind,$B159,rng_out_ds,$C159,rng_out_sel_sp_ind,$D159,rng_out_sel_excl_ind,$F159)* _xlfn.XLOOKUP([1]Tables!$HN$5,'[1]RA Output'!$AY$4:$AY$5,'[1]RA Output'!BA$4:BA$5,0), 0)))/[1]Tables!$AT$4, 0))</f>
        <v>0</v>
      </c>
      <c r="AS159" s="5" cm="1">
        <f t="array" aca="1" ref="AS159" ca="1">_xlfn.SINGLE(IFERROR((SUMIFS(rng_out_mafadj_post_yr3, rng_out_mail_ind, $B159, rng_out_ds, $C159, rng_out_sel_sp_ind, $D159, rng_out_sel_excl_ind,$E159) +_xlfn.SINGLE(
IF([1]Tables!$C$16=[1]Tables!$CF$4, SUMIFS(rng_out_mafadj_post_yr3,rng_out_sel_excl_yr_ind, "",rng_out_mail_ind,$B159,rng_out_ds,$C159,rng_out_sel_sp_ind,$D159,rng_out_sel_excl_ind,$F159)+
SUMIFS(rng_out_mafadj_post_yr3,rng_out_sel_excl_yr_ind, [1]Tables!$HN$4,rng_out_mail_ind,$B159,rng_out_ds,$C159,rng_out_sel_sp_ind,$D159,rng_out_sel_excl_ind,$F159)*         _xlfn.XLOOKUP([1]Tables!$HN$4,'[1]RA Output'!$AY$4:$AY$5,'[1]RA Output'!BB$4:BB$5,0)  +
SUMIFS(rng_out_mafadj_post_yr3,rng_out_sel_excl_yr_ind, [1]Tables!$HN$5,rng_out_mail_ind,$B159,rng_out_ds,$C159,rng_out_sel_sp_ind,$D159,rng_out_sel_excl_ind,$F159)* _xlfn.XLOOKUP([1]Tables!$HN$5,'[1]RA Output'!$AY$4:$AY$5,'[1]RA Output'!BB$4:BB$5,0), 0)))/[1]Tables!$AT$4, 0))</f>
        <v>0</v>
      </c>
      <c r="AT159" s="5" cm="1">
        <f t="array" aca="1" ref="AT159" ca="1">_xlfn.SINGLE(IFERROR((SUMIFS(rng_out_mafadj_post_yr4, rng_out_mail_ind, $B159, rng_out_ds, $C159, rng_out_sel_sp_ind, $D159, rng_out_sel_excl_ind,$E159) +_xlfn.SINGLE(
IF([1]Tables!$C$16=[1]Tables!$CF$4, SUMIFS(rng_out_mafadj_post_yr4,rng_out_sel_excl_yr_ind, "",rng_out_mail_ind,$B159,rng_out_ds,$C159,rng_out_sel_sp_ind,$D159,rng_out_sel_excl_ind,$F159)+
SUMIFS(rng_out_mafadj_post_yr4,rng_out_sel_excl_yr_ind, [1]Tables!$HN$4,rng_out_mail_ind,$B159,rng_out_ds,$C159,rng_out_sel_sp_ind,$D159,rng_out_sel_excl_ind,$F159)*         _xlfn.XLOOKUP([1]Tables!$HN$4,'[1]RA Output'!$AY$4:$AY$5,'[1]RA Output'!BC$4:BC$5,0)  +
SUMIFS(rng_out_mafadj_post_yr4,rng_out_sel_excl_yr_ind, [1]Tables!$HN$5,rng_out_mail_ind,$B159,rng_out_ds,$C159,rng_out_sel_sp_ind,$D159,rng_out_sel_excl_ind,$F159)* _xlfn.XLOOKUP([1]Tables!$HN$5,'[1]RA Output'!$AY$4:$AY$5,'[1]RA Output'!BC$4:BC$5,0), 0)))/[1]Tables!$AT$4, 0))</f>
        <v>0</v>
      </c>
      <c r="AU159" s="85" cm="1">
        <f t="array" aca="1" ref="AU159" ca="1">_xlfn.SINGLE(IFERROR((SUMIFS(rng_out_mafadj_post_yr5, rng_out_mail_ind, $B159, rng_out_ds, $C159, rng_out_sel_sp_ind, $D159, rng_out_sel_excl_ind,$E159) +_xlfn.SINGLE(
IF([1]Tables!$C$16=[1]Tables!$CF$4, SUMIFS(rng_out_mafadj_post_yr5,rng_out_sel_excl_yr_ind, "",rng_out_mail_ind,$B159,rng_out_ds,$C159,rng_out_sel_sp_ind,$D159,rng_out_sel_excl_ind,$F159)+
SUMIFS(rng_out_mafadj_post_yr5,rng_out_sel_excl_yr_ind, [1]Tables!$HN$4,rng_out_mail_ind,$B159,rng_out_ds,$C159,rng_out_sel_sp_ind,$D159,rng_out_sel_excl_ind,$F159)*         _xlfn.XLOOKUP([1]Tables!$HN$4,'[1]RA Output'!$AY$4:$AY$5,'[1]RA Output'!BD$4:BD$5,0)  +
SUMIFS(rng_out_mafadj_post_yr5,rng_out_sel_excl_yr_ind, [1]Tables!$HN$5,rng_out_mail_ind,$B159,rng_out_ds,$C159,rng_out_sel_sp_ind,$D159,rng_out_sel_excl_ind,$F159)* _xlfn.XLOOKUP([1]Tables!$HN$5,'[1]RA Output'!$AY$4:$AY$5,'[1]RA Output'!BD$4:BD$5,0), 0)))/[1]Tables!$AT$4, 0))</f>
        <v>0</v>
      </c>
      <c r="AV159" s="86">
        <f ca="1">IFERROR(AQ159/AV$58, 0)</f>
        <v>0</v>
      </c>
      <c r="AW159" s="75">
        <f ca="1">IFERROR(AR159/AW$58, 0)</f>
        <v>0</v>
      </c>
      <c r="AX159" s="75">
        <f ca="1">IFERROR(AS159/AX$58, 0)</f>
        <v>0</v>
      </c>
      <c r="AY159" s="75">
        <f ca="1">IFERROR(AT159/AY$58, 0)</f>
        <v>0</v>
      </c>
      <c r="AZ159" s="87">
        <f ca="1">IFERROR(AU159/AZ$58, 0)</f>
        <v>0</v>
      </c>
      <c r="BA159" s="75">
        <f ca="1">IFERROR(AQ159/BA$58, 0)</f>
        <v>0</v>
      </c>
      <c r="BB159" s="75">
        <f ca="1">IFERROR(AR159/BB$58, 0)</f>
        <v>0</v>
      </c>
      <c r="BC159" s="75">
        <f ca="1">IFERROR(AS159/BC$58, 0)</f>
        <v>0</v>
      </c>
      <c r="BD159" s="75">
        <f ca="1">IFERROR(AT159/BD$58, 0)</f>
        <v>0</v>
      </c>
      <c r="BE159" s="87">
        <f ca="1">IFERROR(AU159/BE$58, 0)</f>
        <v>0</v>
      </c>
      <c r="BG159" s="88" t="s">
        <v>14</v>
      </c>
      <c r="BH159" s="97">
        <f t="shared" ref="BH159:BL162" ca="1" si="152">AQ159</f>
        <v>0</v>
      </c>
      <c r="BI159" s="79">
        <f t="shared" ca="1" si="152"/>
        <v>0</v>
      </c>
      <c r="BJ159" s="79">
        <f t="shared" ca="1" si="152"/>
        <v>0</v>
      </c>
      <c r="BK159" s="79">
        <f t="shared" ca="1" si="152"/>
        <v>0</v>
      </c>
      <c r="BL159" s="98">
        <f t="shared" ca="1" si="152"/>
        <v>0</v>
      </c>
      <c r="BM159" s="92">
        <f ca="1">IFERROR(BH159/BM$58, 0)</f>
        <v>0</v>
      </c>
      <c r="BN159" s="75">
        <f ca="1">IFERROR(BI159/BN$58, 0)</f>
        <v>0</v>
      </c>
      <c r="BO159" s="75">
        <f ca="1">IFERROR(BJ159/BO$58, 0)</f>
        <v>0</v>
      </c>
      <c r="BP159" s="75">
        <f ca="1">IFERROR(BK159/BP$58, 0)</f>
        <v>0</v>
      </c>
      <c r="BQ159" s="93">
        <f ca="1">IFERROR(BL159/BQ$58, 0)</f>
        <v>0</v>
      </c>
      <c r="BR159" s="94">
        <f ca="1">IFERROR(BH159/BR$58, 0)</f>
        <v>0</v>
      </c>
      <c r="BS159" s="95">
        <f ca="1">IFERROR(BI159/BS$58, 0)</f>
        <v>0</v>
      </c>
      <c r="BT159" s="95">
        <f ca="1">IFERROR(BJ159/BT$58, 0)</f>
        <v>0</v>
      </c>
      <c r="BU159" s="95">
        <f ca="1">IFERROR(BK159/BU$58, 0)</f>
        <v>0</v>
      </c>
      <c r="BV159" s="96">
        <f ca="1">IFERROR(BL159/BV$58, 0)</f>
        <v>0</v>
      </c>
      <c r="BX159" s="88" t="s">
        <v>14</v>
      </c>
      <c r="BY159" s="97" t="e">
        <f t="shared" ref="BY159:CC162" ca="1" si="153">CD159*CD58</f>
        <v>#VALUE!</v>
      </c>
      <c r="BZ159" s="79" t="e">
        <f t="shared" ca="1" si="153"/>
        <v>#VALUE!</v>
      </c>
      <c r="CA159" s="79" t="e">
        <f t="shared" ca="1" si="153"/>
        <v>#VALUE!</v>
      </c>
      <c r="CB159" s="79" t="e">
        <f t="shared" ca="1" si="153"/>
        <v>#VALUE!</v>
      </c>
      <c r="CC159" s="98" t="e">
        <f t="shared" ca="1" si="153"/>
        <v>#VALUE!</v>
      </c>
      <c r="CD159" s="92">
        <f t="shared" ref="CD159:CH162" ca="1" si="154">BM159-DC159</f>
        <v>0</v>
      </c>
      <c r="CE159" s="75">
        <f t="shared" ca="1" si="154"/>
        <v>0</v>
      </c>
      <c r="CF159" s="75">
        <f t="shared" ca="1" si="154"/>
        <v>0</v>
      </c>
      <c r="CG159" s="75">
        <f t="shared" ca="1" si="154"/>
        <v>0</v>
      </c>
      <c r="CH159" s="93">
        <f t="shared" ca="1" si="154"/>
        <v>0</v>
      </c>
      <c r="CI159" s="94">
        <f t="shared" ref="CI159:CM163" ca="1" si="155">IFERROR(BY159/CI58, 0)</f>
        <v>0</v>
      </c>
      <c r="CJ159" s="95">
        <f t="shared" ca="1" si="155"/>
        <v>0</v>
      </c>
      <c r="CK159" s="95">
        <f t="shared" ca="1" si="155"/>
        <v>0</v>
      </c>
      <c r="CL159" s="95">
        <f t="shared" ca="1" si="155"/>
        <v>0</v>
      </c>
      <c r="CM159" s="96">
        <f t="shared" ca="1" si="155"/>
        <v>0</v>
      </c>
      <c r="DC159" s="99" cm="1">
        <f t="array" aca="1" ref="DC159" ca="1">IFERROR(BM159-BM159*BR67*(1-INDEX([1]Tables!$EA$4:$EE$60,MATCH([1]Tables!$C$22&amp;$BX159,[1]Tables!$EA$4:$EA$60,0),[1]Tables!$EE$1))*(1-DI159)/CD58, 0)</f>
        <v>0</v>
      </c>
      <c r="DD159" s="100" cm="1">
        <f t="array" aca="1" ref="DD159" ca="1">IFERROR(BN159-BN159*BS67*(1-INDEX([1]Tables!$EA$4:$EE$60,MATCH([1]Tables!$C$22&amp;$BX159,[1]Tables!$EA$4:$EA$60,0),[1]Tables!$EE$1))*(1-DJ159)/CE58, 0)</f>
        <v>0</v>
      </c>
      <c r="DE159" s="100" cm="1">
        <f t="array" aca="1" ref="DE159" ca="1">IFERROR(BO159-BO159*BT67*(1-INDEX([1]Tables!$EA$4:$EE$60,MATCH([1]Tables!$C$22&amp;$BX159,[1]Tables!$EA$4:$EA$60,0),[1]Tables!$EE$1))*(1-DK159)/CF58, 0)</f>
        <v>0</v>
      </c>
      <c r="DF159" s="100" cm="1">
        <f t="array" aca="1" ref="DF159" ca="1">IFERROR(BP159-BP159*BU67*(1-INDEX([1]Tables!$EA$4:$EE$60,MATCH([1]Tables!$C$22&amp;$BX159,[1]Tables!$EA$4:$EA$60,0),[1]Tables!$EE$1))*(1-DL159)/CG58, 0)</f>
        <v>0</v>
      </c>
      <c r="DG159" s="101" cm="1">
        <f t="array" aca="1" ref="DG159" ca="1">IFERROR(BQ159-BQ159*BV67*(1-INDEX([1]Tables!$EA$4:$EE$60,MATCH([1]Tables!$C$22&amp;$BX159,[1]Tables!$EA$4:$EA$60,0),[1]Tables!$EE$1))*(1-DM159)/CH58, 0)</f>
        <v>0</v>
      </c>
      <c r="DI159" s="368" cm="1">
        <f t="array" aca="1" ref="DI159" ca="1">IFERROR(((
SUMPRODUCT((rng_out_mail_ind = $B159) * (rng_out_ds = $C159) * (rng_out_sel_sp_ind = $D159)   * (rng_out_sel_excl_ind = $E159) * (rng_out_mafadj_post_yr1*rng_out_340B)) +
IF([1]Tables!$C$16=[1]Tables!$CF$4, SUMPRODUCT((rng_out_mail_ind = $B159) * (rng_out_ds = $C159) * (rng_out_sel_sp_ind = $D159) * (rng_out_sel_excl_ind = $F159) * (rng_out_mafadj_post_yr1*rng_out_340B) * (rng_out_sel_excl_yr_ind = ""))
+ SUMPRODUCT((rng_out_mail_ind = $B159) * (rng_out_ds = $C159) * (rng_out_sel_sp_ind = $D159) * (rng_out_sel_excl_ind = $F159) * (rng_out_mafadj_post_yr1*rng_out_340B) * (rng_out_sel_excl_yr_ind = [1]Tables!$HN$4))*_xlfn.XLOOKUP([1]Tables!$HN$4,'[1]RA Output'!$AY$4:$AY$5,'[1]RA Output'!AZ$4:AZ$5,0)
+ SUMPRODUCT((rng_out_mail_ind = $B159) * (rng_out_ds = $C159) * (rng_out_sel_sp_ind = $D159) * (rng_out_sel_excl_ind = $F159) * (rng_out_mafadj_post_yr1*rng_out_340B) * (rng_out_sel_excl_yr_ind = [1]Tables!$HN$5))*_xlfn.XLOOKUP([1]Tables!$HN$5,'[1]RA Output'!$AY$4:$AY$5,'[1]RA Output'!AZ$4:AZ$5,0), 0))/[1]Tables!$AT$4)/AQ159, 0)</f>
        <v>0</v>
      </c>
      <c r="DJ159" s="369" cm="1">
        <f t="array" aca="1" ref="DJ159" ca="1">IFERROR(((
SUMPRODUCT((rng_out_mail_ind = $B159) * (rng_out_ds = $C159) * (rng_out_sel_sp_ind = $D159)   * (rng_out_sel_excl_ind = $E159) * (rng_out_mafadj_post_yr2*rng_out_340B)) +
IF([1]Tables!$C$16=[1]Tables!$CF$4, SUMPRODUCT((rng_out_mail_ind = $B159) * (rng_out_ds = $C159) * (rng_out_sel_sp_ind = $D159) * (rng_out_sel_excl_ind = $F159) * (rng_out_mafadj_post_yr2*rng_out_340B) * (rng_out_sel_excl_yr_ind = ""))
+ SUMPRODUCT((rng_out_mail_ind = $B159) * (rng_out_ds = $C159) * (rng_out_sel_sp_ind = $D159) * (rng_out_sel_excl_ind = $F159) * (rng_out_mafadj_post_yr2*rng_out_340B) * (rng_out_sel_excl_yr_ind = [1]Tables!$HN$4))*_xlfn.XLOOKUP([1]Tables!$HN$4,'[1]RA Output'!$AY$4:$AY$5,'[1]RA Output'!BA$4:BA$5,0)
+ SUMPRODUCT((rng_out_mail_ind = $B159) * (rng_out_ds = $C159) * (rng_out_sel_sp_ind = $D159) * (rng_out_sel_excl_ind = $F159) * (rng_out_mafadj_post_yr2*rng_out_340B) * (rng_out_sel_excl_yr_ind = [1]Tables!$HN$5))*_xlfn.XLOOKUP([1]Tables!$HN$5,'[1]RA Output'!$AY$4:$AY$5,'[1]RA Output'!BA$4:BA$5,0), 0))/[1]Tables!$AT$4)/AR159, 0)</f>
        <v>0</v>
      </c>
      <c r="DK159" s="369" cm="1">
        <f t="array" aca="1" ref="DK159" ca="1">IFERROR(((
SUMPRODUCT((rng_out_mail_ind = $B159) * (rng_out_ds = $C159) * (rng_out_sel_sp_ind = $D159)   * (rng_out_sel_excl_ind = $E159) * (rng_out_mafadj_post_yr3*rng_out_340B)) +
IF([1]Tables!$C$16=[1]Tables!$CF$4, SUMPRODUCT((rng_out_mail_ind = $B159) * (rng_out_ds = $C159) * (rng_out_sel_sp_ind = $D159) * (rng_out_sel_excl_ind = $F159) * (rng_out_mafadj_post_yr3*rng_out_340B) * (rng_out_sel_excl_yr_ind = ""))
+ SUMPRODUCT((rng_out_mail_ind = $B159) * (rng_out_ds = $C159) * (rng_out_sel_sp_ind = $D159) * (rng_out_sel_excl_ind = $F159) * (rng_out_mafadj_post_yr3*rng_out_340B) * (rng_out_sel_excl_yr_ind = [1]Tables!$HN$4))*_xlfn.XLOOKUP([1]Tables!$HN$4,'[1]RA Output'!$AY$4:$AY$5,'[1]RA Output'!BB$4:BB$5,0)
+ SUMPRODUCT((rng_out_mail_ind = $B159) * (rng_out_ds = $C159) * (rng_out_sel_sp_ind = $D159) * (rng_out_sel_excl_ind = $F159) * (rng_out_mafadj_post_yr3*rng_out_340B) * (rng_out_sel_excl_yr_ind = [1]Tables!$HN$5))*_xlfn.XLOOKUP([1]Tables!$HN$5,'[1]RA Output'!$AY$4:$AY$5,'[1]RA Output'!BB$4:BB$5,0), 0))/[1]Tables!$AT$4)/AS159, 0)</f>
        <v>0</v>
      </c>
      <c r="DL159" s="369" cm="1">
        <f t="array" aca="1" ref="DL159" ca="1">IFERROR(((
SUMPRODUCT((rng_out_mail_ind = $B159) * (rng_out_ds = $C159) * (rng_out_sel_sp_ind = $D159)   * (rng_out_sel_excl_ind = $E159) * (rng_out_mafadj_post_yr4*rng_out_340B)) +
IF([1]Tables!$C$16=[1]Tables!$CF$4, SUMPRODUCT((rng_out_mail_ind = $B159) * (rng_out_ds = $C159) * (rng_out_sel_sp_ind = $D159) * (rng_out_sel_excl_ind = $F159) * (rng_out_mafadj_post_yr4*rng_out_340B) * (rng_out_sel_excl_yr_ind = ""))
+ SUMPRODUCT((rng_out_mail_ind = $B159) * (rng_out_ds = $C159) * (rng_out_sel_sp_ind = $D159) * (rng_out_sel_excl_ind = $F159) * (rng_out_mafadj_post_yr4*rng_out_340B) * (rng_out_sel_excl_yr_ind = [1]Tables!$HN$4))*_xlfn.XLOOKUP([1]Tables!$HN$4,'[1]RA Output'!$AY$4:$AY$5,'[1]RA Output'!BC$4:BC$5,0)
+ SUMPRODUCT((rng_out_mail_ind = $B159) * (rng_out_ds = $C159) * (rng_out_sel_sp_ind = $D159) * (rng_out_sel_excl_ind = $F159) * (rng_out_mafadj_post_yr4*rng_out_340B) * (rng_out_sel_excl_yr_ind = [1]Tables!$HN$5))*_xlfn.XLOOKUP([1]Tables!$HN$5,'[1]RA Output'!$AY$4:$AY$5,'[1]RA Output'!BC$4:BC$5,0), 0))/[1]Tables!$AT$4)/AT159, 0)</f>
        <v>0</v>
      </c>
      <c r="DM159" s="370" cm="1">
        <f t="array" aca="1" ref="DM159" ca="1">IFERROR(((
SUMPRODUCT((rng_out_mail_ind = $B159) * (rng_out_ds = $C159) * (rng_out_sel_sp_ind = $D159)   * (rng_out_sel_excl_ind = $E159) * (rng_out_mafadj_post_yr5*rng_out_340B)) +
IF([1]Tables!$C$16=[1]Tables!$CF$4, SUMPRODUCT((rng_out_mail_ind = $B159) * (rng_out_ds = $C159) * (rng_out_sel_sp_ind = $D159) * (rng_out_sel_excl_ind = $F159) * (rng_out_mafadj_post_yr5*rng_out_340B) * (rng_out_sel_excl_yr_ind = ""))
+ SUMPRODUCT((rng_out_mail_ind = $B159) * (rng_out_ds = $C159) * (rng_out_sel_sp_ind = $D159) * (rng_out_sel_excl_ind = $F159) * (rng_out_mafadj_post_yr5*rng_out_340B) * (rng_out_sel_excl_yr_ind = [1]Tables!$HN$4))*_xlfn.XLOOKUP([1]Tables!$HN$4,'[1]RA Output'!$AY$4:$AY$5,'[1]RA Output'!BD$4:BD$5,0)
+ SUMPRODUCT((rng_out_mail_ind = $B159) * (rng_out_ds = $C159) * (rng_out_sel_sp_ind = $D159) * (rng_out_sel_excl_ind = $F159) * (rng_out_mafadj_post_yr5*rng_out_340B) * (rng_out_sel_excl_yr_ind = [1]Tables!$HN$5))*_xlfn.XLOOKUP([1]Tables!$HN$5,'[1]RA Output'!$AY$4:$AY$5,'[1]RA Output'!BD$4:BD$5,0), 0))/[1]Tables!$AT$4)/AU159, 0)</f>
        <v>0</v>
      </c>
    </row>
    <row r="160" spans="1:117" x14ac:dyDescent="0.35">
      <c r="B160" s="105" t="s">
        <v>11</v>
      </c>
      <c r="C160" s="106">
        <v>90</v>
      </c>
      <c r="D160" s="106" t="s">
        <v>12</v>
      </c>
      <c r="E160" s="105" t="s">
        <v>12</v>
      </c>
      <c r="F160" s="107" t="s">
        <v>13</v>
      </c>
      <c r="H160" s="108" t="s">
        <v>15</v>
      </c>
      <c r="I160" s="72" t="e" cm="1">
        <f t="array" aca="1" ref="I160" ca="1">SUMIFS(rng_out_mafadj_pre_yr1, rng_out_mail_ind, $B160, rng_out_ds, $C160,rng_out_sel_sp_ind, $D160, rng_out_sel_excl_ind,$E160) +_xlfn.SINGLE(
IF([1]Tables!$C$16=[1]Tables!$CF$4, SUMIFS(rng_out_mafadj_pre_yr1,rng_out_sel_excl_yr_ind, "",rng_out_mail_ind,$B160,rng_out_ds,$C160,rng_out_sel_sp_ind,$D160,rng_out_sel_excl_ind,$F160)+
SUMIFS(rng_out_mafadj_pre_yr1,rng_out_sel_excl_yr_ind, [1]Tables!$HN$4,rng_out_mail_ind,$B160,rng_out_ds,$C160,rng_out_sel_sp_ind,$D160,rng_out_sel_excl_ind,$F160)*         _xlfn.XLOOKUP([1]Tables!$HN$4,'[1]RA Output'!$AY$4:$AY$5,'[1]RA Output'!AZ$4:AZ$5,0)  +
SUMIFS(rng_out_mafadj_pre_yr1,rng_out_sel_excl_yr_ind, [1]Tables!$HN$5,rng_out_mail_ind,$B160,rng_out_ds,$C160,rng_out_sel_sp_ind,$D160,rng_out_sel_excl_ind,$F160)* _xlfn.XLOOKUP([1]Tables!$HN$5,'[1]RA Output'!$AY$4:$AY$5,'[1]RA Output'!AZ$4:AZ$5,0), 0))</f>
        <v>#VALUE!</v>
      </c>
      <c r="J160" s="5" t="e" cm="1">
        <f t="array" aca="1" ref="J160" ca="1">SUMIFS(rng_out_mafadj_pre_yr2, rng_out_mail_ind, $B160, rng_out_ds, $C160,rng_out_sel_sp_ind, $D160, rng_out_sel_excl_ind,$E160) +_xlfn.SINGLE(
IF([1]Tables!$C$16=[1]Tables!$CF$4, SUMIFS(rng_out_mafadj_pre_yr2,rng_out_sel_excl_yr_ind, "",rng_out_mail_ind,$B160,rng_out_ds,$C160,rng_out_sel_sp_ind,$D160,rng_out_sel_excl_ind,$F160)+
SUMIFS(rng_out_mafadj_pre_yr2,rng_out_sel_excl_yr_ind, [1]Tables!$HN$4,rng_out_mail_ind,$B160,rng_out_ds,$C160,rng_out_sel_sp_ind,$D160,rng_out_sel_excl_ind,$F160)*         _xlfn.XLOOKUP([1]Tables!$HN$4,'[1]RA Output'!$AY$4:$AY$5,'[1]RA Output'!BA$4:BA$5,0)  +
SUMIFS(rng_out_mafadj_pre_yr2,rng_out_sel_excl_yr_ind, [1]Tables!$HN$5,rng_out_mail_ind,$B160,rng_out_ds,$C160,rng_out_sel_sp_ind,$D160,rng_out_sel_excl_ind,$F160)* _xlfn.XLOOKUP([1]Tables!$HN$5,'[1]RA Output'!$AY$4:$AY$5,'[1]RA Output'!BA$4:BA$5,0), 0))</f>
        <v>#VALUE!</v>
      </c>
      <c r="K160" s="5" t="e" cm="1">
        <f t="array" aca="1" ref="K160" ca="1">SUMIFS(rng_out_mafadj_pre_yr3, rng_out_mail_ind, $B160, rng_out_ds, $C160,rng_out_sel_sp_ind, $D160, rng_out_sel_excl_ind,$E160) +_xlfn.SINGLE(
IF([1]Tables!$C$16=[1]Tables!$CF$4, SUMIFS(rng_out_mafadj_pre_yr3,rng_out_sel_excl_yr_ind, "",rng_out_mail_ind,$B160,rng_out_ds,$C160,rng_out_sel_sp_ind,$D160,rng_out_sel_excl_ind,$F160)+
SUMIFS(rng_out_mafadj_pre_yr3,rng_out_sel_excl_yr_ind, [1]Tables!$HN$4,rng_out_mail_ind,$B160,rng_out_ds,$C160,rng_out_sel_sp_ind,$D160,rng_out_sel_excl_ind,$F160)*         _xlfn.XLOOKUP([1]Tables!$HN$4,'[1]RA Output'!$AY$4:$AY$5,'[1]RA Output'!BB$4:BB$5,0)  +
SUMIFS(rng_out_mafadj_pre_yr3,rng_out_sel_excl_yr_ind, [1]Tables!$HN$5,rng_out_mail_ind,$B160,rng_out_ds,$C160,rng_out_sel_sp_ind,$D160,rng_out_sel_excl_ind,$F160)* _xlfn.XLOOKUP([1]Tables!$HN$5,'[1]RA Output'!$AY$4:$AY$5,'[1]RA Output'!BB$4:BB$5,0), 0))</f>
        <v>#VALUE!</v>
      </c>
      <c r="L160" s="5" t="e" cm="1">
        <f t="array" aca="1" ref="L160" ca="1">SUMIFS(rng_out_mafadj_pre_yr4, rng_out_mail_ind, $B160, rng_out_ds, $C160,rng_out_sel_sp_ind, $D160, rng_out_sel_excl_ind,$E160) +_xlfn.SINGLE(
IF([1]Tables!$C$16=[1]Tables!$CF$4, SUMIFS(rng_out_mafadj_pre_yr4,rng_out_sel_excl_yr_ind, "",rng_out_mail_ind,$B160,rng_out_ds,$C160,rng_out_sel_sp_ind,$D160,rng_out_sel_excl_ind,$F160)+
SUMIFS(rng_out_mafadj_pre_yr4,rng_out_sel_excl_yr_ind, [1]Tables!$HN$4,rng_out_mail_ind,$B160,rng_out_ds,$C160,rng_out_sel_sp_ind,$D160,rng_out_sel_excl_ind,$F160)*         _xlfn.XLOOKUP([1]Tables!$HN$4,'[1]RA Output'!$AY$4:$AY$5,'[1]RA Output'!BC$4:BC$5,0)  +
SUMIFS(rng_out_mafadj_pre_yr4,rng_out_sel_excl_yr_ind, [1]Tables!$HN$5,rng_out_mail_ind,$B160,rng_out_ds,$C160,rng_out_sel_sp_ind,$D160,rng_out_sel_excl_ind,$F160)* _xlfn.XLOOKUP([1]Tables!$HN$5,'[1]RA Output'!$AY$4:$AY$5,'[1]RA Output'!BC$4:BC$5,0), 0))</f>
        <v>#VALUE!</v>
      </c>
      <c r="M160" s="73" t="e" cm="1">
        <f t="array" aca="1" ref="M160" ca="1">SUMIFS(rng_out_mafadj_pre_yr5, rng_out_mail_ind, $B160, rng_out_ds, $C160,rng_out_sel_sp_ind, $D160, rng_out_sel_excl_ind,$E160) +_xlfn.SINGLE(
IF([1]Tables!$C$16=[1]Tables!$CF$4, SUMIFS(rng_out_mafadj_pre_yr5,rng_out_sel_excl_yr_ind, "",rng_out_mail_ind,$B160,rng_out_ds,$C160,rng_out_sel_sp_ind,$D160,rng_out_sel_excl_ind,$F160)+
SUMIFS(rng_out_mafadj_pre_yr5,rng_out_sel_excl_yr_ind, [1]Tables!$HN$4,rng_out_mail_ind,$B160,rng_out_ds,$C160,rng_out_sel_sp_ind,$D160,rng_out_sel_excl_ind,$F160)*         _xlfn.XLOOKUP([1]Tables!$HN$4,'[1]RA Output'!$AY$4:$AY$5,'[1]RA Output'!BD$4:BD$5,0)  +
SUMIFS(rng_out_mafadj_pre_yr5,rng_out_sel_excl_yr_ind, [1]Tables!$HN$5,rng_out_mail_ind,$B160,rng_out_ds,$C160,rng_out_sel_sp_ind,$D160,rng_out_sel_excl_ind,$F160)* _xlfn.XLOOKUP([1]Tables!$HN$5,'[1]RA Output'!$AY$4:$AY$5,'[1]RA Output'!BD$4:BD$5,0), 0))</f>
        <v>#VALUE!</v>
      </c>
      <c r="N160" s="74">
        <f ca="1">IFERROR(I160/N$59, 0)</f>
        <v>0</v>
      </c>
      <c r="O160" s="75">
        <f ca="1">IFERROR(J160/O$59, 0)</f>
        <v>0</v>
      </c>
      <c r="P160" s="75">
        <f ca="1">IFERROR(K160/P$59, 0)</f>
        <v>0</v>
      </c>
      <c r="Q160" s="75">
        <f ca="1">IFERROR(L160/Q$59, 0)</f>
        <v>0</v>
      </c>
      <c r="R160" s="76">
        <f ca="1">IFERROR(M160/R$59, 0)</f>
        <v>0</v>
      </c>
      <c r="S160" s="74">
        <f ca="1">IFERROR(I160/S$59, 0)</f>
        <v>0</v>
      </c>
      <c r="T160" s="75">
        <f ca="1">IFERROR(J160/T$59, 0)</f>
        <v>0</v>
      </c>
      <c r="U160" s="75">
        <f ca="1">IFERROR(K160/U$59, 0)</f>
        <v>0</v>
      </c>
      <c r="V160" s="75">
        <f ca="1">IFERROR(L160/V$59, 0)</f>
        <v>0</v>
      </c>
      <c r="W160" s="76">
        <f ca="1">IFERROR(M160/W$59, 0)</f>
        <v>0</v>
      </c>
      <c r="Y160" s="109" t="s">
        <v>15</v>
      </c>
      <c r="Z160" s="78">
        <f ca="1">IFERROR(I160/[1]Tables!$AT$4, 0)</f>
        <v>0</v>
      </c>
      <c r="AA160" s="79">
        <f ca="1">IFERROR(J160/[1]Tables!$AT$4, 0)</f>
        <v>0</v>
      </c>
      <c r="AB160" s="79">
        <f ca="1">IFERROR(K160/[1]Tables!$AT$4, 0)</f>
        <v>0</v>
      </c>
      <c r="AC160" s="79">
        <f ca="1">IFERROR(L160/[1]Tables!$AT$4, 0)</f>
        <v>0</v>
      </c>
      <c r="AD160" s="80">
        <f ca="1">IFERROR(M160/[1]Tables!$AT$4, 0)</f>
        <v>0</v>
      </c>
      <c r="AE160" s="81">
        <f ca="1">IFERROR(N160/[1]Tables!$AT$4, 0)</f>
        <v>0</v>
      </c>
      <c r="AF160" s="75">
        <f ca="1">IFERROR(O160/[1]Tables!$AT$4, 0)</f>
        <v>0</v>
      </c>
      <c r="AG160" s="75">
        <f ca="1">IFERROR(P160/[1]Tables!$AT$4, 0)</f>
        <v>0</v>
      </c>
      <c r="AH160" s="75">
        <f ca="1">IFERROR(Q160/[1]Tables!$AT$4, 0)</f>
        <v>0</v>
      </c>
      <c r="AI160" s="82">
        <f ca="1">IFERROR(R160/[1]Tables!$AT$4, 0)</f>
        <v>0</v>
      </c>
      <c r="AJ160" s="81">
        <f ca="1">IFERROR(S160/[1]Tables!$AT$4, 0)</f>
        <v>0</v>
      </c>
      <c r="AK160" s="75">
        <f ca="1">IFERROR(T160/[1]Tables!$AT$4, 0)</f>
        <v>0</v>
      </c>
      <c r="AL160" s="75">
        <f ca="1">IFERROR(U160/[1]Tables!$AT$4, 0)</f>
        <v>0</v>
      </c>
      <c r="AM160" s="75">
        <f ca="1">IFERROR(V160/[1]Tables!$AT$4, 0)</f>
        <v>0</v>
      </c>
      <c r="AN160" s="82">
        <f ca="1">IFERROR(W160/[1]Tables!$AT$4, 0)</f>
        <v>0</v>
      </c>
      <c r="AP160" s="110" t="s">
        <v>15</v>
      </c>
      <c r="AQ160" s="356" cm="1">
        <f t="array" aca="1" ref="AQ160" ca="1">_xlfn.SINGLE(IFERROR((SUMIFS(rng_out_mafadj_post_yr1, rng_out_mail_ind, $B160, rng_out_ds, $C160, rng_out_sel_sp_ind, $D160, rng_out_sel_excl_ind,$E160) +_xlfn.SINGLE(
IF([1]Tables!$C$16=[1]Tables!$CF$4, SUMIFS(rng_out_mafadj_post_yr1,rng_out_sel_excl_yr_ind, "",rng_out_mail_ind,$B160,rng_out_ds,$C160,rng_out_sel_sp_ind,$D160,rng_out_sel_excl_ind,$F160)+
SUMIFS(rng_out_mafadj_post_yr1,rng_out_sel_excl_yr_ind, [1]Tables!$HN$4,rng_out_mail_ind,$B160,rng_out_ds,$C160,rng_out_sel_sp_ind,$D160,rng_out_sel_excl_ind,$F160)*         _xlfn.XLOOKUP([1]Tables!$HN$4,'[1]RA Output'!$AY$4:$AY$5,'[1]RA Output'!AZ$4:AZ$5,0)  +
SUMIFS(rng_out_mafadj_post_yr1,rng_out_sel_excl_yr_ind, [1]Tables!$HN$5,rng_out_mail_ind,$B160,rng_out_ds,$C160,rng_out_sel_sp_ind,$D160,rng_out_sel_excl_ind,$F160)* _xlfn.XLOOKUP([1]Tables!$HN$5,'[1]RA Output'!$AY$4:$AY$5,'[1]RA Output'!AZ$4:AZ$5,0), 0)))/[1]Tables!$AT$4, 0))</f>
        <v>0</v>
      </c>
      <c r="AR160" s="5" cm="1">
        <f t="array" aca="1" ref="AR160" ca="1">_xlfn.SINGLE(IFERROR((SUMIFS(rng_out_mafadj_post_yr2, rng_out_mail_ind, $B160, rng_out_ds, $C160, rng_out_sel_sp_ind, $D160, rng_out_sel_excl_ind,$E160) +_xlfn.SINGLE(
IF([1]Tables!$C$16=[1]Tables!$CF$4, SUMIFS(rng_out_mafadj_post_yr2,rng_out_sel_excl_yr_ind, "",rng_out_mail_ind,$B160,rng_out_ds,$C160,rng_out_sel_sp_ind,$D160,rng_out_sel_excl_ind,$F160)+
SUMIFS(rng_out_mafadj_post_yr2,rng_out_sel_excl_yr_ind, [1]Tables!$HN$4,rng_out_mail_ind,$B160,rng_out_ds,$C160,rng_out_sel_sp_ind,$D160,rng_out_sel_excl_ind,$F160)*         _xlfn.XLOOKUP([1]Tables!$HN$4,'[1]RA Output'!$AY$4:$AY$5,'[1]RA Output'!BA$4:BA$5,0)  +
SUMIFS(rng_out_mafadj_post_yr2,rng_out_sel_excl_yr_ind, [1]Tables!$HN$5,rng_out_mail_ind,$B160,rng_out_ds,$C160,rng_out_sel_sp_ind,$D160,rng_out_sel_excl_ind,$F160)* _xlfn.XLOOKUP([1]Tables!$HN$5,'[1]RA Output'!$AY$4:$AY$5,'[1]RA Output'!BA$4:BA$5,0), 0)))/[1]Tables!$AT$4, 0))</f>
        <v>0</v>
      </c>
      <c r="AS160" s="5" cm="1">
        <f t="array" aca="1" ref="AS160" ca="1">_xlfn.SINGLE(IFERROR((SUMIFS(rng_out_mafadj_post_yr3, rng_out_mail_ind, $B160, rng_out_ds, $C160, rng_out_sel_sp_ind, $D160, rng_out_sel_excl_ind,$E160) +_xlfn.SINGLE(
IF([1]Tables!$C$16=[1]Tables!$CF$4, SUMIFS(rng_out_mafadj_post_yr3,rng_out_sel_excl_yr_ind, "",rng_out_mail_ind,$B160,rng_out_ds,$C160,rng_out_sel_sp_ind,$D160,rng_out_sel_excl_ind,$F160)+
SUMIFS(rng_out_mafadj_post_yr3,rng_out_sel_excl_yr_ind, [1]Tables!$HN$4,rng_out_mail_ind,$B160,rng_out_ds,$C160,rng_out_sel_sp_ind,$D160,rng_out_sel_excl_ind,$F160)*         _xlfn.XLOOKUP([1]Tables!$HN$4,'[1]RA Output'!$AY$4:$AY$5,'[1]RA Output'!BB$4:BB$5,0)  +
SUMIFS(rng_out_mafadj_post_yr3,rng_out_sel_excl_yr_ind, [1]Tables!$HN$5,rng_out_mail_ind,$B160,rng_out_ds,$C160,rng_out_sel_sp_ind,$D160,rng_out_sel_excl_ind,$F160)* _xlfn.XLOOKUP([1]Tables!$HN$5,'[1]RA Output'!$AY$4:$AY$5,'[1]RA Output'!BB$4:BB$5,0), 0)))/[1]Tables!$AT$4, 0))</f>
        <v>0</v>
      </c>
      <c r="AT160" s="5" cm="1">
        <f t="array" aca="1" ref="AT160" ca="1">_xlfn.SINGLE(IFERROR((SUMIFS(rng_out_mafadj_post_yr4, rng_out_mail_ind, $B160, rng_out_ds, $C160, rng_out_sel_sp_ind, $D160, rng_out_sel_excl_ind,$E160) +_xlfn.SINGLE(
IF([1]Tables!$C$16=[1]Tables!$CF$4, SUMIFS(rng_out_mafadj_post_yr4,rng_out_sel_excl_yr_ind, "",rng_out_mail_ind,$B160,rng_out_ds,$C160,rng_out_sel_sp_ind,$D160,rng_out_sel_excl_ind,$F160)+
SUMIFS(rng_out_mafadj_post_yr4,rng_out_sel_excl_yr_ind, [1]Tables!$HN$4,rng_out_mail_ind,$B160,rng_out_ds,$C160,rng_out_sel_sp_ind,$D160,rng_out_sel_excl_ind,$F160)*         _xlfn.XLOOKUP([1]Tables!$HN$4,'[1]RA Output'!$AY$4:$AY$5,'[1]RA Output'!BC$4:BC$5,0)  +
SUMIFS(rng_out_mafadj_post_yr4,rng_out_sel_excl_yr_ind, [1]Tables!$HN$5,rng_out_mail_ind,$B160,rng_out_ds,$C160,rng_out_sel_sp_ind,$D160,rng_out_sel_excl_ind,$F160)* _xlfn.XLOOKUP([1]Tables!$HN$5,'[1]RA Output'!$AY$4:$AY$5,'[1]RA Output'!BC$4:BC$5,0), 0)))/[1]Tables!$AT$4, 0))</f>
        <v>0</v>
      </c>
      <c r="AU160" s="85" cm="1">
        <f t="array" aca="1" ref="AU160" ca="1">_xlfn.SINGLE(IFERROR((SUMIFS(rng_out_mafadj_post_yr5, rng_out_mail_ind, $B160, rng_out_ds, $C160, rng_out_sel_sp_ind, $D160, rng_out_sel_excl_ind,$E160) +_xlfn.SINGLE(
IF([1]Tables!$C$16=[1]Tables!$CF$4, SUMIFS(rng_out_mafadj_post_yr5,rng_out_sel_excl_yr_ind, "",rng_out_mail_ind,$B160,rng_out_ds,$C160,rng_out_sel_sp_ind,$D160,rng_out_sel_excl_ind,$F160)+
SUMIFS(rng_out_mafadj_post_yr5,rng_out_sel_excl_yr_ind, [1]Tables!$HN$4,rng_out_mail_ind,$B160,rng_out_ds,$C160,rng_out_sel_sp_ind,$D160,rng_out_sel_excl_ind,$F160)*         _xlfn.XLOOKUP([1]Tables!$HN$4,'[1]RA Output'!$AY$4:$AY$5,'[1]RA Output'!BD$4:BD$5,0)  +
SUMIFS(rng_out_mafadj_post_yr5,rng_out_sel_excl_yr_ind, [1]Tables!$HN$5,rng_out_mail_ind,$B160,rng_out_ds,$C160,rng_out_sel_sp_ind,$D160,rng_out_sel_excl_ind,$F160)* _xlfn.XLOOKUP([1]Tables!$HN$5,'[1]RA Output'!$AY$4:$AY$5,'[1]RA Output'!BD$4:BD$5,0), 0)))/[1]Tables!$AT$4, 0))</f>
        <v>0</v>
      </c>
      <c r="AV160" s="86">
        <f ca="1">IFERROR(AQ160/AV$59, 0)</f>
        <v>0</v>
      </c>
      <c r="AW160" s="75">
        <f ca="1">IFERROR(AR160/AW$59, 0)</f>
        <v>0</v>
      </c>
      <c r="AX160" s="75">
        <f ca="1">IFERROR(AS160/AX$59, 0)</f>
        <v>0</v>
      </c>
      <c r="AY160" s="75">
        <f ca="1">IFERROR(AT160/AY$59, 0)</f>
        <v>0</v>
      </c>
      <c r="AZ160" s="87">
        <f ca="1">IFERROR(AU160/AZ$59, 0)</f>
        <v>0</v>
      </c>
      <c r="BA160" s="75">
        <f ca="1">IFERROR(AQ160/BA$59, 0)</f>
        <v>0</v>
      </c>
      <c r="BB160" s="75">
        <f ca="1">IFERROR(AR160/BB$59, 0)</f>
        <v>0</v>
      </c>
      <c r="BC160" s="75">
        <f ca="1">IFERROR(AS160/BC$59, 0)</f>
        <v>0</v>
      </c>
      <c r="BD160" s="75">
        <f ca="1">IFERROR(AT160/BD$59, 0)</f>
        <v>0</v>
      </c>
      <c r="BE160" s="87">
        <f ca="1">IFERROR(AU160/BE$59, 0)</f>
        <v>0</v>
      </c>
      <c r="BG160" s="111" t="s">
        <v>15</v>
      </c>
      <c r="BH160" s="97">
        <f t="shared" ca="1" si="152"/>
        <v>0</v>
      </c>
      <c r="BI160" s="79">
        <f t="shared" ca="1" si="152"/>
        <v>0</v>
      </c>
      <c r="BJ160" s="79">
        <f t="shared" ca="1" si="152"/>
        <v>0</v>
      </c>
      <c r="BK160" s="79">
        <f t="shared" ca="1" si="152"/>
        <v>0</v>
      </c>
      <c r="BL160" s="98">
        <f t="shared" ca="1" si="152"/>
        <v>0</v>
      </c>
      <c r="BM160" s="92">
        <f ca="1">IFERROR(BH160/BM$59, 0)</f>
        <v>0</v>
      </c>
      <c r="BN160" s="75">
        <f ca="1">IFERROR(BI160/BN$59, 0)</f>
        <v>0</v>
      </c>
      <c r="BO160" s="75">
        <f ca="1">IFERROR(BJ160/BO$59, 0)</f>
        <v>0</v>
      </c>
      <c r="BP160" s="75">
        <f ca="1">IFERROR(BK160/BP$59, 0)</f>
        <v>0</v>
      </c>
      <c r="BQ160" s="93">
        <f ca="1">IFERROR(BL160/BQ$59, 0)</f>
        <v>0</v>
      </c>
      <c r="BR160" s="92">
        <f ca="1">IFERROR(BH160/BR$59, 0)</f>
        <v>0</v>
      </c>
      <c r="BS160" s="75">
        <f ca="1">IFERROR(BI160/BS$59, 0)</f>
        <v>0</v>
      </c>
      <c r="BT160" s="75">
        <f ca="1">IFERROR(BJ160/BT$59, 0)</f>
        <v>0</v>
      </c>
      <c r="BU160" s="75">
        <f ca="1">IFERROR(BK160/BU$59, 0)</f>
        <v>0</v>
      </c>
      <c r="BV160" s="93">
        <f ca="1">IFERROR(BL160/BV$59, 0)</f>
        <v>0</v>
      </c>
      <c r="BX160" s="111" t="s">
        <v>15</v>
      </c>
      <c r="BY160" s="97" t="e">
        <f t="shared" ca="1" si="153"/>
        <v>#VALUE!</v>
      </c>
      <c r="BZ160" s="79" t="e">
        <f t="shared" ca="1" si="153"/>
        <v>#VALUE!</v>
      </c>
      <c r="CA160" s="79" t="e">
        <f t="shared" ca="1" si="153"/>
        <v>#VALUE!</v>
      </c>
      <c r="CB160" s="79" t="e">
        <f t="shared" ca="1" si="153"/>
        <v>#VALUE!</v>
      </c>
      <c r="CC160" s="98" t="e">
        <f t="shared" ca="1" si="153"/>
        <v>#VALUE!</v>
      </c>
      <c r="CD160" s="92">
        <f t="shared" ca="1" si="154"/>
        <v>0</v>
      </c>
      <c r="CE160" s="75">
        <f ca="1">BN160-DD160</f>
        <v>0</v>
      </c>
      <c r="CF160" s="75">
        <f t="shared" ca="1" si="154"/>
        <v>0</v>
      </c>
      <c r="CG160" s="75">
        <f t="shared" ca="1" si="154"/>
        <v>0</v>
      </c>
      <c r="CH160" s="93">
        <f t="shared" ca="1" si="154"/>
        <v>0</v>
      </c>
      <c r="CI160" s="92">
        <f t="shared" ca="1" si="155"/>
        <v>0</v>
      </c>
      <c r="CJ160" s="75">
        <f t="shared" ca="1" si="155"/>
        <v>0</v>
      </c>
      <c r="CK160" s="75">
        <f t="shared" ca="1" si="155"/>
        <v>0</v>
      </c>
      <c r="CL160" s="75">
        <f t="shared" ca="1" si="155"/>
        <v>0</v>
      </c>
      <c r="CM160" s="93">
        <f t="shared" ca="1" si="155"/>
        <v>0</v>
      </c>
      <c r="DC160" s="112" cm="1">
        <f t="array" aca="1" ref="DC160" ca="1">IFERROR(BM160-BM160*BR68*(1-INDEX([1]Tables!$EA$4:$EE$60,MATCH([1]Tables!$C$22&amp;$BX160,[1]Tables!$EA$4:$EA$60,0),[1]Tables!$EE$1))*(1-DI160)/CD59, 0)</f>
        <v>0</v>
      </c>
      <c r="DD160" s="113" cm="1">
        <f t="array" aca="1" ref="DD160" ca="1">IFERROR(BN160-BN160*BS68*(1-INDEX([1]Tables!$EA$4:$EE$60,MATCH([1]Tables!$C$22&amp;$BX160,[1]Tables!$EA$4:$EA$60,0),[1]Tables!$EE$1))*(1-DJ160)/CE59, 0)</f>
        <v>0</v>
      </c>
      <c r="DE160" s="113" cm="1">
        <f t="array" aca="1" ref="DE160" ca="1">IFERROR(BO160-BO160*BT68*(1-INDEX([1]Tables!$EA$4:$EE$60,MATCH([1]Tables!$C$22&amp;$BX160,[1]Tables!$EA$4:$EA$60,0),[1]Tables!$EE$1))*(1-DK160)/CF59, 0)</f>
        <v>0</v>
      </c>
      <c r="DF160" s="113" cm="1">
        <f t="array" aca="1" ref="DF160" ca="1">IFERROR(BP160-BP160*BU68*(1-INDEX([1]Tables!$EA$4:$EE$60,MATCH([1]Tables!$C$22&amp;$BX160,[1]Tables!$EA$4:$EA$60,0),[1]Tables!$EE$1))*(1-DL160)/CG59, 0)</f>
        <v>0</v>
      </c>
      <c r="DG160" s="114" cm="1">
        <f t="array" aca="1" ref="DG160" ca="1">IFERROR(BQ160-BQ160*BV68*(1-INDEX([1]Tables!$EA$4:$EE$60,MATCH([1]Tables!$C$22&amp;$BX160,[1]Tables!$EA$4:$EA$60,0),[1]Tables!$EE$1))*(1-DM160)/CH59, 0)</f>
        <v>0</v>
      </c>
      <c r="DI160" s="371" cm="1">
        <f t="array" aca="1" ref="DI160" ca="1">IFERROR(((
SUMPRODUCT((rng_out_mail_ind = $B160) * (rng_out_ds = $C160) * (rng_out_sel_sp_ind = $D160)   * (rng_out_sel_excl_ind = $E160) * (rng_out_mafadj_post_yr1*rng_out_340B)) +
IF([1]Tables!$C$16=[1]Tables!$CF$4, SUMPRODUCT((rng_out_mail_ind = $B160) * (rng_out_ds = $C160) * (rng_out_sel_sp_ind = $D160) * (rng_out_sel_excl_ind = $F160) * (rng_out_mafadj_post_yr1*rng_out_340B) * (rng_out_sel_excl_yr_ind = ""))
+ SUMPRODUCT((rng_out_mail_ind = $B160) * (rng_out_ds = $C160) * (rng_out_sel_sp_ind = $D160) * (rng_out_sel_excl_ind = $F160) * (rng_out_mafadj_post_yr1*rng_out_340B) * (rng_out_sel_excl_yr_ind = [1]Tables!$HN$4))*_xlfn.XLOOKUP([1]Tables!$HN$4,'[1]RA Output'!$AY$4:$AY$5,'[1]RA Output'!AZ$4:AZ$5,0)
+ SUMPRODUCT((rng_out_mail_ind = $B160) * (rng_out_ds = $C160) * (rng_out_sel_sp_ind = $D160) * (rng_out_sel_excl_ind = $F160) * (rng_out_mafadj_post_yr1*rng_out_340B) * (rng_out_sel_excl_yr_ind = [1]Tables!$HN$5))*_xlfn.XLOOKUP([1]Tables!$HN$5,'[1]RA Output'!$AY$4:$AY$5,'[1]RA Output'!AZ$4:AZ$5,0), 0))/[1]Tables!$AT$4)/AQ160, 0)</f>
        <v>0</v>
      </c>
      <c r="DJ160" s="372" cm="1">
        <f t="array" aca="1" ref="DJ160" ca="1">IFERROR(((
SUMPRODUCT((rng_out_mail_ind = $B160) * (rng_out_ds = $C160) * (rng_out_sel_sp_ind = $D160)   * (rng_out_sel_excl_ind = $E160) * (rng_out_mafadj_post_yr2*rng_out_340B)) +
IF([1]Tables!$C$16=[1]Tables!$CF$4, SUMPRODUCT((rng_out_mail_ind = $B160) * (rng_out_ds = $C160) * (rng_out_sel_sp_ind = $D160) * (rng_out_sel_excl_ind = $F160) * (rng_out_mafadj_post_yr2*rng_out_340B) * (rng_out_sel_excl_yr_ind = ""))
+ SUMPRODUCT((rng_out_mail_ind = $B160) * (rng_out_ds = $C160) * (rng_out_sel_sp_ind = $D160) * (rng_out_sel_excl_ind = $F160) * (rng_out_mafadj_post_yr2*rng_out_340B) * (rng_out_sel_excl_yr_ind = [1]Tables!$HN$4))*_xlfn.XLOOKUP([1]Tables!$HN$4,'[1]RA Output'!$AY$4:$AY$5,'[1]RA Output'!BA$4:BA$5,0)
+ SUMPRODUCT((rng_out_mail_ind = $B160) * (rng_out_ds = $C160) * (rng_out_sel_sp_ind = $D160) * (rng_out_sel_excl_ind = $F160) * (rng_out_mafadj_post_yr2*rng_out_340B) * (rng_out_sel_excl_yr_ind = [1]Tables!$HN$5))*_xlfn.XLOOKUP([1]Tables!$HN$5,'[1]RA Output'!$AY$4:$AY$5,'[1]RA Output'!BA$4:BA$5,0), 0))/[1]Tables!$AT$4)/AR160, 0)</f>
        <v>0</v>
      </c>
      <c r="DK160" s="372" cm="1">
        <f t="array" aca="1" ref="DK160" ca="1">IFERROR(((
SUMPRODUCT((rng_out_mail_ind = $B160) * (rng_out_ds = $C160) * (rng_out_sel_sp_ind = $D160)   * (rng_out_sel_excl_ind = $E160) * (rng_out_mafadj_post_yr3*rng_out_340B)) +
IF([1]Tables!$C$16=[1]Tables!$CF$4, SUMPRODUCT((rng_out_mail_ind = $B160) * (rng_out_ds = $C160) * (rng_out_sel_sp_ind = $D160) * (rng_out_sel_excl_ind = $F160) * (rng_out_mafadj_post_yr3*rng_out_340B) * (rng_out_sel_excl_yr_ind = ""))
+ SUMPRODUCT((rng_out_mail_ind = $B160) * (rng_out_ds = $C160) * (rng_out_sel_sp_ind = $D160) * (rng_out_sel_excl_ind = $F160) * (rng_out_mafadj_post_yr3*rng_out_340B) * (rng_out_sel_excl_yr_ind = [1]Tables!$HN$4))*_xlfn.XLOOKUP([1]Tables!$HN$4,'[1]RA Output'!$AY$4:$AY$5,'[1]RA Output'!BB$4:BB$5,0)
+ SUMPRODUCT((rng_out_mail_ind = $B160) * (rng_out_ds = $C160) * (rng_out_sel_sp_ind = $D160) * (rng_out_sel_excl_ind = $F160) * (rng_out_mafadj_post_yr3*rng_out_340B) * (rng_out_sel_excl_yr_ind = [1]Tables!$HN$5))*_xlfn.XLOOKUP([1]Tables!$HN$5,'[1]RA Output'!$AY$4:$AY$5,'[1]RA Output'!BB$4:BB$5,0), 0))/[1]Tables!$AT$4)/AS160, 0)</f>
        <v>0</v>
      </c>
      <c r="DL160" s="372" cm="1">
        <f t="array" aca="1" ref="DL160" ca="1">IFERROR(((
SUMPRODUCT((rng_out_mail_ind = $B160) * (rng_out_ds = $C160) * (rng_out_sel_sp_ind = $D160)   * (rng_out_sel_excl_ind = $E160) * (rng_out_mafadj_post_yr4*rng_out_340B)) +
IF([1]Tables!$C$16=[1]Tables!$CF$4, SUMPRODUCT((rng_out_mail_ind = $B160) * (rng_out_ds = $C160) * (rng_out_sel_sp_ind = $D160) * (rng_out_sel_excl_ind = $F160) * (rng_out_mafadj_post_yr4*rng_out_340B) * (rng_out_sel_excl_yr_ind = ""))
+ SUMPRODUCT((rng_out_mail_ind = $B160) * (rng_out_ds = $C160) * (rng_out_sel_sp_ind = $D160) * (rng_out_sel_excl_ind = $F160) * (rng_out_mafadj_post_yr4*rng_out_340B) * (rng_out_sel_excl_yr_ind = [1]Tables!$HN$4))*_xlfn.XLOOKUP([1]Tables!$HN$4,'[1]RA Output'!$AY$4:$AY$5,'[1]RA Output'!BC$4:BC$5,0)
+ SUMPRODUCT((rng_out_mail_ind = $B160) * (rng_out_ds = $C160) * (rng_out_sel_sp_ind = $D160) * (rng_out_sel_excl_ind = $F160) * (rng_out_mafadj_post_yr4*rng_out_340B) * (rng_out_sel_excl_yr_ind = [1]Tables!$HN$5))*_xlfn.XLOOKUP([1]Tables!$HN$5,'[1]RA Output'!$AY$4:$AY$5,'[1]RA Output'!BC$4:BC$5,0), 0))/[1]Tables!$AT$4)/AT160, 0)</f>
        <v>0</v>
      </c>
      <c r="DM160" s="373" cm="1">
        <f t="array" aca="1" ref="DM160" ca="1">IFERROR(((
SUMPRODUCT((rng_out_mail_ind = $B160) * (rng_out_ds = $C160) * (rng_out_sel_sp_ind = $D160)   * (rng_out_sel_excl_ind = $E160) * (rng_out_mafadj_post_yr5*rng_out_340B)) +
IF([1]Tables!$C$16=[1]Tables!$CF$4, SUMPRODUCT((rng_out_mail_ind = $B160) * (rng_out_ds = $C160) * (rng_out_sel_sp_ind = $D160) * (rng_out_sel_excl_ind = $F160) * (rng_out_mafadj_post_yr5*rng_out_340B) * (rng_out_sel_excl_yr_ind = ""))
+ SUMPRODUCT((rng_out_mail_ind = $B160) * (rng_out_ds = $C160) * (rng_out_sel_sp_ind = $D160) * (rng_out_sel_excl_ind = $F160) * (rng_out_mafadj_post_yr5*rng_out_340B) * (rng_out_sel_excl_yr_ind = [1]Tables!$HN$4))*_xlfn.XLOOKUP([1]Tables!$HN$4,'[1]RA Output'!$AY$4:$AY$5,'[1]RA Output'!BD$4:BD$5,0)
+ SUMPRODUCT((rng_out_mail_ind = $B160) * (rng_out_ds = $C160) * (rng_out_sel_sp_ind = $D160) * (rng_out_sel_excl_ind = $F160) * (rng_out_mafadj_post_yr5*rng_out_340B) * (rng_out_sel_excl_yr_ind = [1]Tables!$HN$5))*_xlfn.XLOOKUP([1]Tables!$HN$5,'[1]RA Output'!$AY$4:$AY$5,'[1]RA Output'!BD$4:BD$5,0), 0))/[1]Tables!$AT$4)/AU160, 0)</f>
        <v>0</v>
      </c>
    </row>
    <row r="161" spans="1:117" x14ac:dyDescent="0.35">
      <c r="B161" s="105" t="s">
        <v>16</v>
      </c>
      <c r="C161" s="106"/>
      <c r="D161" s="106" t="s">
        <v>12</v>
      </c>
      <c r="E161" s="105" t="s">
        <v>12</v>
      </c>
      <c r="F161" s="107" t="s">
        <v>13</v>
      </c>
      <c r="H161" s="118" t="s">
        <v>7</v>
      </c>
      <c r="I161" s="72" t="e" cm="1">
        <f t="array" aca="1" ref="I161" ca="1">SUMIFS(rng_out_mafadj_pre_yr1, rng_out_mail_ind, $B161,rng_out_sel_sp_ind, $D161, rng_out_sel_excl_ind,$E161) +_xlfn.SINGLE(
IF([1]Tables!$C$16=[1]Tables!$CF$4, SUMIFS(rng_out_mafadj_pre_yr1,rng_out_sel_excl_yr_ind, "",rng_out_mail_ind,$B161,rng_out_sel_sp_ind,$D161,rng_out_sel_excl_ind,$F161)+
SUMIFS(rng_out_mafadj_pre_yr1,rng_out_sel_excl_yr_ind, [1]Tables!$HN$4,rng_out_mail_ind,$B161,rng_out_sel_sp_ind,$D161,rng_out_sel_excl_ind,$F161)*         _xlfn.XLOOKUP([1]Tables!$HN$4,'[1]RA Output'!$AY$4:$AY$5,'[1]RA Output'!AZ$4:AZ$5,0)  +
SUMIFS(rng_out_mafadj_pre_yr1,rng_out_sel_excl_yr_ind, [1]Tables!$HN$5,rng_out_mail_ind,$B161,rng_out_sel_sp_ind,$D161,rng_out_sel_excl_ind,$F161)* _xlfn.XLOOKUP([1]Tables!$HN$5,'[1]RA Output'!$AY$4:$AY$5,'[1]RA Output'!AZ$4:AZ$5,0), 0))</f>
        <v>#VALUE!</v>
      </c>
      <c r="J161" s="5" t="e" cm="1">
        <f t="array" aca="1" ref="J161" ca="1">SUMIFS(rng_out_mafadj_pre_yr2, rng_out_mail_ind, $B161,rng_out_sel_sp_ind, $D161, rng_out_sel_excl_ind,$E161) +_xlfn.SINGLE(
IF([1]Tables!$C$16=[1]Tables!$CF$4, SUMIFS(rng_out_mafadj_pre_yr2,rng_out_sel_excl_yr_ind, "",rng_out_mail_ind,$B161,rng_out_sel_sp_ind,$D161,rng_out_sel_excl_ind,$F161)+
SUMIFS(rng_out_mafadj_pre_yr2,rng_out_sel_excl_yr_ind, [1]Tables!$HN$4,rng_out_mail_ind,$B161,rng_out_sel_sp_ind,$D161,rng_out_sel_excl_ind,$F161)*         _xlfn.XLOOKUP([1]Tables!$HN$4,'[1]RA Output'!$AY$4:$AY$5,'[1]RA Output'!BA$4:BA$5,0)  +
SUMIFS(rng_out_mafadj_pre_yr2,rng_out_sel_excl_yr_ind, [1]Tables!$HN$5,rng_out_mail_ind,$B161,rng_out_sel_sp_ind,$D161,rng_out_sel_excl_ind,$F161)* _xlfn.XLOOKUP([1]Tables!$HN$5,'[1]RA Output'!$AY$4:$AY$5,'[1]RA Output'!BA$4:BA$5,0), 0))</f>
        <v>#VALUE!</v>
      </c>
      <c r="K161" s="5" t="e" cm="1">
        <f t="array" aca="1" ref="K161" ca="1">SUMIFS(rng_out_mafadj_pre_yr3, rng_out_mail_ind, $B161,rng_out_sel_sp_ind, $D161, rng_out_sel_excl_ind,$E161) +_xlfn.SINGLE(
IF([1]Tables!$C$16=[1]Tables!$CF$4, SUMIFS(rng_out_mafadj_pre_yr3,rng_out_sel_excl_yr_ind, "",rng_out_mail_ind,$B161,rng_out_sel_sp_ind,$D161,rng_out_sel_excl_ind,$F161)+
SUMIFS(rng_out_mafadj_pre_yr3,rng_out_sel_excl_yr_ind, [1]Tables!$HN$4,rng_out_mail_ind,$B161,rng_out_sel_sp_ind,$D161,rng_out_sel_excl_ind,$F161)*         _xlfn.XLOOKUP([1]Tables!$HN$4,'[1]RA Output'!$AY$4:$AY$5,'[1]RA Output'!BB$4:BB$5,0)  +
SUMIFS(rng_out_mafadj_pre_yr3,rng_out_sel_excl_yr_ind, [1]Tables!$HN$5,rng_out_mail_ind,$B161,rng_out_sel_sp_ind,$D161,rng_out_sel_excl_ind,$F161)* _xlfn.XLOOKUP([1]Tables!$HN$5,'[1]RA Output'!$AY$4:$AY$5,'[1]RA Output'!BB$4:BB$5,0), 0))</f>
        <v>#VALUE!</v>
      </c>
      <c r="L161" s="5" t="e" cm="1">
        <f t="array" aca="1" ref="L161" ca="1">SUMIFS(rng_out_mafadj_pre_yr4, rng_out_mail_ind, $B161,rng_out_sel_sp_ind, $D161, rng_out_sel_excl_ind,$E161) +_xlfn.SINGLE(
IF([1]Tables!$C$16=[1]Tables!$CF$4, SUMIFS(rng_out_mafadj_pre_yr4,rng_out_sel_excl_yr_ind, "",rng_out_mail_ind,$B161,rng_out_sel_sp_ind,$D161,rng_out_sel_excl_ind,$F161)+
SUMIFS(rng_out_mafadj_pre_yr4,rng_out_sel_excl_yr_ind, [1]Tables!$HN$4,rng_out_mail_ind,$B161,rng_out_sel_sp_ind,$D161,rng_out_sel_excl_ind,$F161)*         _xlfn.XLOOKUP([1]Tables!$HN$4,'[1]RA Output'!$AY$4:$AY$5,'[1]RA Output'!BC$4:BC$5,0)  +
SUMIFS(rng_out_mafadj_pre_yr4,rng_out_sel_excl_yr_ind, [1]Tables!$HN$5,rng_out_mail_ind,$B161,rng_out_sel_sp_ind,$D161,rng_out_sel_excl_ind,$F161)* _xlfn.XLOOKUP([1]Tables!$HN$5,'[1]RA Output'!$AY$4:$AY$5,'[1]RA Output'!BC$4:BC$5,0), 0))</f>
        <v>#VALUE!</v>
      </c>
      <c r="M161" s="73" t="e" cm="1">
        <f t="array" aca="1" ref="M161" ca="1">SUMIFS(rng_out_mafadj_pre_yr5, rng_out_mail_ind, $B161,rng_out_sel_sp_ind, $D161, rng_out_sel_excl_ind,$E161) +_xlfn.SINGLE(
IF([1]Tables!$C$16=[1]Tables!$CF$4, SUMIFS(rng_out_mafadj_pre_yr5,rng_out_sel_excl_yr_ind, "",rng_out_mail_ind,$B161,rng_out_sel_sp_ind,$D161,rng_out_sel_excl_ind,$F161)+
SUMIFS(rng_out_mafadj_pre_yr5,rng_out_sel_excl_yr_ind, [1]Tables!$HN$4,rng_out_mail_ind,$B161,rng_out_sel_sp_ind,$D161,rng_out_sel_excl_ind,$F161)*         _xlfn.XLOOKUP([1]Tables!$HN$4,'[1]RA Output'!$AY$4:$AY$5,'[1]RA Output'!BD$4:BD$5,0)  +
SUMIFS(rng_out_mafadj_pre_yr5,rng_out_sel_excl_yr_ind, [1]Tables!$HN$5,rng_out_mail_ind,$B161,rng_out_sel_sp_ind,$D161,rng_out_sel_excl_ind,$F161)* _xlfn.XLOOKUP([1]Tables!$HN$5,'[1]RA Output'!$AY$4:$AY$5,'[1]RA Output'!BD$4:BD$5,0), 0))</f>
        <v>#VALUE!</v>
      </c>
      <c r="N161" s="74">
        <f ca="1">IFERROR(I161/N$60, 0)</f>
        <v>0</v>
      </c>
      <c r="O161" s="75">
        <f ca="1">IFERROR(J161/O$60, 0)</f>
        <v>0</v>
      </c>
      <c r="P161" s="75">
        <f ca="1">IFERROR(K161/P$60, 0)</f>
        <v>0</v>
      </c>
      <c r="Q161" s="75">
        <f ca="1">IFERROR(L161/Q$60, 0)</f>
        <v>0</v>
      </c>
      <c r="R161" s="76">
        <f ca="1">IFERROR(M161/R$60, 0)</f>
        <v>0</v>
      </c>
      <c r="S161" s="74">
        <f ca="1">IFERROR(I161/S$60, 0)</f>
        <v>0</v>
      </c>
      <c r="T161" s="75">
        <f ca="1">IFERROR(J161/T$60, 0)</f>
        <v>0</v>
      </c>
      <c r="U161" s="75">
        <f ca="1">IFERROR(K161/U$60, 0)</f>
        <v>0</v>
      </c>
      <c r="V161" s="75">
        <f ca="1">IFERROR(L161/V$60, 0)</f>
        <v>0</v>
      </c>
      <c r="W161" s="76">
        <f ca="1">IFERROR(M161/W$60, 0)</f>
        <v>0</v>
      </c>
      <c r="Y161" s="119" t="s">
        <v>7</v>
      </c>
      <c r="Z161" s="78">
        <f ca="1">IFERROR(I161/[1]Tables!$AT$4, 0)</f>
        <v>0</v>
      </c>
      <c r="AA161" s="79">
        <f ca="1">IFERROR(J161/[1]Tables!$AT$4, 0)</f>
        <v>0</v>
      </c>
      <c r="AB161" s="79">
        <f ca="1">IFERROR(K161/[1]Tables!$AT$4, 0)</f>
        <v>0</v>
      </c>
      <c r="AC161" s="79">
        <f ca="1">IFERROR(L161/[1]Tables!$AT$4, 0)</f>
        <v>0</v>
      </c>
      <c r="AD161" s="80">
        <f ca="1">IFERROR(M161/[1]Tables!$AT$4, 0)</f>
        <v>0</v>
      </c>
      <c r="AE161" s="81">
        <f ca="1">IFERROR(N161/[1]Tables!$AT$4, 0)</f>
        <v>0</v>
      </c>
      <c r="AF161" s="75">
        <f ca="1">IFERROR(O161/[1]Tables!$AT$4, 0)</f>
        <v>0</v>
      </c>
      <c r="AG161" s="75">
        <f ca="1">IFERROR(P161/[1]Tables!$AT$4, 0)</f>
        <v>0</v>
      </c>
      <c r="AH161" s="75">
        <f ca="1">IFERROR(Q161/[1]Tables!$AT$4, 0)</f>
        <v>0</v>
      </c>
      <c r="AI161" s="82">
        <f ca="1">IFERROR(R161/[1]Tables!$AT$4, 0)</f>
        <v>0</v>
      </c>
      <c r="AJ161" s="81">
        <f ca="1">IFERROR(S161/[1]Tables!$AT$4, 0)</f>
        <v>0</v>
      </c>
      <c r="AK161" s="75">
        <f ca="1">IFERROR(T161/[1]Tables!$AT$4, 0)</f>
        <v>0</v>
      </c>
      <c r="AL161" s="75">
        <f ca="1">IFERROR(U161/[1]Tables!$AT$4, 0)</f>
        <v>0</v>
      </c>
      <c r="AM161" s="75">
        <f ca="1">IFERROR(V161/[1]Tables!$AT$4, 0)</f>
        <v>0</v>
      </c>
      <c r="AN161" s="82">
        <f ca="1">IFERROR(W161/[1]Tables!$AT$4, 0)</f>
        <v>0</v>
      </c>
      <c r="AP161" s="120" t="s">
        <v>7</v>
      </c>
      <c r="AQ161" s="356" cm="1">
        <f t="array" aca="1" ref="AQ161" ca="1">_xlfn.SINGLE(IFERROR((SUMIFS(rng_out_mafadj_post_yr1, rng_out_mail_ind, $B161, rng_out_sel_sp_ind, $D161, rng_out_sel_excl_ind,$E161) +_xlfn.SINGLE(
IF([1]Tables!$C$16=[1]Tables!$CF$4, SUMIFS(rng_out_mafadj_post_yr1,rng_out_sel_excl_yr_ind, "",rng_out_mail_ind,$B161,rng_out_sel_sp_ind,$D161,rng_out_sel_excl_ind,$F161)+
SUMIFS(rng_out_mafadj_post_yr1,rng_out_sel_excl_yr_ind, [1]Tables!$HN$4,rng_out_mail_ind,$B161,rng_out_sel_sp_ind,$D161,rng_out_sel_excl_ind,$F161)*         _xlfn.XLOOKUP([1]Tables!$HN$4,'[1]RA Output'!$AY$4:$AY$5,'[1]RA Output'!AZ$4:AZ$5,0)  +
SUMIFS(rng_out_mafadj_post_yr1,rng_out_sel_excl_yr_ind, [1]Tables!$HN$5,rng_out_mail_ind,$B161,rng_out_sel_sp_ind,$D161,rng_out_sel_excl_ind,$F161)* _xlfn.XLOOKUP([1]Tables!$HN$5,'[1]RA Output'!$AY$4:$AY$5,'[1]RA Output'!AZ$4:AZ$5,0), 0)))/[1]Tables!$AT$4, 0))</f>
        <v>0</v>
      </c>
      <c r="AR161" s="5" cm="1">
        <f t="array" aca="1" ref="AR161" ca="1">_xlfn.SINGLE(IFERROR((SUMIFS(rng_out_mafadj_post_yr2, rng_out_mail_ind, $B161, rng_out_sel_sp_ind, $D161, rng_out_sel_excl_ind,$E161) +_xlfn.SINGLE(
IF([1]Tables!$C$16=[1]Tables!$CF$4, SUMIFS(rng_out_mafadj_post_yr2,rng_out_sel_excl_yr_ind, "",rng_out_mail_ind,$B161,rng_out_sel_sp_ind,$D161,rng_out_sel_excl_ind,$F161)+
SUMIFS(rng_out_mafadj_post_yr2,rng_out_sel_excl_yr_ind, [1]Tables!$HN$4,rng_out_mail_ind,$B161,rng_out_sel_sp_ind,$D161,rng_out_sel_excl_ind,$F161)*         _xlfn.XLOOKUP([1]Tables!$HN$4,'[1]RA Output'!$AY$4:$AY$5,'[1]RA Output'!BA$4:BA$5,0)  +
SUMIFS(rng_out_mafadj_post_yr2,rng_out_sel_excl_yr_ind, [1]Tables!$HN$5,rng_out_mail_ind,$B161,rng_out_sel_sp_ind,$D161,rng_out_sel_excl_ind,$F161)* _xlfn.XLOOKUP([1]Tables!$HN$5,'[1]RA Output'!$AY$4:$AY$5,'[1]RA Output'!BA$4:BA$5,0), 0)))/[1]Tables!$AT$4, 0))</f>
        <v>0</v>
      </c>
      <c r="AS161" s="5" cm="1">
        <f t="array" aca="1" ref="AS161" ca="1">_xlfn.SINGLE(IFERROR((SUMIFS(rng_out_mafadj_post_yr3, rng_out_mail_ind, $B161, rng_out_sel_sp_ind, $D161, rng_out_sel_excl_ind,$E161) +_xlfn.SINGLE(
IF([1]Tables!$C$16=[1]Tables!$CF$4, SUMIFS(rng_out_mafadj_post_yr3,rng_out_sel_excl_yr_ind, "",rng_out_mail_ind,$B161,rng_out_sel_sp_ind,$D161,rng_out_sel_excl_ind,$F161)+
SUMIFS(rng_out_mafadj_post_yr3,rng_out_sel_excl_yr_ind, [1]Tables!$HN$4,rng_out_mail_ind,$B161,rng_out_sel_sp_ind,$D161,rng_out_sel_excl_ind,$F161)*         _xlfn.XLOOKUP([1]Tables!$HN$4,'[1]RA Output'!$AY$4:$AY$5,'[1]RA Output'!BB$4:BB$5,0)  +
SUMIFS(rng_out_mafadj_post_yr3,rng_out_sel_excl_yr_ind, [1]Tables!$HN$5,rng_out_mail_ind,$B161,rng_out_sel_sp_ind,$D161,rng_out_sel_excl_ind,$F161)* _xlfn.XLOOKUP([1]Tables!$HN$5,'[1]RA Output'!$AY$4:$AY$5,'[1]RA Output'!BB$4:BB$5,0), 0)))/[1]Tables!$AT$4, 0))</f>
        <v>0</v>
      </c>
      <c r="AT161" s="5" cm="1">
        <f t="array" aca="1" ref="AT161" ca="1">_xlfn.SINGLE(IFERROR((SUMIFS(rng_out_mafadj_post_yr4, rng_out_mail_ind, $B161, rng_out_sel_sp_ind, $D161, rng_out_sel_excl_ind,$E161) +_xlfn.SINGLE(
IF([1]Tables!$C$16=[1]Tables!$CF$4, SUMIFS(rng_out_mafadj_post_yr4,rng_out_sel_excl_yr_ind, "",rng_out_mail_ind,$B161,rng_out_sel_sp_ind,$D161,rng_out_sel_excl_ind,$F161)+
SUMIFS(rng_out_mafadj_post_yr4,rng_out_sel_excl_yr_ind, [1]Tables!$HN$4,rng_out_mail_ind,$B161,rng_out_sel_sp_ind,$D161,rng_out_sel_excl_ind,$F161)*         _xlfn.XLOOKUP([1]Tables!$HN$4,'[1]RA Output'!$AY$4:$AY$5,'[1]RA Output'!BC$4:BC$5,0)  +
SUMIFS(rng_out_mafadj_post_yr4,rng_out_sel_excl_yr_ind, [1]Tables!$HN$5,rng_out_mail_ind,$B161,rng_out_sel_sp_ind,$D161,rng_out_sel_excl_ind,$F161)* _xlfn.XLOOKUP([1]Tables!$HN$5,'[1]RA Output'!$AY$4:$AY$5,'[1]RA Output'!BC$4:BC$5,0), 0)))/[1]Tables!$AT$4, 0))</f>
        <v>0</v>
      </c>
      <c r="AU161" s="85" cm="1">
        <f t="array" aca="1" ref="AU161" ca="1">_xlfn.SINGLE(IFERROR((SUMIFS(rng_out_mafadj_post_yr5, rng_out_mail_ind, $B161, rng_out_sel_sp_ind, $D161, rng_out_sel_excl_ind,$E161) +_xlfn.SINGLE(
IF([1]Tables!$C$16=[1]Tables!$CF$4, SUMIFS(rng_out_mafadj_post_yr5,rng_out_sel_excl_yr_ind, "",rng_out_mail_ind,$B161,rng_out_sel_sp_ind,$D161,rng_out_sel_excl_ind,$F161)+
SUMIFS(rng_out_mafadj_post_yr5,rng_out_sel_excl_yr_ind, [1]Tables!$HN$4,rng_out_mail_ind,$B161,rng_out_sel_sp_ind,$D161,rng_out_sel_excl_ind,$F161)*         _xlfn.XLOOKUP([1]Tables!$HN$4,'[1]RA Output'!$AY$4:$AY$5,'[1]RA Output'!BD$4:BD$5,0)  +
SUMIFS(rng_out_mafadj_post_yr5,rng_out_sel_excl_yr_ind, [1]Tables!$HN$5,rng_out_mail_ind,$B161,rng_out_sel_sp_ind,$D161,rng_out_sel_excl_ind,$F161)* _xlfn.XLOOKUP([1]Tables!$HN$5,'[1]RA Output'!$AY$4:$AY$5,'[1]RA Output'!BD$4:BD$5,0), 0)))/[1]Tables!$AT$4, 0))</f>
        <v>0</v>
      </c>
      <c r="AV161" s="86">
        <f ca="1">IFERROR(AQ161/AV$60, 0)</f>
        <v>0</v>
      </c>
      <c r="AW161" s="75">
        <f ca="1">IFERROR(AR161/AW$60, 0)</f>
        <v>0</v>
      </c>
      <c r="AX161" s="75">
        <f ca="1">IFERROR(AS161/AX$60, 0)</f>
        <v>0</v>
      </c>
      <c r="AY161" s="75">
        <f ca="1">IFERROR(AT161/AY$60, 0)</f>
        <v>0</v>
      </c>
      <c r="AZ161" s="87">
        <f ca="1">IFERROR(AU161/AZ$60, 0)</f>
        <v>0</v>
      </c>
      <c r="BA161" s="75">
        <f ca="1">IFERROR(AQ161/BA$60, 0)</f>
        <v>0</v>
      </c>
      <c r="BB161" s="75">
        <f ca="1">IFERROR(AR161/BB$60, 0)</f>
        <v>0</v>
      </c>
      <c r="BC161" s="75">
        <f ca="1">IFERROR(AS161/BC$60, 0)</f>
        <v>0</v>
      </c>
      <c r="BD161" s="75">
        <f ca="1">IFERROR(AT161/BD$60, 0)</f>
        <v>0</v>
      </c>
      <c r="BE161" s="87">
        <f ca="1">IFERROR(AU161/BE$60, 0)</f>
        <v>0</v>
      </c>
      <c r="BG161" s="121" t="s">
        <v>7</v>
      </c>
      <c r="BH161" s="97">
        <f t="shared" ca="1" si="152"/>
        <v>0</v>
      </c>
      <c r="BI161" s="79">
        <f t="shared" ca="1" si="152"/>
        <v>0</v>
      </c>
      <c r="BJ161" s="79">
        <f t="shared" ca="1" si="152"/>
        <v>0</v>
      </c>
      <c r="BK161" s="79">
        <f t="shared" ca="1" si="152"/>
        <v>0</v>
      </c>
      <c r="BL161" s="98">
        <f t="shared" ca="1" si="152"/>
        <v>0</v>
      </c>
      <c r="BM161" s="92">
        <f ca="1">IFERROR(BH161/BM$60, 0)</f>
        <v>0</v>
      </c>
      <c r="BN161" s="75">
        <f ca="1">IFERROR(BI161/BN$60, 0)</f>
        <v>0</v>
      </c>
      <c r="BO161" s="75">
        <f ca="1">IFERROR(BJ161/BO$60, 0)</f>
        <v>0</v>
      </c>
      <c r="BP161" s="75">
        <f ca="1">IFERROR(BK161/BP$60, 0)</f>
        <v>0</v>
      </c>
      <c r="BQ161" s="93">
        <f ca="1">IFERROR(BL161/BQ$60, 0)</f>
        <v>0</v>
      </c>
      <c r="BR161" s="92">
        <f ca="1">IFERROR(BH161/BR$60, 0)</f>
        <v>0</v>
      </c>
      <c r="BS161" s="75">
        <f ca="1">IFERROR(BI161/BS$60, 0)</f>
        <v>0</v>
      </c>
      <c r="BT161" s="75">
        <f ca="1">IFERROR(BJ161/BT$60, 0)</f>
        <v>0</v>
      </c>
      <c r="BU161" s="75">
        <f ca="1">IFERROR(BK161/BU$60, 0)</f>
        <v>0</v>
      </c>
      <c r="BV161" s="93">
        <f ca="1">IFERROR(BL161/BV$60, 0)</f>
        <v>0</v>
      </c>
      <c r="BX161" s="121" t="s">
        <v>7</v>
      </c>
      <c r="BY161" s="97" t="e">
        <f t="shared" ca="1" si="153"/>
        <v>#VALUE!</v>
      </c>
      <c r="BZ161" s="79" t="e">
        <f t="shared" ca="1" si="153"/>
        <v>#VALUE!</v>
      </c>
      <c r="CA161" s="79" t="e">
        <f t="shared" ca="1" si="153"/>
        <v>#VALUE!</v>
      </c>
      <c r="CB161" s="79" t="e">
        <f t="shared" ca="1" si="153"/>
        <v>#VALUE!</v>
      </c>
      <c r="CC161" s="98" t="e">
        <f t="shared" ca="1" si="153"/>
        <v>#VALUE!</v>
      </c>
      <c r="CD161" s="92">
        <f t="shared" ca="1" si="154"/>
        <v>0</v>
      </c>
      <c r="CE161" s="75">
        <f t="shared" ca="1" si="154"/>
        <v>0</v>
      </c>
      <c r="CF161" s="75">
        <f t="shared" ca="1" si="154"/>
        <v>0</v>
      </c>
      <c r="CG161" s="75">
        <f t="shared" ca="1" si="154"/>
        <v>0</v>
      </c>
      <c r="CH161" s="93">
        <f t="shared" ca="1" si="154"/>
        <v>0</v>
      </c>
      <c r="CI161" s="92">
        <f t="shared" ca="1" si="155"/>
        <v>0</v>
      </c>
      <c r="CJ161" s="75">
        <f t="shared" ca="1" si="155"/>
        <v>0</v>
      </c>
      <c r="CK161" s="75">
        <f t="shared" ca="1" si="155"/>
        <v>0</v>
      </c>
      <c r="CL161" s="75">
        <f t="shared" ca="1" si="155"/>
        <v>0</v>
      </c>
      <c r="CM161" s="93">
        <f t="shared" ca="1" si="155"/>
        <v>0</v>
      </c>
      <c r="DC161" s="112" cm="1">
        <f t="array" aca="1" ref="DC161" ca="1">IFERROR(BM161-BM161*BR69*(1-INDEX([1]Tables!$EA$4:$EE$60,MATCH([1]Tables!$C$22&amp;$BX161,[1]Tables!$EA$4:$EA$60,0),[1]Tables!$EE$1))*(1-DI161)/CD60, 0)</f>
        <v>0</v>
      </c>
      <c r="DD161" s="113" cm="1">
        <f t="array" aca="1" ref="DD161" ca="1">IFERROR(BN161-BN161*BS69*(1-INDEX([1]Tables!$EA$4:$EE$60,MATCH([1]Tables!$C$22&amp;$BX161,[1]Tables!$EA$4:$EA$60,0),[1]Tables!$EE$1))*(1-DJ161)/CE60, 0)</f>
        <v>0</v>
      </c>
      <c r="DE161" s="113" cm="1">
        <f t="array" aca="1" ref="DE161" ca="1">IFERROR(BO161-BO161*BT69*(1-INDEX([1]Tables!$EA$4:$EE$60,MATCH([1]Tables!$C$22&amp;$BX161,[1]Tables!$EA$4:$EA$60,0),[1]Tables!$EE$1))*(1-DK161)/CF60, 0)</f>
        <v>0</v>
      </c>
      <c r="DF161" s="113" cm="1">
        <f t="array" aca="1" ref="DF161" ca="1">IFERROR(BP161-BP161*BU69*(1-INDEX([1]Tables!$EA$4:$EE$60,MATCH([1]Tables!$C$22&amp;$BX161,[1]Tables!$EA$4:$EA$60,0),[1]Tables!$EE$1))*(1-DL161)/CG60, 0)</f>
        <v>0</v>
      </c>
      <c r="DG161" s="114" cm="1">
        <f t="array" aca="1" ref="DG161" ca="1">IFERROR(BQ161-BQ161*BV69*(1-INDEX([1]Tables!$EA$4:$EE$60,MATCH([1]Tables!$C$22&amp;$BX161,[1]Tables!$EA$4:$EA$60,0),[1]Tables!$EE$1))*(1-DM161)/CH60, 0)</f>
        <v>0</v>
      </c>
      <c r="DI161" s="371" cm="1">
        <f t="array" aca="1" ref="DI161" ca="1">IFERROR(((
SUMPRODUCT((rng_out_mail_ind = $B161) * (rng_out_sel_sp_ind = $D161)   * (rng_out_sel_excl_ind = $E161) * (rng_out_mafadj_post_yr1*rng_out_340B)) +
IF([1]Tables!$C$16=[1]Tables!$CF$4, SUMPRODUCT((rng_out_mail_ind = $B161) * (rng_out_sel_sp_ind = $D161) * (rng_out_sel_excl_ind = $F161) * (rng_out_mafadj_post_yr1*rng_out_340B) * (rng_out_sel_excl_yr_ind = ""))
+ SUMPRODUCT((rng_out_mail_ind = $B161) * (rng_out_sel_sp_ind = $D161) * (rng_out_sel_excl_ind = $F161) * (rng_out_mafadj_post_yr1*rng_out_340B) * (rng_out_sel_excl_yr_ind = [1]Tables!$HN$4))*_xlfn.XLOOKUP([1]Tables!$HN$4,'[1]RA Output'!$AY$4:$AY$5,'[1]RA Output'!AZ$4:AZ$5,0)
+ SUMPRODUCT((rng_out_mail_ind = $B161) * (rng_out_sel_sp_ind = $D161) * (rng_out_sel_excl_ind = $F161) * (rng_out_mafadj_post_yr1*rng_out_340B) * (rng_out_sel_excl_yr_ind = [1]Tables!$HN$5))*_xlfn.XLOOKUP([1]Tables!$HN$5,'[1]RA Output'!$AY$4:$AY$5,'[1]RA Output'!AZ$4:AZ$5,0), 0))/[1]Tables!$AT$4)/AQ161, 0)</f>
        <v>0</v>
      </c>
      <c r="DJ161" s="372" cm="1">
        <f t="array" aca="1" ref="DJ161" ca="1">IFERROR(((
SUMPRODUCT((rng_out_mail_ind = $B161) * (rng_out_sel_sp_ind = $D161)   * (rng_out_sel_excl_ind = $E161) * (rng_out_mafadj_post_yr2*rng_out_340B)) +
IF([1]Tables!$C$16=[1]Tables!$CF$4, SUMPRODUCT((rng_out_mail_ind = $B161) * (rng_out_sel_sp_ind = $D161) * (rng_out_sel_excl_ind = $F161) * (rng_out_mafadj_post_yr2*rng_out_340B) * (rng_out_sel_excl_yr_ind = ""))
+ SUMPRODUCT((rng_out_mail_ind = $B161) * (rng_out_sel_sp_ind = $D161) * (rng_out_sel_excl_ind = $F161) * (rng_out_mafadj_post_yr2*rng_out_340B) * (rng_out_sel_excl_yr_ind = [1]Tables!$HN$4))*_xlfn.XLOOKUP([1]Tables!$HN$4,'[1]RA Output'!$AY$4:$AY$5,'[1]RA Output'!BA$4:BA$5,0)
+ SUMPRODUCT((rng_out_mail_ind = $B161) * (rng_out_sel_sp_ind = $D161) * (rng_out_sel_excl_ind = $F161) * (rng_out_mafadj_post_yr2*rng_out_340B) * (rng_out_sel_excl_yr_ind = [1]Tables!$HN$5))*_xlfn.XLOOKUP([1]Tables!$HN$5,'[1]RA Output'!$AY$4:$AY$5,'[1]RA Output'!BA$4:BA$5,0), 0))/[1]Tables!$AT$4)/AR161, 0)</f>
        <v>0</v>
      </c>
      <c r="DK161" s="372" cm="1">
        <f t="array" aca="1" ref="DK161" ca="1">IFERROR(((
SUMPRODUCT((rng_out_mail_ind = $B161) * (rng_out_sel_sp_ind = $D161)   * (rng_out_sel_excl_ind = $E161) * (rng_out_mafadj_post_yr3*rng_out_340B)) +
IF([1]Tables!$C$16=[1]Tables!$CF$4, SUMPRODUCT((rng_out_mail_ind = $B161) * (rng_out_sel_sp_ind = $D161) * (rng_out_sel_excl_ind = $F161) * (rng_out_mafadj_post_yr3*rng_out_340B) * (rng_out_sel_excl_yr_ind = ""))
+ SUMPRODUCT((rng_out_mail_ind = $B161) * (rng_out_sel_sp_ind = $D161) * (rng_out_sel_excl_ind = $F161) * (rng_out_mafadj_post_yr3*rng_out_340B) * (rng_out_sel_excl_yr_ind = [1]Tables!$HN$4))*_xlfn.XLOOKUP([1]Tables!$HN$4,'[1]RA Output'!$AY$4:$AY$5,'[1]RA Output'!BB$4:BB$5,0)
+ SUMPRODUCT((rng_out_mail_ind = $B161) * (rng_out_sel_sp_ind = $D161) * (rng_out_sel_excl_ind = $F161) * (rng_out_mafadj_post_yr3*rng_out_340B) * (rng_out_sel_excl_yr_ind = [1]Tables!$HN$5))*_xlfn.XLOOKUP([1]Tables!$HN$5,'[1]RA Output'!$AY$4:$AY$5,'[1]RA Output'!BB$4:BB$5,0), 0))/[1]Tables!$AT$4)/AS161, 0)</f>
        <v>0</v>
      </c>
      <c r="DL161" s="372" cm="1">
        <f t="array" aca="1" ref="DL161" ca="1">IFERROR(((
SUMPRODUCT((rng_out_mail_ind = $B161) * (rng_out_sel_sp_ind = $D161)   * (rng_out_sel_excl_ind = $E161) * (rng_out_mafadj_post_yr4*rng_out_340B)) +
IF([1]Tables!$C$16=[1]Tables!$CF$4, SUMPRODUCT((rng_out_mail_ind = $B161) * (rng_out_sel_sp_ind = $D161) * (rng_out_sel_excl_ind = $F161) * (rng_out_mafadj_post_yr4*rng_out_340B) * (rng_out_sel_excl_yr_ind = ""))
+ SUMPRODUCT((rng_out_mail_ind = $B161) * (rng_out_sel_sp_ind = $D161) * (rng_out_sel_excl_ind = $F161) * (rng_out_mafadj_post_yr4*rng_out_340B) * (rng_out_sel_excl_yr_ind = [1]Tables!$HN$4))*_xlfn.XLOOKUP([1]Tables!$HN$4,'[1]RA Output'!$AY$4:$AY$5,'[1]RA Output'!BC$4:BC$5,0)
+ SUMPRODUCT((rng_out_mail_ind = $B161) * (rng_out_sel_sp_ind = $D161) * (rng_out_sel_excl_ind = $F161) * (rng_out_mafadj_post_yr4*rng_out_340B) * (rng_out_sel_excl_yr_ind = [1]Tables!$HN$5))*_xlfn.XLOOKUP([1]Tables!$HN$5,'[1]RA Output'!$AY$4:$AY$5,'[1]RA Output'!BC$4:BC$5,0), 0))/[1]Tables!$AT$4)/AT161, 0)</f>
        <v>0</v>
      </c>
      <c r="DM161" s="373" cm="1">
        <f t="array" aca="1" ref="DM161" ca="1">IFERROR(((
SUMPRODUCT((rng_out_mail_ind = $B161) * (rng_out_sel_sp_ind = $D161)   * (rng_out_sel_excl_ind = $E161) * (rng_out_mafadj_post_yr5*rng_out_340B)) +
IF([1]Tables!$C$16=[1]Tables!$CF$4, SUMPRODUCT((rng_out_mail_ind = $B161) * (rng_out_sel_sp_ind = $D161) * (rng_out_sel_excl_ind = $F161) * (rng_out_mafadj_post_yr5*rng_out_340B) * (rng_out_sel_excl_yr_ind = ""))
+ SUMPRODUCT((rng_out_mail_ind = $B161) * (rng_out_sel_sp_ind = $D161) * (rng_out_sel_excl_ind = $F161) * (rng_out_mafadj_post_yr5*rng_out_340B) * (rng_out_sel_excl_yr_ind = [1]Tables!$HN$4))*_xlfn.XLOOKUP([1]Tables!$HN$4,'[1]RA Output'!$AY$4:$AY$5,'[1]RA Output'!BD$4:BD$5,0)
+ SUMPRODUCT((rng_out_mail_ind = $B161) * (rng_out_sel_sp_ind = $D161) * (rng_out_sel_excl_ind = $F161) * (rng_out_mafadj_post_yr5*rng_out_340B) * (rng_out_sel_excl_yr_ind = [1]Tables!$HN$5))*_xlfn.XLOOKUP([1]Tables!$HN$5,'[1]RA Output'!$AY$4:$AY$5,'[1]RA Output'!BD$4:BD$5,0), 0))/[1]Tables!$AT$4)/AU161, 0)</f>
        <v>0</v>
      </c>
    </row>
    <row r="162" spans="1:117" ht="15" thickBot="1" x14ac:dyDescent="0.4">
      <c r="B162" s="122"/>
      <c r="C162" s="123"/>
      <c r="D162" s="123" t="s">
        <v>13</v>
      </c>
      <c r="E162" s="122" t="s">
        <v>12</v>
      </c>
      <c r="F162" s="124" t="s">
        <v>13</v>
      </c>
      <c r="H162" s="118" t="s">
        <v>17</v>
      </c>
      <c r="I162" s="72" t="e" cm="1">
        <f t="array" aca="1" ref="I162" ca="1">SUMIFS(rng_out_mafadj_pre_yr1,rng_out_sel_sp_ind, $D162, rng_out_sel_excl_ind,$E162) +_xlfn.SINGLE(
IF([1]Tables!$C$16=[1]Tables!$CF$4, SUMIFS(rng_out_mafadj_pre_yr1,rng_out_sel_excl_yr_ind, "",rng_out_sel_sp_ind,$D162,rng_out_sel_excl_ind,$F162)+
SUMIFS(rng_out_mafadj_pre_yr1,rng_out_sel_excl_yr_ind, [1]Tables!$HN$4,rng_out_sel_sp_ind,$D162,rng_out_sel_excl_ind,$F162)*         _xlfn.XLOOKUP([1]Tables!$HN$4,'[1]RA Output'!$AY$4:$AY$5,'[1]RA Output'!AZ$4:AZ$5,0)  +
SUMIFS(rng_out_mafadj_pre_yr1,rng_out_sel_excl_yr_ind, [1]Tables!$HN$5,rng_out_sel_sp_ind,$D162,rng_out_sel_excl_ind,$F162)* _xlfn.XLOOKUP([1]Tables!$HN$5,'[1]RA Output'!$AY$4:$AY$5,'[1]RA Output'!AZ$4:AZ$5,0), 0))</f>
        <v>#VALUE!</v>
      </c>
      <c r="J162" s="5" t="e" cm="1">
        <f t="array" aca="1" ref="J162" ca="1">SUMIFS(rng_out_mafadj_pre_yr2,rng_out_sel_sp_ind, $D162, rng_out_sel_excl_ind,$E162) +_xlfn.SINGLE(
IF([1]Tables!$C$16=[1]Tables!$CF$4, SUMIFS(rng_out_mafadj_pre_yr2,rng_out_sel_excl_yr_ind, "",rng_out_sel_sp_ind,$D162,rng_out_sel_excl_ind,$F162)+
SUMIFS(rng_out_mafadj_pre_yr2,rng_out_sel_excl_yr_ind, [1]Tables!$HN$4,rng_out_sel_sp_ind,$D162,rng_out_sel_excl_ind,$F162)*         _xlfn.XLOOKUP([1]Tables!$HN$4,'[1]RA Output'!$AY$4:$AY$5,'[1]RA Output'!BA$4:BA$5,0)  +
SUMIFS(rng_out_mafadj_pre_yr2,rng_out_sel_excl_yr_ind, [1]Tables!$HN$5,rng_out_sel_sp_ind,$D162,rng_out_sel_excl_ind,$F162)* _xlfn.XLOOKUP([1]Tables!$HN$5,'[1]RA Output'!$AY$4:$AY$5,'[1]RA Output'!BA$4:BA$5,0), 0))</f>
        <v>#VALUE!</v>
      </c>
      <c r="K162" s="5" t="e" cm="1">
        <f t="array" aca="1" ref="K162" ca="1">SUMIFS(rng_out_mafadj_pre_yr3,rng_out_sel_sp_ind, $D162, rng_out_sel_excl_ind,$E162) +_xlfn.SINGLE(
IF([1]Tables!$C$16=[1]Tables!$CF$4, SUMIFS(rng_out_mafadj_pre_yr3,rng_out_sel_excl_yr_ind, "",rng_out_sel_sp_ind,$D162,rng_out_sel_excl_ind,$F162)+
SUMIFS(rng_out_mafadj_pre_yr3,rng_out_sel_excl_yr_ind, [1]Tables!$HN$4,rng_out_sel_sp_ind,$D162,rng_out_sel_excl_ind,$F162)*         _xlfn.XLOOKUP([1]Tables!$HN$4,'[1]RA Output'!$AY$4:$AY$5,'[1]RA Output'!BB$4:BB$5,0)  +
SUMIFS(rng_out_mafadj_pre_yr3,rng_out_sel_excl_yr_ind, [1]Tables!$HN$5,rng_out_sel_sp_ind,$D162,rng_out_sel_excl_ind,$F162)* _xlfn.XLOOKUP([1]Tables!$HN$5,'[1]RA Output'!$AY$4:$AY$5,'[1]RA Output'!BB$4:BB$5,0), 0))</f>
        <v>#VALUE!</v>
      </c>
      <c r="L162" s="5" t="e" cm="1">
        <f t="array" aca="1" ref="L162" ca="1">SUMIFS(rng_out_mafadj_pre_yr4,rng_out_sel_sp_ind, $D162, rng_out_sel_excl_ind,$E162) +_xlfn.SINGLE(
IF([1]Tables!$C$16=[1]Tables!$CF$4, SUMIFS(rng_out_mafadj_pre_yr4,rng_out_sel_excl_yr_ind, "",rng_out_sel_sp_ind,$D162,rng_out_sel_excl_ind,$F162)+
SUMIFS(rng_out_mafadj_pre_yr4,rng_out_sel_excl_yr_ind, [1]Tables!$HN$4,rng_out_sel_sp_ind,$D162,rng_out_sel_excl_ind,$F162)*         _xlfn.XLOOKUP([1]Tables!$HN$4,'[1]RA Output'!$AY$4:$AY$5,'[1]RA Output'!BC$4:BC$5,0)  +
SUMIFS(rng_out_mafadj_pre_yr4,rng_out_sel_excl_yr_ind, [1]Tables!$HN$5,rng_out_sel_sp_ind,$D162,rng_out_sel_excl_ind,$F162)* _xlfn.XLOOKUP([1]Tables!$HN$5,'[1]RA Output'!$AY$4:$AY$5,'[1]RA Output'!BC$4:BC$5,0), 0))</f>
        <v>#VALUE!</v>
      </c>
      <c r="M162" s="125" t="e" cm="1">
        <f t="array" aca="1" ref="M162" ca="1">SUMIFS(rng_out_mafadj_pre_yr5,rng_out_sel_sp_ind, $D162, rng_out_sel_excl_ind,$E162) +_xlfn.SINGLE(
IF([1]Tables!$C$16=[1]Tables!$CF$4, SUMIFS(rng_out_mafadj_pre_yr5,rng_out_sel_excl_yr_ind, "",rng_out_sel_sp_ind,$D162,rng_out_sel_excl_ind,$F162)+
SUMIFS(rng_out_mafadj_pre_yr5,rng_out_sel_excl_yr_ind, [1]Tables!$HN$4,rng_out_sel_sp_ind,$D162,rng_out_sel_excl_ind,$F162)*         _xlfn.XLOOKUP([1]Tables!$HN$4,'[1]RA Output'!$AY$4:$AY$5,'[1]RA Output'!BD$4:BD$5,0)  +
SUMIFS(rng_out_mafadj_pre_yr5,rng_out_sel_excl_yr_ind, [1]Tables!$HN$5,rng_out_sel_sp_ind,$D162,rng_out_sel_excl_ind,$F162)* _xlfn.XLOOKUP([1]Tables!$HN$5,'[1]RA Output'!$AY$4:$AY$5,'[1]RA Output'!BD$4:BD$5,0), 0))</f>
        <v>#VALUE!</v>
      </c>
      <c r="N162" s="74">
        <f ca="1">IFERROR(I162/N$61, 0)</f>
        <v>0</v>
      </c>
      <c r="O162" s="75">
        <f ca="1">IFERROR(J162/O$61, 0)</f>
        <v>0</v>
      </c>
      <c r="P162" s="75">
        <f ca="1">IFERROR(K162/P$61, 0)</f>
        <v>0</v>
      </c>
      <c r="Q162" s="75">
        <f ca="1">IFERROR(L162/Q$61, 0)</f>
        <v>0</v>
      </c>
      <c r="R162" s="126">
        <f ca="1">IFERROR(M162/R$61, 0)</f>
        <v>0</v>
      </c>
      <c r="S162" s="75">
        <f ca="1">IFERROR(I162/S$61, 0)</f>
        <v>0</v>
      </c>
      <c r="T162" s="75">
        <f ca="1">IFERROR(J162/T$61, 0)</f>
        <v>0</v>
      </c>
      <c r="U162" s="75">
        <f ca="1">IFERROR(K162/U$61, 0)</f>
        <v>0</v>
      </c>
      <c r="V162" s="75">
        <f ca="1">IFERROR(L162/V$61, 0)</f>
        <v>0</v>
      </c>
      <c r="W162" s="76">
        <f ca="1">IFERROR(M162/W$61, 0)</f>
        <v>0</v>
      </c>
      <c r="Y162" s="119" t="s">
        <v>17</v>
      </c>
      <c r="Z162" s="127">
        <f ca="1">IFERROR(I162/[1]Tables!$AT$4, 0)</f>
        <v>0</v>
      </c>
      <c r="AA162" s="128">
        <f ca="1">IFERROR(J162/[1]Tables!$AT$4, 0)</f>
        <v>0</v>
      </c>
      <c r="AB162" s="128">
        <f ca="1">IFERROR(K162/[1]Tables!$AT$4, 0)</f>
        <v>0</v>
      </c>
      <c r="AC162" s="128">
        <f ca="1">IFERROR(L162/[1]Tables!$AT$4, 0)</f>
        <v>0</v>
      </c>
      <c r="AD162" s="129">
        <f ca="1">IFERROR(M162/[1]Tables!$AT$4, 0)</f>
        <v>0</v>
      </c>
      <c r="AE162" s="130">
        <f ca="1">IFERROR(N162/[1]Tables!$AT$4, 0)</f>
        <v>0</v>
      </c>
      <c r="AF162" s="131">
        <f ca="1">IFERROR(O162/[1]Tables!$AT$4, 0)</f>
        <v>0</v>
      </c>
      <c r="AG162" s="131">
        <f ca="1">IFERROR(P162/[1]Tables!$AT$4, 0)</f>
        <v>0</v>
      </c>
      <c r="AH162" s="131">
        <f ca="1">IFERROR(Q162/[1]Tables!$AT$4, 0)</f>
        <v>0</v>
      </c>
      <c r="AI162" s="132">
        <f ca="1">IFERROR(R162/[1]Tables!$AT$4, 0)</f>
        <v>0</v>
      </c>
      <c r="AJ162" s="131">
        <f ca="1">IFERROR(S162/[1]Tables!$AT$4, 0)</f>
        <v>0</v>
      </c>
      <c r="AK162" s="131">
        <f ca="1">IFERROR(T162/[1]Tables!$AT$4, 0)</f>
        <v>0</v>
      </c>
      <c r="AL162" s="131">
        <f ca="1">IFERROR(U162/[1]Tables!$AT$4, 0)</f>
        <v>0</v>
      </c>
      <c r="AM162" s="131">
        <f ca="1">IFERROR(V162/[1]Tables!$AT$4, 0)</f>
        <v>0</v>
      </c>
      <c r="AN162" s="132">
        <f ca="1">IFERROR(W162/[1]Tables!$AT$4, 0)</f>
        <v>0</v>
      </c>
      <c r="AP162" s="120" t="s">
        <v>17</v>
      </c>
      <c r="AQ162" s="167" cm="1">
        <f t="array" aca="1" ref="AQ162" ca="1">_xlfn.SINGLE(IFERROR((SUMIFS(rng_out_mafadj_post_yr1, rng_out_sel_sp_ind, $D162, rng_out_sel_excl_ind,$E162) +_xlfn.SINGLE(
IF([1]Tables!$C$16=[1]Tables!$CF$4, SUMIFS(rng_out_mafadj_post_yr1,rng_out_sel_excl_yr_ind, "",rng_out_sel_sp_ind,$D162,rng_out_sel_excl_ind,$F162)+
SUMIFS(rng_out_mafadj_post_yr1,rng_out_sel_excl_yr_ind, [1]Tables!$HN$4,rng_out_sel_sp_ind,$D162,rng_out_sel_excl_ind,$F162)*         _xlfn.XLOOKUP([1]Tables!$HN$4,'[1]RA Output'!$AY$4:$AY$5,'[1]RA Output'!AZ$4:AZ$5,0)  +
SUMIFS(rng_out_mafadj_post_yr1,rng_out_sel_excl_yr_ind, [1]Tables!$HN$5,rng_out_sel_sp_ind,$D162,rng_out_sel_excl_ind,$F162)* _xlfn.XLOOKUP([1]Tables!$HN$5,'[1]RA Output'!$AY$4:$AY$5,'[1]RA Output'!AZ$4:AZ$5,0), 0)))/[1]Tables!$AT$4, 0))</f>
        <v>0</v>
      </c>
      <c r="AR162" s="134" cm="1">
        <f t="array" aca="1" ref="AR162" ca="1">_xlfn.SINGLE(IFERROR((SUMIFS(rng_out_mafadj_post_yr2, rng_out_sel_sp_ind, $D162, rng_out_sel_excl_ind,$E162) +_xlfn.SINGLE(
IF([1]Tables!$C$16=[1]Tables!$CF$4, SUMIFS(rng_out_mafadj_post_yr2,rng_out_sel_excl_yr_ind, "",rng_out_sel_sp_ind,$D162,rng_out_sel_excl_ind,$F162)+
SUMIFS(rng_out_mafadj_post_yr2,rng_out_sel_excl_yr_ind, [1]Tables!$HN$4,rng_out_sel_sp_ind,$D162,rng_out_sel_excl_ind,$F162)*         _xlfn.XLOOKUP([1]Tables!$HN$4,'[1]RA Output'!$AY$4:$AY$5,'[1]RA Output'!BA$4:BA$5,0)  +
SUMIFS(rng_out_mafadj_post_yr2,rng_out_sel_excl_yr_ind, [1]Tables!$HN$5,rng_out_sel_sp_ind,$D162,rng_out_sel_excl_ind,$F162)* _xlfn.XLOOKUP([1]Tables!$HN$5,'[1]RA Output'!$AY$4:$AY$5,'[1]RA Output'!BA$4:BA$5,0), 0)))/[1]Tables!$AT$4, 0))</f>
        <v>0</v>
      </c>
      <c r="AS162" s="134" cm="1">
        <f t="array" aca="1" ref="AS162" ca="1">_xlfn.SINGLE(IFERROR((SUMIFS(rng_out_mafadj_post_yr3, rng_out_sel_sp_ind, $D162, rng_out_sel_excl_ind,$E162) +_xlfn.SINGLE(
IF([1]Tables!$C$16=[1]Tables!$CF$4, SUMIFS(rng_out_mafadj_post_yr3,rng_out_sel_excl_yr_ind, "",rng_out_sel_sp_ind,$D162,rng_out_sel_excl_ind,$F162)+
SUMIFS(rng_out_mafadj_post_yr3,rng_out_sel_excl_yr_ind, [1]Tables!$HN$4,rng_out_sel_sp_ind,$D162,rng_out_sel_excl_ind,$F162)*         _xlfn.XLOOKUP([1]Tables!$HN$4,'[1]RA Output'!$AY$4:$AY$5,'[1]RA Output'!BB$4:BB$5,0)  +
SUMIFS(rng_out_mafadj_post_yr3,rng_out_sel_excl_yr_ind, [1]Tables!$HN$5,rng_out_sel_sp_ind,$D162,rng_out_sel_excl_ind,$F162)* _xlfn.XLOOKUP([1]Tables!$HN$5,'[1]RA Output'!$AY$4:$AY$5,'[1]RA Output'!BB$4:BB$5,0), 0)))/[1]Tables!$AT$4, 0))</f>
        <v>0</v>
      </c>
      <c r="AT162" s="134" cm="1">
        <f t="array" aca="1" ref="AT162" ca="1">_xlfn.SINGLE(IFERROR((SUMIFS(rng_out_mafadj_post_yr4, rng_out_sel_sp_ind, $D162, rng_out_sel_excl_ind,$E162) +_xlfn.SINGLE(
IF([1]Tables!$C$16=[1]Tables!$CF$4, SUMIFS(rng_out_mafadj_post_yr4,rng_out_sel_excl_yr_ind, "",rng_out_sel_sp_ind,$D162,rng_out_sel_excl_ind,$F162)+
SUMIFS(rng_out_mafadj_post_yr4,rng_out_sel_excl_yr_ind, [1]Tables!$HN$4,rng_out_sel_sp_ind,$D162,rng_out_sel_excl_ind,$F162)*         _xlfn.XLOOKUP([1]Tables!$HN$4,'[1]RA Output'!$AY$4:$AY$5,'[1]RA Output'!BC$4:BC$5,0)  +
SUMIFS(rng_out_mafadj_post_yr4,rng_out_sel_excl_yr_ind, [1]Tables!$HN$5,rng_out_sel_sp_ind,$D162,rng_out_sel_excl_ind,$F162)* _xlfn.XLOOKUP([1]Tables!$HN$5,'[1]RA Output'!$AY$4:$AY$5,'[1]RA Output'!BC$4:BC$5,0), 0)))/[1]Tables!$AT$4, 0))</f>
        <v>0</v>
      </c>
      <c r="AU162" s="135" cm="1">
        <f t="array" aca="1" ref="AU162" ca="1">_xlfn.SINGLE(IFERROR((SUMIFS(rng_out_mafadj_post_yr5, rng_out_sel_sp_ind, $D162, rng_out_sel_excl_ind,$E162) +_xlfn.SINGLE(
IF([1]Tables!$C$16=[1]Tables!$CF$4, SUMIFS(rng_out_mafadj_post_yr5,rng_out_sel_excl_yr_ind, "",rng_out_sel_sp_ind,$D162,rng_out_sel_excl_ind,$F162)+
SUMIFS(rng_out_mafadj_post_yr5,rng_out_sel_excl_yr_ind, [1]Tables!$HN$4,rng_out_sel_sp_ind,$D162,rng_out_sel_excl_ind,$F162)*         _xlfn.XLOOKUP([1]Tables!$HN$4,'[1]RA Output'!$AY$4:$AY$5,'[1]RA Output'!BD$4:BD$5,0)  +
SUMIFS(rng_out_mafadj_post_yr5,rng_out_sel_excl_yr_ind, [1]Tables!$HN$5,rng_out_sel_sp_ind,$D162,rng_out_sel_excl_ind,$F162)* _xlfn.XLOOKUP([1]Tables!$HN$5,'[1]RA Output'!$AY$4:$AY$5,'[1]RA Output'!BD$4:BD$5,0), 0)))/[1]Tables!$AT$4, 0))</f>
        <v>0</v>
      </c>
      <c r="AV162" s="136">
        <f ca="1">IFERROR(AQ162/AV$61, 0)</f>
        <v>0</v>
      </c>
      <c r="AW162" s="137">
        <f ca="1">IFERROR(AR162/AW$61, 0)</f>
        <v>0</v>
      </c>
      <c r="AX162" s="137">
        <f ca="1">IFERROR(AS162/AX$61, 0)</f>
        <v>0</v>
      </c>
      <c r="AY162" s="137">
        <f ca="1">IFERROR(AT162/AY$61, 0)</f>
        <v>0</v>
      </c>
      <c r="AZ162" s="138">
        <f ca="1">IFERROR(AU162/AZ$61, 0)</f>
        <v>0</v>
      </c>
      <c r="BA162" s="137">
        <f ca="1">IFERROR(AQ162/BA$61, 0)</f>
        <v>0</v>
      </c>
      <c r="BB162" s="137">
        <f ca="1">IFERROR(AR162/BB$61, 0)</f>
        <v>0</v>
      </c>
      <c r="BC162" s="137">
        <f ca="1">IFERROR(AS162/BC$61, 0)</f>
        <v>0</v>
      </c>
      <c r="BD162" s="137">
        <f ca="1">IFERROR(AT162/BD$61, 0)</f>
        <v>0</v>
      </c>
      <c r="BE162" s="138">
        <f ca="1">IFERROR(AU162/BE$61, 0)</f>
        <v>0</v>
      </c>
      <c r="BG162" s="121" t="s">
        <v>17</v>
      </c>
      <c r="BH162" s="145">
        <f t="shared" ca="1" si="152"/>
        <v>0</v>
      </c>
      <c r="BI162" s="146">
        <f t="shared" ca="1" si="152"/>
        <v>0</v>
      </c>
      <c r="BJ162" s="146">
        <f t="shared" ca="1" si="152"/>
        <v>0</v>
      </c>
      <c r="BK162" s="146">
        <f t="shared" ca="1" si="152"/>
        <v>0</v>
      </c>
      <c r="BL162" s="147">
        <f t="shared" ca="1" si="152"/>
        <v>0</v>
      </c>
      <c r="BM162" s="142">
        <f ca="1">IFERROR(BH162/BM$61, 0)</f>
        <v>0</v>
      </c>
      <c r="BN162" s="143">
        <f ca="1">IFERROR(BI162/BN$61, 0)</f>
        <v>0</v>
      </c>
      <c r="BO162" s="143">
        <f ca="1">IFERROR(BJ162/BO$61, 0)</f>
        <v>0</v>
      </c>
      <c r="BP162" s="143">
        <f ca="1">IFERROR(BK162/BP$61, 0)</f>
        <v>0</v>
      </c>
      <c r="BQ162" s="144">
        <f ca="1">IFERROR(BL162/BQ$61, 0)</f>
        <v>0</v>
      </c>
      <c r="BR162" s="143">
        <f ca="1">IFERROR(BH162/BR$61, 0)</f>
        <v>0</v>
      </c>
      <c r="BS162" s="143">
        <f ca="1">IFERROR(BI162/BS$61, 0)</f>
        <v>0</v>
      </c>
      <c r="BT162" s="143">
        <f ca="1">IFERROR(BJ162/BT$61, 0)</f>
        <v>0</v>
      </c>
      <c r="BU162" s="143">
        <f ca="1">IFERROR(BK162/BU$61, 0)</f>
        <v>0</v>
      </c>
      <c r="BV162" s="144">
        <f ca="1">IFERROR(BL162/BV$61, 0)</f>
        <v>0</v>
      </c>
      <c r="BX162" s="121" t="s">
        <v>17</v>
      </c>
      <c r="BY162" s="145" t="e">
        <f t="shared" ca="1" si="153"/>
        <v>#VALUE!</v>
      </c>
      <c r="BZ162" s="146" t="e">
        <f t="shared" ca="1" si="153"/>
        <v>#VALUE!</v>
      </c>
      <c r="CA162" s="146" t="e">
        <f t="shared" ca="1" si="153"/>
        <v>#VALUE!</v>
      </c>
      <c r="CB162" s="146" t="e">
        <f t="shared" ca="1" si="153"/>
        <v>#VALUE!</v>
      </c>
      <c r="CC162" s="147" t="e">
        <f t="shared" ca="1" si="153"/>
        <v>#VALUE!</v>
      </c>
      <c r="CD162" s="142">
        <f t="shared" ca="1" si="154"/>
        <v>0</v>
      </c>
      <c r="CE162" s="143">
        <f t="shared" ca="1" si="154"/>
        <v>0</v>
      </c>
      <c r="CF162" s="143">
        <f t="shared" ca="1" si="154"/>
        <v>0</v>
      </c>
      <c r="CG162" s="143">
        <f t="shared" ca="1" si="154"/>
        <v>0</v>
      </c>
      <c r="CH162" s="144">
        <f t="shared" ca="1" si="154"/>
        <v>0</v>
      </c>
      <c r="CI162" s="143">
        <f t="shared" ca="1" si="155"/>
        <v>0</v>
      </c>
      <c r="CJ162" s="143">
        <f t="shared" ca="1" si="155"/>
        <v>0</v>
      </c>
      <c r="CK162" s="143">
        <f t="shared" ca="1" si="155"/>
        <v>0</v>
      </c>
      <c r="CL162" s="143">
        <f t="shared" ca="1" si="155"/>
        <v>0</v>
      </c>
      <c r="CM162" s="144">
        <f t="shared" ca="1" si="155"/>
        <v>0</v>
      </c>
      <c r="DC162" s="148" cm="1">
        <f t="array" aca="1" ref="DC162" ca="1">IFERROR(BM162-BM162*BR70*(1-INDEX([1]Tables!$EA$4:$EE$60,MATCH([1]Tables!$C$22&amp;$BX162,[1]Tables!$EA$4:$EA$60,0),[1]Tables!$EE$1))*(1-DI162)/CD61, 0)</f>
        <v>0</v>
      </c>
      <c r="DD162" s="149" cm="1">
        <f t="array" aca="1" ref="DD162" ca="1">IFERROR(BN162-BN162*BS70*(1-INDEX([1]Tables!$EA$4:$EE$60,MATCH([1]Tables!$C$22&amp;$BX162,[1]Tables!$EA$4:$EA$60,0),[1]Tables!$EE$1))*(1-DJ162)/CE61, 0)</f>
        <v>0</v>
      </c>
      <c r="DE162" s="149" cm="1">
        <f t="array" aca="1" ref="DE162" ca="1">IFERROR(BO162-BO162*BT70*(1-INDEX([1]Tables!$EA$4:$EE$60,MATCH([1]Tables!$C$22&amp;$BX162,[1]Tables!$EA$4:$EA$60,0),[1]Tables!$EE$1))*(1-DK162)/CF61, 0)</f>
        <v>0</v>
      </c>
      <c r="DF162" s="149" cm="1">
        <f t="array" aca="1" ref="DF162" ca="1">IFERROR(BP162-BP162*BU70*(1-INDEX([1]Tables!$EA$4:$EE$60,MATCH([1]Tables!$C$22&amp;$BX162,[1]Tables!$EA$4:$EA$60,0),[1]Tables!$EE$1))*(1-DL162)/CG61, 0)</f>
        <v>0</v>
      </c>
      <c r="DG162" s="150" cm="1">
        <f t="array" aca="1" ref="DG162" ca="1">IFERROR(BQ162-BQ162*BV70*(1-INDEX([1]Tables!$EA$4:$EE$60,MATCH([1]Tables!$C$22&amp;$BX162,[1]Tables!$EA$4:$EA$60,0),[1]Tables!$EE$1))*(1-DM162)/CH61, 0)</f>
        <v>0</v>
      </c>
      <c r="DI162" s="374" cm="1">
        <f t="array" aca="1" ref="DI162" ca="1">IFERROR(((
SUMPRODUCT((rng_out_sel_sp_ind = $D162)   * (rng_out_sel_excl_ind = $E162) * (rng_out_mafadj_post_yr1*rng_out_340B)) +
IF([1]Tables!$C$16=[1]Tables!$CF$4, SUMPRODUCT((rng_out_sel_sp_ind = $D162) * (rng_out_sel_excl_ind = $F162) * (rng_out_mafadj_post_yr1*rng_out_340B) * (rng_out_sel_excl_yr_ind = ""))
+ SUMPRODUCT((rng_out_sel_sp_ind = $D162) * (rng_out_sel_excl_ind = $F162) * (rng_out_mafadj_post_yr1*rng_out_340B) * (rng_out_sel_excl_yr_ind = [1]Tables!$HN$4))*_xlfn.XLOOKUP([1]Tables!$HN$4,'[1]RA Output'!$AY$4:$AY$5,'[1]RA Output'!AZ$4:AZ$5,0)
+ SUMPRODUCT((rng_out_sel_sp_ind = $D162) * (rng_out_sel_excl_ind = $F162) * (rng_out_mafadj_post_yr1*rng_out_340B) * (rng_out_sel_excl_yr_ind = [1]Tables!$HN$5))*_xlfn.XLOOKUP([1]Tables!$HN$5,'[1]RA Output'!$AY$4:$AY$5,'[1]RA Output'!AZ$4:AZ$5,0), 0))/[1]Tables!$AT$4)/AQ162, 0)</f>
        <v>0</v>
      </c>
      <c r="DJ162" s="375" cm="1">
        <f t="array" aca="1" ref="DJ162" ca="1">IFERROR(((
SUMPRODUCT((rng_out_sel_sp_ind = $D162)   * (rng_out_sel_excl_ind = $E162) * (rng_out_mafadj_post_yr2*rng_out_340B)) +
IF([1]Tables!$C$16=[1]Tables!$CF$4, SUMPRODUCT((rng_out_sel_sp_ind = $D162) * (rng_out_sel_excl_ind = $F162) * (rng_out_mafadj_post_yr2*rng_out_340B) * (rng_out_sel_excl_yr_ind = ""))
+ SUMPRODUCT((rng_out_sel_sp_ind = $D162) * (rng_out_sel_excl_ind = $F162) * (rng_out_mafadj_post_yr2*rng_out_340B) * (rng_out_sel_excl_yr_ind = [1]Tables!$HN$4))*_xlfn.XLOOKUP([1]Tables!$HN$4,'[1]RA Output'!$AY$4:$AY$5,'[1]RA Output'!BA$4:BA$5,0)
+ SUMPRODUCT((rng_out_sel_sp_ind = $D162) * (rng_out_sel_excl_ind = $F162) * (rng_out_mafadj_post_yr2*rng_out_340B) * (rng_out_sel_excl_yr_ind = [1]Tables!$HN$5))*_xlfn.XLOOKUP([1]Tables!$HN$5,'[1]RA Output'!$AY$4:$AY$5,'[1]RA Output'!BA$4:BA$5,0), 0))/[1]Tables!$AT$4)/AR162, 0)</f>
        <v>0</v>
      </c>
      <c r="DK162" s="375" cm="1">
        <f t="array" aca="1" ref="DK162" ca="1">IFERROR(((
SUMPRODUCT((rng_out_sel_sp_ind = $D162)   * (rng_out_sel_excl_ind = $E162) * (rng_out_mafadj_post_yr3*rng_out_340B)) +
IF([1]Tables!$C$16=[1]Tables!$CF$4, SUMPRODUCT((rng_out_sel_sp_ind = $D162) * (rng_out_sel_excl_ind = $F162) * (rng_out_mafadj_post_yr3*rng_out_340B) * (rng_out_sel_excl_yr_ind = ""))
+ SUMPRODUCT((rng_out_sel_sp_ind = $D162) * (rng_out_sel_excl_ind = $F162) * (rng_out_mafadj_post_yr3*rng_out_340B) * (rng_out_sel_excl_yr_ind = [1]Tables!$HN$4))*_xlfn.XLOOKUP([1]Tables!$HN$4,'[1]RA Output'!$AY$4:$AY$5,'[1]RA Output'!BB$4:BB$5,0)
+ SUMPRODUCT((rng_out_sel_sp_ind = $D162) * (rng_out_sel_excl_ind = $F162) * (rng_out_mafadj_post_yr3*rng_out_340B) * (rng_out_sel_excl_yr_ind = [1]Tables!$HN$5))*_xlfn.XLOOKUP([1]Tables!$HN$5,'[1]RA Output'!$AY$4:$AY$5,'[1]RA Output'!BB$4:BB$5,0), 0))/[1]Tables!$AT$4)/AS162, 0)</f>
        <v>0</v>
      </c>
      <c r="DL162" s="375" cm="1">
        <f t="array" aca="1" ref="DL162" ca="1">IFERROR(((
SUMPRODUCT((rng_out_sel_sp_ind = $D162)   * (rng_out_sel_excl_ind = $E162) * (rng_out_mafadj_post_yr4*rng_out_340B)) +
IF([1]Tables!$C$16=[1]Tables!$CF$4, SUMPRODUCT((rng_out_sel_sp_ind = $D162) * (rng_out_sel_excl_ind = $F162) * (rng_out_mafadj_post_yr4*rng_out_340B) * (rng_out_sel_excl_yr_ind = ""))
+ SUMPRODUCT((rng_out_sel_sp_ind = $D162) * (rng_out_sel_excl_ind = $F162) * (rng_out_mafadj_post_yr4*rng_out_340B) * (rng_out_sel_excl_yr_ind = [1]Tables!$HN$4))*_xlfn.XLOOKUP([1]Tables!$HN$4,'[1]RA Output'!$AY$4:$AY$5,'[1]RA Output'!BC$4:BC$5,0)
+ SUMPRODUCT((rng_out_sel_sp_ind = $D162) * (rng_out_sel_excl_ind = $F162) * (rng_out_mafadj_post_yr4*rng_out_340B) * (rng_out_sel_excl_yr_ind = [1]Tables!$HN$5))*_xlfn.XLOOKUP([1]Tables!$HN$5,'[1]RA Output'!$AY$4:$AY$5,'[1]RA Output'!BC$4:BC$5,0), 0))/[1]Tables!$AT$4)/AT162, 0)</f>
        <v>0</v>
      </c>
      <c r="DM162" s="376" cm="1">
        <f t="array" aca="1" ref="DM162" ca="1">IFERROR(((
SUMPRODUCT((rng_out_sel_sp_ind = $D162)   * (rng_out_sel_excl_ind = $E162) * (rng_out_mafadj_post_yr5*rng_out_340B)) +
IF([1]Tables!$C$16=[1]Tables!$CF$4, SUMPRODUCT((rng_out_sel_sp_ind = $D162) * (rng_out_sel_excl_ind = $F162) * (rng_out_mafadj_post_yr5*rng_out_340B) * (rng_out_sel_excl_yr_ind = ""))
+ SUMPRODUCT((rng_out_sel_sp_ind = $D162) * (rng_out_sel_excl_ind = $F162) * (rng_out_mafadj_post_yr5*rng_out_340B) * (rng_out_sel_excl_yr_ind = [1]Tables!$HN$4))*_xlfn.XLOOKUP([1]Tables!$HN$4,'[1]RA Output'!$AY$4:$AY$5,'[1]RA Output'!BD$4:BD$5,0)
+ SUMPRODUCT((rng_out_sel_sp_ind = $D162) * (rng_out_sel_excl_ind = $F162) * (rng_out_mafadj_post_yr5*rng_out_340B) * (rng_out_sel_excl_yr_ind = [1]Tables!$HN$5))*_xlfn.XLOOKUP([1]Tables!$HN$5,'[1]RA Output'!$AY$4:$AY$5,'[1]RA Output'!BD$4:BD$5,0), 0))/[1]Tables!$AT$4)/AU162, 0)</f>
        <v>0</v>
      </c>
    </row>
    <row r="163" spans="1:117" ht="15" thickBot="1" x14ac:dyDescent="0.4">
      <c r="H163" s="154" t="s">
        <v>18</v>
      </c>
      <c r="I163" s="155" t="e">
        <f ca="1">SUM(I159:I162)</f>
        <v>#VALUE!</v>
      </c>
      <c r="J163" s="155" t="e">
        <f ca="1">SUM(J159:J162)</f>
        <v>#VALUE!</v>
      </c>
      <c r="K163" s="155" t="e">
        <f ca="1">SUM(K159:K162)</f>
        <v>#VALUE!</v>
      </c>
      <c r="L163" s="155" t="e">
        <f ca="1">SUM(L159:L162)</f>
        <v>#VALUE!</v>
      </c>
      <c r="M163" s="156" t="e">
        <f ca="1">SUM(M159:M162)</f>
        <v>#VALUE!</v>
      </c>
      <c r="N163" s="157">
        <f ca="1">IFERROR(I163/N$62, 0)</f>
        <v>0</v>
      </c>
      <c r="O163" s="157">
        <f ca="1">IFERROR(J163/O$62, 0)</f>
        <v>0</v>
      </c>
      <c r="P163" s="157">
        <f ca="1">IFERROR(K163/P$62, 0)</f>
        <v>0</v>
      </c>
      <c r="Q163" s="157">
        <f ca="1">IFERROR(L163/Q$62, 0)</f>
        <v>0</v>
      </c>
      <c r="R163" s="158">
        <f ca="1">IFERROR(M163/R$62, 0)</f>
        <v>0</v>
      </c>
      <c r="S163" s="157">
        <f ca="1">IFERROR(I163/S$62, 0)</f>
        <v>0</v>
      </c>
      <c r="T163" s="157">
        <f ca="1">IFERROR(J163/T$62, 0)</f>
        <v>0</v>
      </c>
      <c r="U163" s="157">
        <f ca="1">IFERROR(K163/U$62, 0)</f>
        <v>0</v>
      </c>
      <c r="V163" s="157">
        <f ca="1">IFERROR(L163/V$62, 0)</f>
        <v>0</v>
      </c>
      <c r="W163" s="158">
        <f ca="1">IFERROR(M163/W$62, 0)</f>
        <v>0</v>
      </c>
      <c r="Y163" s="159" t="s">
        <v>18</v>
      </c>
      <c r="Z163" s="160">
        <f ca="1">SUM(Z159:Z162)</f>
        <v>0</v>
      </c>
      <c r="AA163" s="161">
        <f ca="1">SUM(AA159:AA162)</f>
        <v>0</v>
      </c>
      <c r="AB163" s="161">
        <f ca="1">SUM(AB159:AB162)</f>
        <v>0</v>
      </c>
      <c r="AC163" s="161">
        <f ca="1">SUM(AC159:AC162)</f>
        <v>0</v>
      </c>
      <c r="AD163" s="162">
        <f ca="1">SUM(AD159:AD162)</f>
        <v>0</v>
      </c>
      <c r="AE163" s="163">
        <f ca="1">IFERROR(N163/[1]Tables!$AT$4, 0)</f>
        <v>0</v>
      </c>
      <c r="AF163" s="164">
        <f ca="1">IFERROR(O163/[1]Tables!$AT$4, 0)</f>
        <v>0</v>
      </c>
      <c r="AG163" s="164">
        <f ca="1">IFERROR(P163/[1]Tables!$AT$4, 0)</f>
        <v>0</v>
      </c>
      <c r="AH163" s="164">
        <f ca="1">IFERROR(Q163/[1]Tables!$AT$4, 0)</f>
        <v>0</v>
      </c>
      <c r="AI163" s="165">
        <f ca="1">IFERROR(R163/[1]Tables!$AT$4, 0)</f>
        <v>0</v>
      </c>
      <c r="AJ163" s="164">
        <f ca="1">IFERROR(S163/[1]Tables!$AT$4, 0)</f>
        <v>0</v>
      </c>
      <c r="AK163" s="164">
        <f ca="1">IFERROR(T163/[1]Tables!$AT$4, 0)</f>
        <v>0</v>
      </c>
      <c r="AL163" s="164">
        <f ca="1">IFERROR(U163/[1]Tables!$AT$4, 0)</f>
        <v>0</v>
      </c>
      <c r="AM163" s="164">
        <f ca="1">IFERROR(V163/[1]Tables!$AT$4, 0)</f>
        <v>0</v>
      </c>
      <c r="AN163" s="165">
        <f ca="1">IFERROR(W163/[1]Tables!$AT$4, 0)</f>
        <v>0</v>
      </c>
      <c r="AP163" s="166" t="s">
        <v>18</v>
      </c>
      <c r="AQ163" s="167">
        <f ca="1">SUM(AQ159:AQ162)</f>
        <v>0</v>
      </c>
      <c r="AR163" s="134">
        <f ca="1">SUM(AR159:AR162)</f>
        <v>0</v>
      </c>
      <c r="AS163" s="134">
        <f ca="1">SUM(AS159:AS162)</f>
        <v>0</v>
      </c>
      <c r="AT163" s="134">
        <f ca="1">SUM(AT159:AT162)</f>
        <v>0</v>
      </c>
      <c r="AU163" s="135">
        <f ca="1">SUM(AU159:AU162)</f>
        <v>0</v>
      </c>
      <c r="AV163" s="168">
        <f ca="1">IFERROR(AQ163/AV$62, 0)</f>
        <v>0</v>
      </c>
      <c r="AW163" s="169">
        <f ca="1">IFERROR(AR163/AW$62, 0)</f>
        <v>0</v>
      </c>
      <c r="AX163" s="169">
        <f ca="1">IFERROR(AS163/AX$62, 0)</f>
        <v>0</v>
      </c>
      <c r="AY163" s="169">
        <f ca="1">IFERROR(AT163/AY$62, 0)</f>
        <v>0</v>
      </c>
      <c r="AZ163" s="170">
        <f ca="1">IFERROR(AU163/AZ$62, 0)</f>
        <v>0</v>
      </c>
      <c r="BA163" s="169">
        <f ca="1">IFERROR(AQ163/BA$62, 0)</f>
        <v>0</v>
      </c>
      <c r="BB163" s="169">
        <f ca="1">IFERROR(AR163/BB$62, 0)</f>
        <v>0</v>
      </c>
      <c r="BC163" s="169">
        <f ca="1">IFERROR(AS163/BC$62, 0)</f>
        <v>0</v>
      </c>
      <c r="BD163" s="169">
        <f ca="1">IFERROR(AT163/BD$62, 0)</f>
        <v>0</v>
      </c>
      <c r="BE163" s="170">
        <f ca="1">IFERROR(AU163/BE$62, 0)</f>
        <v>0</v>
      </c>
      <c r="BG163" s="171" t="s">
        <v>18</v>
      </c>
      <c r="BH163" s="172">
        <f ca="1">SUM(BH159:BH162)</f>
        <v>0</v>
      </c>
      <c r="BI163" s="173">
        <f ca="1">SUM(BI159:BI162)</f>
        <v>0</v>
      </c>
      <c r="BJ163" s="173">
        <f ca="1">SUM(BJ159:BJ162)</f>
        <v>0</v>
      </c>
      <c r="BK163" s="173">
        <f ca="1">SUM(BK159:BK162)</f>
        <v>0</v>
      </c>
      <c r="BL163" s="174">
        <f ca="1">SUM(BL159:BL162)</f>
        <v>0</v>
      </c>
      <c r="BM163" s="175">
        <f ca="1">IFERROR(BH163/BM$62, 0)</f>
        <v>0</v>
      </c>
      <c r="BN163" s="176">
        <f ca="1">IFERROR(BI163/BN$62, 0)</f>
        <v>0</v>
      </c>
      <c r="BO163" s="176">
        <f ca="1">IFERROR(BJ163/BO$62, 0)</f>
        <v>0</v>
      </c>
      <c r="BP163" s="176">
        <f ca="1">IFERROR(BK163/BP$62, 0)</f>
        <v>0</v>
      </c>
      <c r="BQ163" s="177">
        <f ca="1">IFERROR(BL163/BQ$62, 0)</f>
        <v>0</v>
      </c>
      <c r="BR163" s="176">
        <f ca="1">IFERROR(BH163/BR$62, 0)</f>
        <v>0</v>
      </c>
      <c r="BS163" s="176">
        <f ca="1">IFERROR(BI163/BS$62, 0)</f>
        <v>0</v>
      </c>
      <c r="BT163" s="176">
        <f ca="1">IFERROR(BJ163/BT$62, 0)</f>
        <v>0</v>
      </c>
      <c r="BU163" s="176">
        <f ca="1">IFERROR(BK163/BU$62, 0)</f>
        <v>0</v>
      </c>
      <c r="BV163" s="177">
        <f ca="1">IFERROR(BL163/BV$62, 0)</f>
        <v>0</v>
      </c>
      <c r="BX163" s="171" t="s">
        <v>18</v>
      </c>
      <c r="BY163" s="172" t="e">
        <f ca="1">SUM(BY159:BY162)</f>
        <v>#VALUE!</v>
      </c>
      <c r="BZ163" s="173" t="e">
        <f ca="1">SUM(BZ159:BZ162)</f>
        <v>#VALUE!</v>
      </c>
      <c r="CA163" s="173" t="e">
        <f ca="1">SUM(CA159:CA162)</f>
        <v>#VALUE!</v>
      </c>
      <c r="CB163" s="173" t="e">
        <f ca="1">SUM(CB159:CB162)</f>
        <v>#VALUE!</v>
      </c>
      <c r="CC163" s="174" t="e">
        <f ca="1">SUM(CC159:CC162)</f>
        <v>#VALUE!</v>
      </c>
      <c r="CD163" s="175">
        <f ca="1">IFERROR(BY163/CD62, 0)</f>
        <v>0</v>
      </c>
      <c r="CE163" s="176">
        <f ca="1">IFERROR(BZ163/CE62, 0)</f>
        <v>0</v>
      </c>
      <c r="CF163" s="176">
        <f ca="1">IFERROR(CA163/CF62, 0)</f>
        <v>0</v>
      </c>
      <c r="CG163" s="176">
        <f ca="1">IFERROR(CB163/CG62, 0)</f>
        <v>0</v>
      </c>
      <c r="CH163" s="177">
        <f ca="1">IFERROR(CC163/CH62, 0)</f>
        <v>0</v>
      </c>
      <c r="CI163" s="176">
        <f t="shared" ca="1" si="155"/>
        <v>0</v>
      </c>
      <c r="CJ163" s="176">
        <f t="shared" ca="1" si="155"/>
        <v>0</v>
      </c>
      <c r="CK163" s="176">
        <f t="shared" ca="1" si="155"/>
        <v>0</v>
      </c>
      <c r="CL163" s="176">
        <f t="shared" ca="1" si="155"/>
        <v>0</v>
      </c>
      <c r="CM163" s="177">
        <f t="shared" ca="1" si="155"/>
        <v>0</v>
      </c>
    </row>
    <row r="166" spans="1:117" ht="2" customHeight="1" x14ac:dyDescent="0.35">
      <c r="A166" s="194"/>
      <c r="B166" s="194"/>
      <c r="C166" s="194"/>
      <c r="D166" s="194"/>
      <c r="E166" s="194"/>
      <c r="F166" s="194"/>
      <c r="G166" s="194"/>
      <c r="H166" s="194"/>
      <c r="I166" s="194"/>
      <c r="J166" s="194"/>
      <c r="K166" s="194"/>
      <c r="L166" s="194"/>
      <c r="M166" s="194"/>
      <c r="N166" s="194"/>
      <c r="O166" s="194"/>
      <c r="P166" s="194"/>
      <c r="Q166" s="194"/>
      <c r="R166" s="194"/>
      <c r="S166" s="194"/>
      <c r="T166" s="194"/>
      <c r="U166" s="194"/>
      <c r="V166" s="194"/>
      <c r="W166" s="194"/>
      <c r="X166" s="194"/>
      <c r="Y166" s="194"/>
      <c r="Z166" s="194"/>
      <c r="AA166" s="194"/>
      <c r="AB166" s="194"/>
      <c r="AC166" s="194"/>
      <c r="AD166" s="194"/>
      <c r="AE166" s="194"/>
      <c r="AF166" s="194"/>
      <c r="AG166" s="194"/>
      <c r="AH166" s="194"/>
      <c r="AI166" s="194"/>
      <c r="AJ166" s="194"/>
      <c r="AK166" s="194"/>
      <c r="AL166" s="194"/>
      <c r="AM166" s="194"/>
      <c r="AN166" s="194"/>
      <c r="AO166" s="194"/>
      <c r="AP166" s="194"/>
      <c r="AQ166" s="194"/>
      <c r="AR166" s="194"/>
      <c r="AS166" s="194"/>
      <c r="AT166" s="194"/>
      <c r="AU166" s="194"/>
      <c r="AV166" s="194"/>
      <c r="AW166" s="194"/>
      <c r="AX166" s="194"/>
      <c r="AY166" s="194"/>
      <c r="AZ166" s="194"/>
      <c r="BA166" s="194"/>
      <c r="BB166" s="194"/>
      <c r="BC166" s="194"/>
      <c r="BD166" s="194"/>
      <c r="BE166" s="194"/>
      <c r="BF166" s="194"/>
      <c r="BG166" s="194"/>
      <c r="BH166" s="194"/>
      <c r="BI166" s="194"/>
      <c r="BJ166" s="194"/>
      <c r="BK166" s="194"/>
      <c r="BL166" s="194"/>
      <c r="BM166" s="194"/>
      <c r="BN166" s="194"/>
      <c r="BO166" s="194"/>
      <c r="BP166" s="194"/>
      <c r="BQ166" s="194"/>
      <c r="BR166" s="194"/>
      <c r="BS166" s="194"/>
      <c r="BT166" s="194"/>
      <c r="BU166" s="194"/>
      <c r="BV166" s="194"/>
      <c r="BW166" s="194"/>
      <c r="BX166" s="194"/>
      <c r="BY166" s="194"/>
      <c r="BZ166" s="194"/>
      <c r="CA166" s="194"/>
      <c r="CB166" s="194"/>
      <c r="CC166" s="194"/>
      <c r="CD166" s="194"/>
      <c r="CE166" s="194"/>
      <c r="CF166" s="194"/>
      <c r="CG166" s="194"/>
      <c r="CH166" s="194"/>
      <c r="CI166" s="194"/>
      <c r="CJ166" s="194"/>
      <c r="CK166" s="194"/>
      <c r="CL166" s="194"/>
      <c r="CM166" s="194"/>
    </row>
    <row r="167" spans="1:117" x14ac:dyDescent="0.35">
      <c r="A167" s="377" t="s">
        <v>52</v>
      </c>
    </row>
    <row r="168" spans="1:117" ht="15" thickBot="1" x14ac:dyDescent="0.4"/>
    <row r="169" spans="1:117" ht="15" thickBot="1" x14ac:dyDescent="0.4">
      <c r="I169" s="21" t="s">
        <v>53</v>
      </c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3"/>
      <c r="Z169" s="24" t="s">
        <v>53</v>
      </c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6"/>
      <c r="AQ169" s="27" t="s">
        <v>53</v>
      </c>
      <c r="AR169" s="28"/>
      <c r="AS169" s="28"/>
      <c r="AT169" s="28"/>
      <c r="AU169" s="29"/>
      <c r="AV169" s="28"/>
      <c r="AW169" s="28"/>
      <c r="AX169" s="28"/>
      <c r="AY169" s="28"/>
      <c r="AZ169" s="28"/>
      <c r="BA169" s="28"/>
      <c r="BB169" s="28"/>
      <c r="BC169" s="28"/>
      <c r="BD169" s="28"/>
      <c r="BE169" s="30"/>
      <c r="BH169" s="31" t="s">
        <v>53</v>
      </c>
      <c r="BI169" s="32"/>
      <c r="BJ169" s="32"/>
      <c r="BK169" s="32"/>
      <c r="BL169" s="32"/>
      <c r="BM169" s="32"/>
      <c r="BN169" s="32"/>
      <c r="BO169" s="32"/>
      <c r="BP169" s="32"/>
      <c r="BQ169" s="32"/>
      <c r="BR169" s="32"/>
      <c r="BS169" s="32"/>
      <c r="BT169" s="32"/>
      <c r="BU169" s="32"/>
      <c r="BV169" s="33"/>
      <c r="BY169" s="34" t="s">
        <v>53</v>
      </c>
      <c r="BZ169" s="35"/>
      <c r="CA169" s="35"/>
      <c r="CB169" s="35"/>
      <c r="CC169" s="35"/>
      <c r="CD169" s="35"/>
      <c r="CE169" s="35"/>
      <c r="CF169" s="35"/>
      <c r="CG169" s="35"/>
      <c r="CH169" s="35"/>
      <c r="CI169" s="35"/>
      <c r="CJ169" s="35"/>
      <c r="CK169" s="35"/>
      <c r="CL169" s="35"/>
      <c r="CM169" s="36"/>
      <c r="CO169" s="196" t="str">
        <f>"Base Yr (B/G indicator of Medispan + Override) "&amp;IF(input_Annual="Yes", "Annualized", "")</f>
        <v>Base Yr (B/G indicator of Medispan + Override) Annualized</v>
      </c>
      <c r="CP169" s="197"/>
      <c r="CQ169" s="197"/>
      <c r="CR169" s="198"/>
      <c r="CS169" s="198"/>
      <c r="CT169" s="198"/>
      <c r="CU169" s="198"/>
      <c r="CV169" s="198"/>
      <c r="CW169" s="198"/>
    </row>
    <row r="170" spans="1:117" ht="15" thickBot="1" x14ac:dyDescent="0.4">
      <c r="H170" s="37"/>
      <c r="I170" s="38" t="s">
        <v>54</v>
      </c>
      <c r="J170" s="39"/>
      <c r="K170" s="39"/>
      <c r="L170" s="39"/>
      <c r="M170" s="40"/>
      <c r="N170" s="38" t="s">
        <v>55</v>
      </c>
      <c r="O170" s="39"/>
      <c r="P170" s="39"/>
      <c r="Q170" s="39"/>
      <c r="R170" s="40"/>
      <c r="S170" s="38" t="s">
        <v>18</v>
      </c>
      <c r="T170" s="39"/>
      <c r="U170" s="39"/>
      <c r="V170" s="39"/>
      <c r="W170" s="40"/>
      <c r="Z170" s="41" t="s">
        <v>54</v>
      </c>
      <c r="AA170" s="42"/>
      <c r="AB170" s="42"/>
      <c r="AC170" s="42"/>
      <c r="AD170" s="43"/>
      <c r="AE170" s="41" t="s">
        <v>55</v>
      </c>
      <c r="AF170" s="42"/>
      <c r="AG170" s="42"/>
      <c r="AH170" s="42"/>
      <c r="AI170" s="43"/>
      <c r="AJ170" s="41" t="s">
        <v>18</v>
      </c>
      <c r="AK170" s="42"/>
      <c r="AL170" s="42"/>
      <c r="AM170" s="42"/>
      <c r="AN170" s="43"/>
      <c r="AQ170" s="44" t="s">
        <v>54</v>
      </c>
      <c r="AR170" s="45"/>
      <c r="AS170" s="45"/>
      <c r="AT170" s="45"/>
      <c r="AU170" s="46"/>
      <c r="AV170" s="44" t="s">
        <v>55</v>
      </c>
      <c r="AW170" s="45"/>
      <c r="AX170" s="45"/>
      <c r="AY170" s="45"/>
      <c r="AZ170" s="46"/>
      <c r="BA170" s="45" t="s">
        <v>18</v>
      </c>
      <c r="BB170" s="45"/>
      <c r="BC170" s="45"/>
      <c r="BD170" s="45"/>
      <c r="BE170" s="46"/>
      <c r="BH170" s="47" t="s">
        <v>54</v>
      </c>
      <c r="BI170" s="48"/>
      <c r="BJ170" s="48"/>
      <c r="BK170" s="48"/>
      <c r="BL170" s="49"/>
      <c r="BM170" s="47" t="s">
        <v>55</v>
      </c>
      <c r="BN170" s="48"/>
      <c r="BO170" s="48"/>
      <c r="BP170" s="48"/>
      <c r="BQ170" s="49"/>
      <c r="BR170" s="50" t="s">
        <v>18</v>
      </c>
      <c r="BS170" s="50"/>
      <c r="BT170" s="50"/>
      <c r="BU170" s="50"/>
      <c r="BV170" s="51"/>
      <c r="BY170" s="47" t="s">
        <v>54</v>
      </c>
      <c r="BZ170" s="48"/>
      <c r="CA170" s="48"/>
      <c r="CB170" s="48"/>
      <c r="CC170" s="49"/>
      <c r="CD170" s="47" t="s">
        <v>55</v>
      </c>
      <c r="CE170" s="48"/>
      <c r="CF170" s="48"/>
      <c r="CG170" s="48"/>
      <c r="CH170" s="49"/>
      <c r="CI170" s="50" t="s">
        <v>18</v>
      </c>
      <c r="CJ170" s="50"/>
      <c r="CK170" s="50"/>
      <c r="CL170" s="50"/>
      <c r="CM170" s="51"/>
      <c r="CO170" s="199" t="s">
        <v>23</v>
      </c>
      <c r="CP170" s="200"/>
      <c r="CQ170" s="201"/>
      <c r="CR170" s="199" t="s">
        <v>27</v>
      </c>
      <c r="CS170" s="200"/>
      <c r="CT170" s="201"/>
      <c r="CU170" s="200" t="s">
        <v>8</v>
      </c>
      <c r="CV170" s="200"/>
      <c r="CW170" s="201"/>
    </row>
    <row r="171" spans="1:117" ht="29.5" thickBot="1" x14ac:dyDescent="0.4">
      <c r="H171" s="55"/>
      <c r="I171" s="56" t="str">
        <f>[1]Tables!$AA$4</f>
        <v>07/27 - 06/28</v>
      </c>
      <c r="J171" s="55" t="str">
        <f>[1]Tables!$AA$5</f>
        <v>07/28 - 06/29</v>
      </c>
      <c r="K171" s="55" t="str">
        <f>[1]Tables!$AA$6</f>
        <v>07/29 - 06/30</v>
      </c>
      <c r="L171" s="55" t="str">
        <f>[1]Tables!$AA$7</f>
        <v>07/30 - 06/31</v>
      </c>
      <c r="M171" s="57" t="str">
        <f>[1]Tables!$AA$8</f>
        <v>07/31 - 06/32</v>
      </c>
      <c r="N171" s="56" t="str">
        <f>[1]Tables!$AA$4</f>
        <v>07/27 - 06/28</v>
      </c>
      <c r="O171" s="55" t="str">
        <f>[1]Tables!$AA$5</f>
        <v>07/28 - 06/29</v>
      </c>
      <c r="P171" s="55" t="str">
        <f>[1]Tables!$AA$6</f>
        <v>07/29 - 06/30</v>
      </c>
      <c r="Q171" s="55" t="str">
        <f>[1]Tables!$AA$7</f>
        <v>07/30 - 06/31</v>
      </c>
      <c r="R171" s="57" t="str">
        <f>[1]Tables!$AA$8</f>
        <v>07/31 - 06/32</v>
      </c>
      <c r="S171" s="56" t="str">
        <f>[1]Tables!$AA$4</f>
        <v>07/27 - 06/28</v>
      </c>
      <c r="T171" s="55" t="str">
        <f>[1]Tables!$AA$5</f>
        <v>07/28 - 06/29</v>
      </c>
      <c r="U171" s="55" t="str">
        <f>[1]Tables!$AA$6</f>
        <v>07/29 - 06/30</v>
      </c>
      <c r="V171" s="55" t="str">
        <f>[1]Tables!$AA$7</f>
        <v>07/30 - 06/31</v>
      </c>
      <c r="W171" s="57" t="str">
        <f>[1]Tables!$AA$8</f>
        <v>07/31 - 06/32</v>
      </c>
      <c r="Y171" s="58"/>
      <c r="Z171" s="59" t="str">
        <f>[1]Tables!$AA$4</f>
        <v>07/27 - 06/28</v>
      </c>
      <c r="AA171" s="60" t="str">
        <f>[1]Tables!$AA$5</f>
        <v>07/28 - 06/29</v>
      </c>
      <c r="AB171" s="60" t="str">
        <f>[1]Tables!$AA$6</f>
        <v>07/29 - 06/30</v>
      </c>
      <c r="AC171" s="60" t="str">
        <f>[1]Tables!$AA$7</f>
        <v>07/30 - 06/31</v>
      </c>
      <c r="AD171" s="61" t="str">
        <f>[1]Tables!$AA$8</f>
        <v>07/31 - 06/32</v>
      </c>
      <c r="AE171" s="59" t="str">
        <f>[1]Tables!$AA$4</f>
        <v>07/27 - 06/28</v>
      </c>
      <c r="AF171" s="60" t="str">
        <f>[1]Tables!$AA$5</f>
        <v>07/28 - 06/29</v>
      </c>
      <c r="AG171" s="60" t="str">
        <f>[1]Tables!$AA$6</f>
        <v>07/29 - 06/30</v>
      </c>
      <c r="AH171" s="60" t="str">
        <f>[1]Tables!$AA$7</f>
        <v>07/30 - 06/31</v>
      </c>
      <c r="AI171" s="61" t="str">
        <f>[1]Tables!$AA$8</f>
        <v>07/31 - 06/32</v>
      </c>
      <c r="AJ171" s="59" t="str">
        <f>[1]Tables!$AA$4</f>
        <v>07/27 - 06/28</v>
      </c>
      <c r="AK171" s="60" t="str">
        <f>[1]Tables!$AA$5</f>
        <v>07/28 - 06/29</v>
      </c>
      <c r="AL171" s="60" t="str">
        <f>[1]Tables!$AA$6</f>
        <v>07/29 - 06/30</v>
      </c>
      <c r="AM171" s="60" t="str">
        <f>[1]Tables!$AA$7</f>
        <v>07/30 - 06/31</v>
      </c>
      <c r="AN171" s="61" t="str">
        <f>[1]Tables!$AA$8</f>
        <v>07/31 - 06/32</v>
      </c>
      <c r="AP171" s="58"/>
      <c r="AQ171" s="62" t="str">
        <f>[1]Tables!$AA$4</f>
        <v>07/27 - 06/28</v>
      </c>
      <c r="AR171" s="63" t="str">
        <f>[1]Tables!$AA$5</f>
        <v>07/28 - 06/29</v>
      </c>
      <c r="AS171" s="63" t="str">
        <f>[1]Tables!$AA$6</f>
        <v>07/29 - 06/30</v>
      </c>
      <c r="AT171" s="63" t="str">
        <f>[1]Tables!$AA$7</f>
        <v>07/30 - 06/31</v>
      </c>
      <c r="AU171" s="64" t="str">
        <f>[1]Tables!$AA$8</f>
        <v>07/31 - 06/32</v>
      </c>
      <c r="AV171" s="62" t="str">
        <f>[1]Tables!$AA$4</f>
        <v>07/27 - 06/28</v>
      </c>
      <c r="AW171" s="63" t="str">
        <f>[1]Tables!$AA$5</f>
        <v>07/28 - 06/29</v>
      </c>
      <c r="AX171" s="63" t="str">
        <f>[1]Tables!$AA$6</f>
        <v>07/29 - 06/30</v>
      </c>
      <c r="AY171" s="63" t="str">
        <f>[1]Tables!$AA$7</f>
        <v>07/30 - 06/31</v>
      </c>
      <c r="AZ171" s="64" t="str">
        <f>[1]Tables!$AA$8</f>
        <v>07/31 - 06/32</v>
      </c>
      <c r="BA171" s="63" t="str">
        <f>[1]Tables!$AA$4</f>
        <v>07/27 - 06/28</v>
      </c>
      <c r="BB171" s="63" t="str">
        <f>[1]Tables!$AA$5</f>
        <v>07/28 - 06/29</v>
      </c>
      <c r="BC171" s="63" t="str">
        <f>[1]Tables!$AA$6</f>
        <v>07/29 - 06/30</v>
      </c>
      <c r="BD171" s="63" t="str">
        <f>[1]Tables!$AA$7</f>
        <v>07/30 - 06/31</v>
      </c>
      <c r="BE171" s="64" t="str">
        <f>[1]Tables!$AA$8</f>
        <v>07/31 - 06/32</v>
      </c>
      <c r="BG171" s="58"/>
      <c r="BH171" s="65" t="str">
        <f>[1]Tables!$AA$4</f>
        <v>07/27 - 06/28</v>
      </c>
      <c r="BI171" s="66" t="str">
        <f>[1]Tables!$AA$5</f>
        <v>07/28 - 06/29</v>
      </c>
      <c r="BJ171" s="66" t="str">
        <f>[1]Tables!$AA$6</f>
        <v>07/29 - 06/30</v>
      </c>
      <c r="BK171" s="66" t="str">
        <f>[1]Tables!$AA$7</f>
        <v>07/30 - 06/31</v>
      </c>
      <c r="BL171" s="67" t="str">
        <f>[1]Tables!$AA$8</f>
        <v>07/31 - 06/32</v>
      </c>
      <c r="BM171" s="65" t="str">
        <f>[1]Tables!$AA$4</f>
        <v>07/27 - 06/28</v>
      </c>
      <c r="BN171" s="66" t="str">
        <f>[1]Tables!$AA$5</f>
        <v>07/28 - 06/29</v>
      </c>
      <c r="BO171" s="66" t="str">
        <f>[1]Tables!$AA$6</f>
        <v>07/29 - 06/30</v>
      </c>
      <c r="BP171" s="66" t="str">
        <f>[1]Tables!$AA$7</f>
        <v>07/30 - 06/31</v>
      </c>
      <c r="BQ171" s="67" t="str">
        <f>[1]Tables!$AA$8</f>
        <v>07/31 - 06/32</v>
      </c>
      <c r="BR171" s="66" t="str">
        <f>[1]Tables!$AA$4</f>
        <v>07/27 - 06/28</v>
      </c>
      <c r="BS171" s="66" t="str">
        <f>[1]Tables!$AA$5</f>
        <v>07/28 - 06/29</v>
      </c>
      <c r="BT171" s="66" t="str">
        <f>[1]Tables!$AA$6</f>
        <v>07/29 - 06/30</v>
      </c>
      <c r="BU171" s="66" t="str">
        <f>[1]Tables!$AA$7</f>
        <v>07/30 - 06/31</v>
      </c>
      <c r="BV171" s="67" t="str">
        <f>[1]Tables!$AA$8</f>
        <v>07/31 - 06/32</v>
      </c>
      <c r="BX171" s="58"/>
      <c r="BY171" s="65" t="str">
        <f>[1]Tables!$AA$4</f>
        <v>07/27 - 06/28</v>
      </c>
      <c r="BZ171" s="66" t="str">
        <f>[1]Tables!$AA$5</f>
        <v>07/28 - 06/29</v>
      </c>
      <c r="CA171" s="66" t="str">
        <f>[1]Tables!$AA$6</f>
        <v>07/29 - 06/30</v>
      </c>
      <c r="CB171" s="66" t="str">
        <f>[1]Tables!$AA$7</f>
        <v>07/30 - 06/31</v>
      </c>
      <c r="CC171" s="67" t="str">
        <f>[1]Tables!$AA$8</f>
        <v>07/31 - 06/32</v>
      </c>
      <c r="CD171" s="65" t="str">
        <f>[1]Tables!$AA$4</f>
        <v>07/27 - 06/28</v>
      </c>
      <c r="CE171" s="66" t="str">
        <f>[1]Tables!$AA$5</f>
        <v>07/28 - 06/29</v>
      </c>
      <c r="CF171" s="66" t="str">
        <f>[1]Tables!$AA$6</f>
        <v>07/29 - 06/30</v>
      </c>
      <c r="CG171" s="66" t="str">
        <f>[1]Tables!$AA$7</f>
        <v>07/30 - 06/31</v>
      </c>
      <c r="CH171" s="67" t="str">
        <f>[1]Tables!$AA$8</f>
        <v>07/31 - 06/32</v>
      </c>
      <c r="CI171" s="66" t="str">
        <f>[1]Tables!$AA$4</f>
        <v>07/27 - 06/28</v>
      </c>
      <c r="CJ171" s="66" t="str">
        <f>[1]Tables!$AA$5</f>
        <v>07/28 - 06/29</v>
      </c>
      <c r="CK171" s="66" t="str">
        <f>[1]Tables!$AA$6</f>
        <v>07/29 - 06/30</v>
      </c>
      <c r="CL171" s="66" t="str">
        <f>[1]Tables!$AA$7</f>
        <v>07/30 - 06/31</v>
      </c>
      <c r="CM171" s="67" t="str">
        <f>[1]Tables!$AA$8</f>
        <v>07/31 - 06/32</v>
      </c>
      <c r="CO171" s="65" t="s">
        <v>54</v>
      </c>
      <c r="CP171" s="66" t="s">
        <v>55</v>
      </c>
      <c r="CQ171" s="202" t="s">
        <v>18</v>
      </c>
      <c r="CR171" s="66" t="s">
        <v>54</v>
      </c>
      <c r="CS171" s="66" t="s">
        <v>55</v>
      </c>
      <c r="CT171" s="202" t="s">
        <v>18</v>
      </c>
      <c r="CU171" s="65" t="s">
        <v>54</v>
      </c>
      <c r="CV171" s="67" t="s">
        <v>55</v>
      </c>
      <c r="CW171" s="67" t="s">
        <v>18</v>
      </c>
    </row>
    <row r="172" spans="1:117" x14ac:dyDescent="0.35">
      <c r="B172" s="68" t="s">
        <v>11</v>
      </c>
      <c r="C172" s="69">
        <v>30</v>
      </c>
      <c r="D172" s="69" t="s">
        <v>12</v>
      </c>
      <c r="E172" s="70" t="s">
        <v>12</v>
      </c>
      <c r="F172" s="106">
        <v>1</v>
      </c>
      <c r="H172" s="71" t="s">
        <v>14</v>
      </c>
      <c r="I172" s="203" t="e" cm="1">
        <f t="array" aca="1" ref="I172" ca="1">SUMIFS(rng_out_rx_pre_yr1, rng_out_GB_Medispan, "G",  rng_out_sel_G_ind, "G", rng_out_mail_ind, $B172, rng_out_ds, $C172, rng_out_sel_sp_ind, $D172) - I276</f>
        <v>#VALUE!</v>
      </c>
      <c r="J172" s="195" t="e" cm="1">
        <f t="array" aca="1" ref="J172" ca="1">SUMIFS(rng_out_rx_pre_yr2, rng_out_GB_Medispan, "G",  rng_out_sel_G_ind, "G", rng_out_mail_ind, $B172, rng_out_ds, $C172, rng_out_sel_sp_ind, $D172) - J276</f>
        <v>#VALUE!</v>
      </c>
      <c r="K172" s="195" t="e" cm="1">
        <f t="array" aca="1" ref="K172" ca="1">SUMIFS(rng_out_rx_pre_yr3, rng_out_GB_Medispan, "G",  rng_out_sel_G_ind, "G", rng_out_mail_ind, $B172, rng_out_ds, $C172, rng_out_sel_sp_ind, $D172) - K276</f>
        <v>#VALUE!</v>
      </c>
      <c r="L172" s="195" t="e" cm="1">
        <f t="array" aca="1" ref="L172" ca="1">SUMIFS(rng_out_rx_pre_yr4, rng_out_GB_Medispan, "G",  rng_out_sel_G_ind, "G", rng_out_mail_ind, $B172, rng_out_ds, $C172, rng_out_sel_sp_ind, $D172) - L276</f>
        <v>#VALUE!</v>
      </c>
      <c r="M172" s="204" t="e" cm="1">
        <f t="array" aca="1" ref="M172" ca="1">SUMIFS(rng_out_rx_pre_yr5, rng_out_GB_Medispan, "G",  rng_out_sel_G_ind, "G", rng_out_mail_ind, $B172, rng_out_ds, $C172, rng_out_sel_sp_ind, $D172) - M276</f>
        <v>#VALUE!</v>
      </c>
      <c r="N172" s="203" t="e" cm="1">
        <f t="array" aca="1" ref="N172" ca="1">SUMIFS(rng_out_rx_pre_yr1, rng_out_GB_Medispan, "B",  rng_out_sel_G_ind, "B", rng_out_mail_ind, $B172, rng_out_ds, $C172, rng_out_sel_sp_ind, $D172) - N276</f>
        <v>#VALUE!</v>
      </c>
      <c r="O172" s="195" t="e" cm="1">
        <f t="array" aca="1" ref="O172" ca="1">SUMIFS(rng_out_rx_pre_yr2, rng_out_GB_Medispan, "B",  rng_out_sel_G_ind, "B", rng_out_mail_ind, $B172, rng_out_ds, $C172, rng_out_sel_sp_ind, $D172) - O276</f>
        <v>#VALUE!</v>
      </c>
      <c r="P172" s="195" t="e" cm="1">
        <f t="array" aca="1" ref="P172" ca="1">SUMIFS(rng_out_rx_pre_yr3, rng_out_GB_Medispan, "B",  rng_out_sel_G_ind, "B", rng_out_mail_ind, $B172, rng_out_ds, $C172, rng_out_sel_sp_ind, $D172) - P276</f>
        <v>#VALUE!</v>
      </c>
      <c r="Q172" s="195" t="e" cm="1">
        <f t="array" aca="1" ref="Q172" ca="1">SUMIFS(rng_out_rx_pre_yr4, rng_out_GB_Medispan, "B",  rng_out_sel_G_ind, "B", rng_out_mail_ind, $B172, rng_out_ds, $C172, rng_out_sel_sp_ind, $D172) - Q276</f>
        <v>#VALUE!</v>
      </c>
      <c r="R172" s="204" t="e" cm="1">
        <f t="array" aca="1" ref="R172" ca="1">SUMIFS(rng_out_rx_pre_yr5, rng_out_GB_Medispan, "B",  rng_out_sel_G_ind, "B", rng_out_mail_ind, $B172, rng_out_ds, $C172, rng_out_sel_sp_ind, $D172) - R276</f>
        <v>#VALUE!</v>
      </c>
      <c r="S172" s="205" t="e">
        <f t="shared" ref="S172:W175" ca="1" si="156">I172+N172</f>
        <v>#VALUE!</v>
      </c>
      <c r="T172" s="206" t="e">
        <f t="shared" ca="1" si="156"/>
        <v>#VALUE!</v>
      </c>
      <c r="U172" s="206" t="e">
        <f t="shared" ca="1" si="156"/>
        <v>#VALUE!</v>
      </c>
      <c r="V172" s="206" t="e">
        <f t="shared" ca="1" si="156"/>
        <v>#VALUE!</v>
      </c>
      <c r="W172" s="207" t="e">
        <f t="shared" ca="1" si="156"/>
        <v>#VALUE!</v>
      </c>
      <c r="Y172" s="77" t="s">
        <v>14</v>
      </c>
      <c r="Z172" s="208">
        <f ca="1">IFERROR(I172/[1]Tables!$AT$4, 0)</f>
        <v>0</v>
      </c>
      <c r="AA172" s="206">
        <f ca="1">IFERROR(J172/[1]Tables!$AT$4, 0)</f>
        <v>0</v>
      </c>
      <c r="AB172" s="206">
        <f ca="1">IFERROR(K172/[1]Tables!$AT$4, 0)</f>
        <v>0</v>
      </c>
      <c r="AC172" s="206">
        <f ca="1">IFERROR(L172/[1]Tables!$AT$4, 0)</f>
        <v>0</v>
      </c>
      <c r="AD172" s="209">
        <f ca="1">IFERROR(M172/[1]Tables!$AT$4, 0)</f>
        <v>0</v>
      </c>
      <c r="AE172" s="208">
        <f ca="1">IFERROR(N172/[1]Tables!$AT$4, 0)</f>
        <v>0</v>
      </c>
      <c r="AF172" s="206">
        <f ca="1">IFERROR(O172/[1]Tables!$AT$4, 0)</f>
        <v>0</v>
      </c>
      <c r="AG172" s="206">
        <f ca="1">IFERROR(P172/[1]Tables!$AT$4, 0)</f>
        <v>0</v>
      </c>
      <c r="AH172" s="206">
        <f ca="1">IFERROR(Q172/[1]Tables!$AT$4, 0)</f>
        <v>0</v>
      </c>
      <c r="AI172" s="209">
        <f ca="1">IFERROR(R172/[1]Tables!$AT$4, 0)</f>
        <v>0</v>
      </c>
      <c r="AJ172" s="208">
        <f t="shared" ref="AJ172:AN175" ca="1" si="157">Z172+AE172</f>
        <v>0</v>
      </c>
      <c r="AK172" s="206">
        <f t="shared" ca="1" si="157"/>
        <v>0</v>
      </c>
      <c r="AL172" s="206">
        <f t="shared" ca="1" si="157"/>
        <v>0</v>
      </c>
      <c r="AM172" s="206">
        <f t="shared" ca="1" si="157"/>
        <v>0</v>
      </c>
      <c r="AN172" s="209">
        <f t="shared" ca="1" si="157"/>
        <v>0</v>
      </c>
      <c r="AP172" s="83" t="s">
        <v>14</v>
      </c>
      <c r="AQ172" s="210" cm="1">
        <f t="array" aca="1" ref="AQ172" ca="1">IFERROR(IF(OR(input_Shift="No", [1]Tables!$BN$4=1), 0, (SUMIFS(rng_out_rx_post_yr1, rng_out_mail_ind, $B172, rng_out_GB_Medispan,N$1, rng_out_sel_G_ind, N$1, rng_out_ds, $C172, rng_out_sel_sp_ind, $D172, rng_out_MSB_excl, $F172)/[1]Tables!$AT$4)/[1]Tables!$BN$4*(1-[1]Tables!$BN$4)), 0) - AQ276 + IFERROR(SUMIFS(rng_out_rx_post_yr1, rng_out_GB_Medispan, I$1, rng_out_sel_G_ind, I$1, rng_out_mail_ind, $B172, rng_out_ds, $C172, rng_out_sel_sp_ind, $D172)/[1]Tables!$AT$4, 0)</f>
        <v>0</v>
      </c>
      <c r="AR172" s="195" cm="1">
        <f t="array" aca="1" ref="AR172" ca="1">IFERROR(IF(OR(input_Shift="No", [1]Tables!$BN$4=1), 0, (SUMIFS(rng_out_rx_post_yr2, rng_out_mail_ind, $B172, rng_out_GB_Medispan,O$1, rng_out_sel_G_ind, O$1, rng_out_ds, $C172, rng_out_sel_sp_ind, $D172, rng_out_MSB_excl, $F172)/[1]Tables!$AT$4)/[1]Tables!$BN$4*(1-[1]Tables!$BN$4)), 0) - AR276 + IFERROR(SUMIFS(rng_out_rx_post_yr2, rng_out_GB_Medispan, J$1, rng_out_sel_G_ind, J$1, rng_out_mail_ind, $B172, rng_out_ds, $C172, rng_out_sel_sp_ind, $D172)/[1]Tables!$AT$4, 0)</f>
        <v>0</v>
      </c>
      <c r="AS172" s="195" cm="1">
        <f t="array" aca="1" ref="AS172" ca="1">IFERROR(IF(OR(input_Shift="No", [1]Tables!$BN$4=1), 0, (SUMIFS(rng_out_rx_post_yr3, rng_out_mail_ind, $B172, rng_out_GB_Medispan,P$1, rng_out_sel_G_ind, P$1, rng_out_ds, $C172, rng_out_sel_sp_ind, $D172, rng_out_MSB_excl, $F172)/[1]Tables!$AT$4)/[1]Tables!$BN$4*(1-[1]Tables!$BN$4)), 0) - AS276 + IFERROR(SUMIFS(rng_out_rx_post_yr3, rng_out_GB_Medispan, K$1, rng_out_sel_G_ind, K$1, rng_out_mail_ind, $B172, rng_out_ds, $C172, rng_out_sel_sp_ind, $D172)/[1]Tables!$AT$4, 0)</f>
        <v>0</v>
      </c>
      <c r="AT172" s="195" cm="1">
        <f t="array" aca="1" ref="AT172" ca="1">IFERROR(IF(OR(input_Shift="No", [1]Tables!$BN$4=1), 0, (SUMIFS(rng_out_rx_post_yr4, rng_out_mail_ind, $B172, rng_out_GB_Medispan,Q$1, rng_out_sel_G_ind, Q$1, rng_out_ds, $C172, rng_out_sel_sp_ind, $D172, rng_out_MSB_excl, $F172)/[1]Tables!$AT$4)/[1]Tables!$BN$4*(1-[1]Tables!$BN$4)), 0) - AT276 + IFERROR(SUMIFS(rng_out_rx_post_yr4, rng_out_GB_Medispan, L$1, rng_out_sel_G_ind, L$1, rng_out_mail_ind, $B172, rng_out_ds, $C172, rng_out_sel_sp_ind, $D172)/[1]Tables!$AT$4, 0)</f>
        <v>0</v>
      </c>
      <c r="AU172" s="211" cm="1">
        <f t="array" aca="1" ref="AU172" ca="1">IFERROR(IF(OR(input_Shift="No", [1]Tables!$BN$4=1), 0, (SUMIFS(rng_out_rx_post_yr5, rng_out_mail_ind, $B172, rng_out_GB_Medispan,R$1, rng_out_sel_G_ind, R$1, rng_out_ds, $C172, rng_out_sel_sp_ind, $D172, rng_out_MSB_excl, $F172)/[1]Tables!$AT$4)/[1]Tables!$BN$4*(1-[1]Tables!$BN$4)), 0) - AU276 + IFERROR(SUMIFS(rng_out_rx_post_yr5, rng_out_GB_Medispan, M$1, rng_out_sel_G_ind, M$1, rng_out_mail_ind, $B172, rng_out_ds, $C172, rng_out_sel_sp_ind, $D172)/[1]Tables!$AT$4, 0)</f>
        <v>0</v>
      </c>
      <c r="AV172" s="210" t="e" cm="1">
        <f t="array" aca="1" ref="AV172" ca="1">SUMIFS(rng_out_rx_post_yr1, rng_out_GB_Medispan, "B", rng_out_sel_G_ind, "B", rng_out_mail_ind, $B172, rng_out_ds, $C172, rng_out_sel_sp_ind, $D172)/[1]Tables!$AT$4 - AV276</f>
        <v>#VALUE!</v>
      </c>
      <c r="AW172" s="195" t="e" cm="1">
        <f t="array" aca="1" ref="AW172" ca="1">SUMIFS(rng_out_rx_post_yr2, rng_out_GB_Medispan, "B", rng_out_sel_G_ind, "B", rng_out_mail_ind, $B172, rng_out_ds, $C172, rng_out_sel_sp_ind, $D172)/[1]Tables!$AT$4 - AW276</f>
        <v>#VALUE!</v>
      </c>
      <c r="AX172" s="195" t="e" cm="1">
        <f t="array" aca="1" ref="AX172" ca="1">SUMIFS(rng_out_rx_post_yr3, rng_out_GB_Medispan, "B", rng_out_sel_G_ind, "B", rng_out_mail_ind, $B172, rng_out_ds, $C172, rng_out_sel_sp_ind, $D172)/[1]Tables!$AT$4 - AX276</f>
        <v>#VALUE!</v>
      </c>
      <c r="AY172" s="195" t="e" cm="1">
        <f t="array" aca="1" ref="AY172" ca="1">SUMIFS(rng_out_rx_post_yr4, rng_out_GB_Medispan, "B", rng_out_sel_G_ind, "B", rng_out_mail_ind, $B172, rng_out_ds, $C172, rng_out_sel_sp_ind, $D172)/[1]Tables!$AT$4 - AY276</f>
        <v>#VALUE!</v>
      </c>
      <c r="AZ172" s="211" t="e" cm="1">
        <f t="array" aca="1" ref="AZ172" ca="1">SUMIFS(rng_out_rx_post_yr5, rng_out_GB_Medispan, "B", rng_out_sel_G_ind, "B", rng_out_mail_ind, $B172, rng_out_ds, $C172, rng_out_sel_sp_ind, $D172)/[1]Tables!$AT$4 - AZ276</f>
        <v>#VALUE!</v>
      </c>
      <c r="BA172" s="206" t="e">
        <f t="shared" ref="BA172:BE175" ca="1" si="158">AQ172+AV172</f>
        <v>#VALUE!</v>
      </c>
      <c r="BB172" s="206" t="e">
        <f t="shared" ca="1" si="158"/>
        <v>#VALUE!</v>
      </c>
      <c r="BC172" s="206" t="e">
        <f t="shared" ca="1" si="158"/>
        <v>#VALUE!</v>
      </c>
      <c r="BD172" s="206" t="e">
        <f t="shared" ca="1" si="158"/>
        <v>#VALUE!</v>
      </c>
      <c r="BE172" s="212" t="e">
        <f t="shared" ca="1" si="158"/>
        <v>#VALUE!</v>
      </c>
      <c r="BG172" s="88" t="s">
        <v>14</v>
      </c>
      <c r="BH172" s="213">
        <f t="shared" ref="BH172:BQ175" ca="1" si="159">AQ172</f>
        <v>0</v>
      </c>
      <c r="BI172" s="206">
        <f t="shared" ca="1" si="159"/>
        <v>0</v>
      </c>
      <c r="BJ172" s="206">
        <f t="shared" ca="1" si="159"/>
        <v>0</v>
      </c>
      <c r="BK172" s="206">
        <f t="shared" ca="1" si="159"/>
        <v>0</v>
      </c>
      <c r="BL172" s="214">
        <f t="shared" ca="1" si="159"/>
        <v>0</v>
      </c>
      <c r="BM172" s="213" t="e">
        <f t="shared" ca="1" si="159"/>
        <v>#VALUE!</v>
      </c>
      <c r="BN172" s="206" t="e">
        <f t="shared" ca="1" si="159"/>
        <v>#VALUE!</v>
      </c>
      <c r="BO172" s="206" t="e">
        <f t="shared" ca="1" si="159"/>
        <v>#VALUE!</v>
      </c>
      <c r="BP172" s="206" t="e">
        <f t="shared" ca="1" si="159"/>
        <v>#VALUE!</v>
      </c>
      <c r="BQ172" s="214" t="e">
        <f t="shared" ca="1" si="159"/>
        <v>#VALUE!</v>
      </c>
      <c r="BR172" s="215" t="e">
        <f t="shared" ref="BR172:BV175" ca="1" si="160">BH172+BM172</f>
        <v>#VALUE!</v>
      </c>
      <c r="BS172" s="216" t="e">
        <f t="shared" ca="1" si="160"/>
        <v>#VALUE!</v>
      </c>
      <c r="BT172" s="216" t="e">
        <f t="shared" ca="1" si="160"/>
        <v>#VALUE!</v>
      </c>
      <c r="BU172" s="216" t="e">
        <f t="shared" ca="1" si="160"/>
        <v>#VALUE!</v>
      </c>
      <c r="BV172" s="217" t="e">
        <f t="shared" ca="1" si="160"/>
        <v>#VALUE!</v>
      </c>
      <c r="BX172" s="88" t="s">
        <v>14</v>
      </c>
      <c r="BY172" s="213">
        <f t="shared" ref="BY172:CH175" ca="1" si="161">IFERROR(BY190/BH190, 1)*BH172</f>
        <v>0</v>
      </c>
      <c r="BZ172" s="206">
        <f t="shared" ca="1" si="161"/>
        <v>0</v>
      </c>
      <c r="CA172" s="206">
        <f t="shared" ca="1" si="161"/>
        <v>0</v>
      </c>
      <c r="CB172" s="206">
        <f t="shared" ca="1" si="161"/>
        <v>0</v>
      </c>
      <c r="CC172" s="214">
        <f t="shared" ca="1" si="161"/>
        <v>0</v>
      </c>
      <c r="CD172" s="213" t="e">
        <f t="shared" ca="1" si="161"/>
        <v>#VALUE!</v>
      </c>
      <c r="CE172" s="206" t="e">
        <f t="shared" ca="1" si="161"/>
        <v>#VALUE!</v>
      </c>
      <c r="CF172" s="206" t="e">
        <f t="shared" ca="1" si="161"/>
        <v>#VALUE!</v>
      </c>
      <c r="CG172" s="206" t="e">
        <f t="shared" ca="1" si="161"/>
        <v>#VALUE!</v>
      </c>
      <c r="CH172" s="214" t="e">
        <f t="shared" ca="1" si="161"/>
        <v>#VALUE!</v>
      </c>
      <c r="CI172" s="215" t="e">
        <f t="shared" ref="CI172:CM175" ca="1" si="162">BY172+CD172</f>
        <v>#VALUE!</v>
      </c>
      <c r="CJ172" s="216" t="e">
        <f t="shared" ca="1" si="162"/>
        <v>#VALUE!</v>
      </c>
      <c r="CK172" s="216" t="e">
        <f t="shared" ca="1" si="162"/>
        <v>#VALUE!</v>
      </c>
      <c r="CL172" s="216" t="e">
        <f t="shared" ca="1" si="162"/>
        <v>#VALUE!</v>
      </c>
      <c r="CM172" s="217" t="e">
        <f t="shared" ca="1" si="162"/>
        <v>#VALUE!</v>
      </c>
      <c r="CO172" s="215" cm="1">
        <f t="array" aca="1" ref="CO172" ca="1">_xlfn.SINGLE(IFERROR(SUMIFS(rng_out_rx_base, rng_out_GB_Medispan, "G", rng_out_sel_G_ind, "G", rng_out_mail_ind, $B172, rng_out_ds, $C172, rng_out_sel_sp_ind, $D172, rng_out_sel_excl_ind,$E172)/[1]Tables!$AT$4, 0))</f>
        <v>0</v>
      </c>
      <c r="CP172" s="217" cm="1">
        <f t="array" aca="1" ref="CP172" ca="1">_xlfn.SINGLE(IFERROR(SUMIFS(rng_out_rx_base, rng_out_GB_Medispan, "B", rng_out_sel_G_ind, "B", rng_out_mail_ind, $B172, rng_out_ds, $C172, rng_out_sel_sp_ind, $D172, rng_out_sel_excl_ind,$E172)/[1]Tables!$AT$4, 0))</f>
        <v>0</v>
      </c>
      <c r="CQ172" s="218">
        <f ca="1">SUM(CO172:CP172)</f>
        <v>0</v>
      </c>
      <c r="CR172" s="215" cm="1">
        <f t="array" aca="1" ref="CR172" ca="1">_xlfn.SINGLE(IFERROR(SUMIFS(rng_out_qty_base, rng_out_GB_Medispan, "G", rng_out_sel_G_ind, "G", rng_out_mail_ind, $B172, rng_out_ds, $C172, rng_out_sel_sp_ind, $D172, rng_out_sel_excl_ind,$E172)/[1]Tables!$AT$4, 0))</f>
        <v>0</v>
      </c>
      <c r="CS172" s="216" cm="1">
        <f t="array" aca="1" ref="CS172" ca="1">_xlfn.SINGLE(IFERROR(SUMIFS(rng_out_qty_base, rng_out_GB_Medispan, "B", rng_out_sel_G_ind, "B", rng_out_mail_ind, $B172, rng_out_ds, $C172, rng_out_sel_sp_ind, $D172, rng_out_sel_excl_ind,$E172)/[1]Tables!$AT$4, 0))</f>
        <v>0</v>
      </c>
      <c r="CT172" s="219">
        <f ca="1">SUM(CR172:CS172)</f>
        <v>0</v>
      </c>
      <c r="CU172" s="215" cm="1">
        <f t="array" aca="1" ref="CU172" ca="1">_xlfn.SINGLE(IFERROR(SUMIFS(rng_out_ds_base, rng_out_GB_Medispan, "G", rng_out_sel_G_ind, "G", rng_out_mail_ind, $B172, rng_out_ds, $C172, rng_out_sel_sp_ind, $D172, rng_out_sel_excl_ind,$E172)/[1]Tables!$AT$4, 0))</f>
        <v>0</v>
      </c>
      <c r="CV172" s="217" cm="1">
        <f t="array" aca="1" ref="CV172" ca="1">_xlfn.SINGLE(IFERROR(SUMIFS(rng_out_ds_base, rng_out_GB_Medispan, "B", rng_out_sel_G_ind, "B", rng_out_mail_ind, $B172, rng_out_ds, $C172, rng_out_sel_sp_ind, $D172, rng_out_sel_excl_ind,$E172)/[1]Tables!$AT$4, 0))</f>
        <v>0</v>
      </c>
      <c r="CW172" s="218">
        <f ca="1">SUM(CU172:CV172)</f>
        <v>0</v>
      </c>
    </row>
    <row r="173" spans="1:117" x14ac:dyDescent="0.35">
      <c r="B173" s="105" t="s">
        <v>11</v>
      </c>
      <c r="C173" s="106">
        <v>90</v>
      </c>
      <c r="D173" s="106" t="s">
        <v>12</v>
      </c>
      <c r="E173" s="107" t="s">
        <v>12</v>
      </c>
      <c r="F173" s="106">
        <v>1</v>
      </c>
      <c r="H173" s="108" t="s">
        <v>15</v>
      </c>
      <c r="I173" s="203" t="e" cm="1">
        <f t="array" aca="1" ref="I173" ca="1">SUMIFS(rng_out_rx_pre_yr1, rng_out_GB_Medispan, "G",  rng_out_sel_G_ind, "G", rng_out_mail_ind, $B173, rng_out_ds, $C173, rng_out_sel_sp_ind, $D173) - I277</f>
        <v>#VALUE!</v>
      </c>
      <c r="J173" s="195" t="e" cm="1">
        <f t="array" aca="1" ref="J173" ca="1">SUMIFS(rng_out_rx_pre_yr2, rng_out_GB_Medispan, "G",  rng_out_sel_G_ind, "G", rng_out_mail_ind, $B173, rng_out_ds, $C173, rng_out_sel_sp_ind, $D173) - J277</f>
        <v>#VALUE!</v>
      </c>
      <c r="K173" s="195" t="e" cm="1">
        <f t="array" aca="1" ref="K173" ca="1">SUMIFS(rng_out_rx_pre_yr3, rng_out_GB_Medispan, "G",  rng_out_sel_G_ind, "G", rng_out_mail_ind, $B173, rng_out_ds, $C173, rng_out_sel_sp_ind, $D173) - K277</f>
        <v>#VALUE!</v>
      </c>
      <c r="L173" s="195" t="e" cm="1">
        <f t="array" aca="1" ref="L173" ca="1">SUMIFS(rng_out_rx_pre_yr4, rng_out_GB_Medispan, "G",  rng_out_sel_G_ind, "G", rng_out_mail_ind, $B173, rng_out_ds, $C173, rng_out_sel_sp_ind, $D173) - L277</f>
        <v>#VALUE!</v>
      </c>
      <c r="M173" s="204" t="e" cm="1">
        <f t="array" aca="1" ref="M173" ca="1">SUMIFS(rng_out_rx_pre_yr5, rng_out_GB_Medispan, "G",  rng_out_sel_G_ind, "G", rng_out_mail_ind, $B173, rng_out_ds, $C173, rng_out_sel_sp_ind, $D173) - M277</f>
        <v>#VALUE!</v>
      </c>
      <c r="N173" s="203" t="e" cm="1">
        <f t="array" aca="1" ref="N173" ca="1">SUMIFS(rng_out_rx_pre_yr1, rng_out_GB_Medispan, "B",  rng_out_sel_G_ind, "B", rng_out_mail_ind, $B173, rng_out_ds, $C173, rng_out_sel_sp_ind, $D173) - N277</f>
        <v>#VALUE!</v>
      </c>
      <c r="O173" s="195" t="e" cm="1">
        <f t="array" aca="1" ref="O173" ca="1">SUMIFS(rng_out_rx_pre_yr2, rng_out_GB_Medispan, "B",  rng_out_sel_G_ind, "B", rng_out_mail_ind, $B173, rng_out_ds, $C173, rng_out_sel_sp_ind, $D173) - O277</f>
        <v>#VALUE!</v>
      </c>
      <c r="P173" s="195" t="e" cm="1">
        <f t="array" aca="1" ref="P173" ca="1">SUMIFS(rng_out_rx_pre_yr3, rng_out_GB_Medispan, "B",  rng_out_sel_G_ind, "B", rng_out_mail_ind, $B173, rng_out_ds, $C173, rng_out_sel_sp_ind, $D173) - P277</f>
        <v>#VALUE!</v>
      </c>
      <c r="Q173" s="195" t="e" cm="1">
        <f t="array" aca="1" ref="Q173" ca="1">SUMIFS(rng_out_rx_pre_yr4, rng_out_GB_Medispan, "B",  rng_out_sel_G_ind, "B", rng_out_mail_ind, $B173, rng_out_ds, $C173, rng_out_sel_sp_ind, $D173) - Q277</f>
        <v>#VALUE!</v>
      </c>
      <c r="R173" s="204" t="e" cm="1">
        <f t="array" aca="1" ref="R173" ca="1">SUMIFS(rng_out_rx_pre_yr5, rng_out_GB_Medispan, "B",  rng_out_sel_G_ind, "B", rng_out_mail_ind, $B173, rng_out_ds, $C173, rng_out_sel_sp_ind, $D173) - R277</f>
        <v>#VALUE!</v>
      </c>
      <c r="S173" s="205" t="e">
        <f t="shared" ca="1" si="156"/>
        <v>#VALUE!</v>
      </c>
      <c r="T173" s="206" t="e">
        <f t="shared" ca="1" si="156"/>
        <v>#VALUE!</v>
      </c>
      <c r="U173" s="206" t="e">
        <f t="shared" ca="1" si="156"/>
        <v>#VALUE!</v>
      </c>
      <c r="V173" s="206" t="e">
        <f t="shared" ca="1" si="156"/>
        <v>#VALUE!</v>
      </c>
      <c r="W173" s="207" t="e">
        <f t="shared" ca="1" si="156"/>
        <v>#VALUE!</v>
      </c>
      <c r="Y173" s="109" t="s">
        <v>15</v>
      </c>
      <c r="Z173" s="208">
        <f ca="1">IFERROR(I173/[1]Tables!$AT$4, 0)</f>
        <v>0</v>
      </c>
      <c r="AA173" s="206">
        <f ca="1">IFERROR(J173/[1]Tables!$AT$4, 0)</f>
        <v>0</v>
      </c>
      <c r="AB173" s="206">
        <f ca="1">IFERROR(K173/[1]Tables!$AT$4, 0)</f>
        <v>0</v>
      </c>
      <c r="AC173" s="206">
        <f ca="1">IFERROR(L173/[1]Tables!$AT$4, 0)</f>
        <v>0</v>
      </c>
      <c r="AD173" s="209">
        <f ca="1">IFERROR(M173/[1]Tables!$AT$4, 0)</f>
        <v>0</v>
      </c>
      <c r="AE173" s="208">
        <f ca="1">IFERROR(N173/[1]Tables!$AT$4, 0)</f>
        <v>0</v>
      </c>
      <c r="AF173" s="206">
        <f ca="1">IFERROR(O173/[1]Tables!$AT$4, 0)</f>
        <v>0</v>
      </c>
      <c r="AG173" s="206">
        <f ca="1">IFERROR(P173/[1]Tables!$AT$4, 0)</f>
        <v>0</v>
      </c>
      <c r="AH173" s="206">
        <f ca="1">IFERROR(Q173/[1]Tables!$AT$4, 0)</f>
        <v>0</v>
      </c>
      <c r="AI173" s="209">
        <f ca="1">IFERROR(R173/[1]Tables!$AT$4, 0)</f>
        <v>0</v>
      </c>
      <c r="AJ173" s="208">
        <f t="shared" ca="1" si="157"/>
        <v>0</v>
      </c>
      <c r="AK173" s="206">
        <f t="shared" ca="1" si="157"/>
        <v>0</v>
      </c>
      <c r="AL173" s="206">
        <f t="shared" ca="1" si="157"/>
        <v>0</v>
      </c>
      <c r="AM173" s="206">
        <f t="shared" ca="1" si="157"/>
        <v>0</v>
      </c>
      <c r="AN173" s="209">
        <f t="shared" ca="1" si="157"/>
        <v>0</v>
      </c>
      <c r="AP173" s="110" t="s">
        <v>15</v>
      </c>
      <c r="AQ173" s="210" cm="1">
        <f t="array" aca="1" ref="AQ173" ca="1">IFERROR(IF(OR(input_Shift="No", [1]Tables!$BN$4=1), 0, (SUMIFS(rng_out_rx_post_yr1, rng_out_mail_ind, $B173, rng_out_GB_Medispan,N$1, rng_out_sel_G_ind, N$1, rng_out_ds, $C173, rng_out_sel_sp_ind, $D173, rng_out_MSB_excl, $F173)/[1]Tables!$AT$4)/[1]Tables!$BN$4*(1-[1]Tables!$BN$4)), 0) - AQ277 + IFERROR(SUMIFS(rng_out_rx_post_yr1, rng_out_GB_Medispan, I$1, rng_out_sel_G_ind, I$1, rng_out_mail_ind, $B173, rng_out_ds, $C173, rng_out_sel_sp_ind, $D173)/[1]Tables!$AT$4, 0)</f>
        <v>0</v>
      </c>
      <c r="AR173" s="195" cm="1">
        <f t="array" aca="1" ref="AR173" ca="1">IFERROR(IF(OR(input_Shift="No", [1]Tables!$BN$4=1), 0, (SUMIFS(rng_out_rx_post_yr2, rng_out_mail_ind, $B173, rng_out_GB_Medispan,O$1, rng_out_sel_G_ind, O$1, rng_out_ds, $C173, rng_out_sel_sp_ind, $D173, rng_out_MSB_excl, $F173)/[1]Tables!$AT$4)/[1]Tables!$BN$4*(1-[1]Tables!$BN$4)), 0) - AR277 + IFERROR(SUMIFS(rng_out_rx_post_yr2, rng_out_GB_Medispan, J$1, rng_out_sel_G_ind, J$1, rng_out_mail_ind, $B173, rng_out_ds, $C173, rng_out_sel_sp_ind, $D173)/[1]Tables!$AT$4, 0)</f>
        <v>0</v>
      </c>
      <c r="AS173" s="195" cm="1">
        <f t="array" aca="1" ref="AS173" ca="1">IFERROR(IF(OR(input_Shift="No", [1]Tables!$BN$4=1), 0, (SUMIFS(rng_out_rx_post_yr3, rng_out_mail_ind, $B173, rng_out_GB_Medispan,P$1, rng_out_sel_G_ind, P$1, rng_out_ds, $C173, rng_out_sel_sp_ind, $D173, rng_out_MSB_excl, $F173)/[1]Tables!$AT$4)/[1]Tables!$BN$4*(1-[1]Tables!$BN$4)), 0) - AS277 + IFERROR(SUMIFS(rng_out_rx_post_yr3, rng_out_GB_Medispan, K$1, rng_out_sel_G_ind, K$1, rng_out_mail_ind, $B173, rng_out_ds, $C173, rng_out_sel_sp_ind, $D173)/[1]Tables!$AT$4, 0)</f>
        <v>0</v>
      </c>
      <c r="AT173" s="195" cm="1">
        <f t="array" aca="1" ref="AT173" ca="1">IFERROR(IF(OR(input_Shift="No", [1]Tables!$BN$4=1), 0, (SUMIFS(rng_out_rx_post_yr4, rng_out_mail_ind, $B173, rng_out_GB_Medispan,Q$1, rng_out_sel_G_ind, Q$1, rng_out_ds, $C173, rng_out_sel_sp_ind, $D173, rng_out_MSB_excl, $F173)/[1]Tables!$AT$4)/[1]Tables!$BN$4*(1-[1]Tables!$BN$4)), 0) - AT277 + IFERROR(SUMIFS(rng_out_rx_post_yr4, rng_out_GB_Medispan, L$1, rng_out_sel_G_ind, L$1, rng_out_mail_ind, $B173, rng_out_ds, $C173, rng_out_sel_sp_ind, $D173)/[1]Tables!$AT$4, 0)</f>
        <v>0</v>
      </c>
      <c r="AU173" s="211" cm="1">
        <f t="array" aca="1" ref="AU173" ca="1">IFERROR(IF(OR(input_Shift="No", [1]Tables!$BN$4=1), 0, (SUMIFS(rng_out_rx_post_yr5, rng_out_mail_ind, $B173, rng_out_GB_Medispan,R$1, rng_out_sel_G_ind, R$1, rng_out_ds, $C173, rng_out_sel_sp_ind, $D173, rng_out_MSB_excl, $F173)/[1]Tables!$AT$4)/[1]Tables!$BN$4*(1-[1]Tables!$BN$4)), 0) - AU277 + IFERROR(SUMIFS(rng_out_rx_post_yr5, rng_out_GB_Medispan, M$1, rng_out_sel_G_ind, M$1, rng_out_mail_ind, $B173, rng_out_ds, $C173, rng_out_sel_sp_ind, $D173)/[1]Tables!$AT$4, 0)</f>
        <v>0</v>
      </c>
      <c r="AV173" s="210" t="e" cm="1">
        <f t="array" aca="1" ref="AV173" ca="1">SUMIFS(rng_out_rx_post_yr1, rng_out_GB_Medispan, "B", rng_out_sel_G_ind, "B", rng_out_mail_ind, $B173, rng_out_ds, $C173, rng_out_sel_sp_ind, $D173)/[1]Tables!$AT$4 - AV277</f>
        <v>#VALUE!</v>
      </c>
      <c r="AW173" s="195" t="e" cm="1">
        <f t="array" aca="1" ref="AW173" ca="1">SUMIFS(rng_out_rx_post_yr2, rng_out_GB_Medispan, "B", rng_out_sel_G_ind, "B", rng_out_mail_ind, $B173, rng_out_ds, $C173, rng_out_sel_sp_ind, $D173)/[1]Tables!$AT$4 - AW277</f>
        <v>#VALUE!</v>
      </c>
      <c r="AX173" s="195" t="e" cm="1">
        <f t="array" aca="1" ref="AX173" ca="1">SUMIFS(rng_out_rx_post_yr3, rng_out_GB_Medispan, "B", rng_out_sel_G_ind, "B", rng_out_mail_ind, $B173, rng_out_ds, $C173, rng_out_sel_sp_ind, $D173)/[1]Tables!$AT$4 - AX277</f>
        <v>#VALUE!</v>
      </c>
      <c r="AY173" s="195" t="e" cm="1">
        <f t="array" aca="1" ref="AY173" ca="1">SUMIFS(rng_out_rx_post_yr4, rng_out_GB_Medispan, "B", rng_out_sel_G_ind, "B", rng_out_mail_ind, $B173, rng_out_ds, $C173, rng_out_sel_sp_ind, $D173)/[1]Tables!$AT$4 - AY277</f>
        <v>#VALUE!</v>
      </c>
      <c r="AZ173" s="211" t="e" cm="1">
        <f t="array" aca="1" ref="AZ173" ca="1">SUMIFS(rng_out_rx_post_yr5, rng_out_GB_Medispan, "B", rng_out_sel_G_ind, "B", rng_out_mail_ind, $B173, rng_out_ds, $C173, rng_out_sel_sp_ind, $D173)/[1]Tables!$AT$4 - AZ277</f>
        <v>#VALUE!</v>
      </c>
      <c r="BA173" s="206" t="e">
        <f t="shared" ca="1" si="158"/>
        <v>#VALUE!</v>
      </c>
      <c r="BB173" s="206" t="e">
        <f t="shared" ca="1" si="158"/>
        <v>#VALUE!</v>
      </c>
      <c r="BC173" s="206" t="e">
        <f t="shared" ca="1" si="158"/>
        <v>#VALUE!</v>
      </c>
      <c r="BD173" s="206" t="e">
        <f t="shared" ca="1" si="158"/>
        <v>#VALUE!</v>
      </c>
      <c r="BE173" s="212" t="e">
        <f t="shared" ca="1" si="158"/>
        <v>#VALUE!</v>
      </c>
      <c r="BG173" s="111" t="s">
        <v>15</v>
      </c>
      <c r="BH173" s="213">
        <f t="shared" ca="1" si="159"/>
        <v>0</v>
      </c>
      <c r="BI173" s="206">
        <f t="shared" ca="1" si="159"/>
        <v>0</v>
      </c>
      <c r="BJ173" s="206">
        <f t="shared" ca="1" si="159"/>
        <v>0</v>
      </c>
      <c r="BK173" s="206">
        <f t="shared" ca="1" si="159"/>
        <v>0</v>
      </c>
      <c r="BL173" s="214">
        <f t="shared" ca="1" si="159"/>
        <v>0</v>
      </c>
      <c r="BM173" s="213" t="e">
        <f t="shared" ca="1" si="159"/>
        <v>#VALUE!</v>
      </c>
      <c r="BN173" s="206" t="e">
        <f t="shared" ca="1" si="159"/>
        <v>#VALUE!</v>
      </c>
      <c r="BO173" s="206" t="e">
        <f t="shared" ca="1" si="159"/>
        <v>#VALUE!</v>
      </c>
      <c r="BP173" s="206" t="e">
        <f t="shared" ca="1" si="159"/>
        <v>#VALUE!</v>
      </c>
      <c r="BQ173" s="214" t="e">
        <f t="shared" ca="1" si="159"/>
        <v>#VALUE!</v>
      </c>
      <c r="BR173" s="213" t="e">
        <f t="shared" ca="1" si="160"/>
        <v>#VALUE!</v>
      </c>
      <c r="BS173" s="206" t="e">
        <f t="shared" ca="1" si="160"/>
        <v>#VALUE!</v>
      </c>
      <c r="BT173" s="206" t="e">
        <f t="shared" ca="1" si="160"/>
        <v>#VALUE!</v>
      </c>
      <c r="BU173" s="206" t="e">
        <f t="shared" ca="1" si="160"/>
        <v>#VALUE!</v>
      </c>
      <c r="BV173" s="214" t="e">
        <f t="shared" ca="1" si="160"/>
        <v>#VALUE!</v>
      </c>
      <c r="BX173" s="111" t="s">
        <v>15</v>
      </c>
      <c r="BY173" s="213">
        <f t="shared" ca="1" si="161"/>
        <v>0</v>
      </c>
      <c r="BZ173" s="206">
        <f t="shared" ca="1" si="161"/>
        <v>0</v>
      </c>
      <c r="CA173" s="206">
        <f t="shared" ca="1" si="161"/>
        <v>0</v>
      </c>
      <c r="CB173" s="206">
        <f t="shared" ca="1" si="161"/>
        <v>0</v>
      </c>
      <c r="CC173" s="214">
        <f t="shared" ca="1" si="161"/>
        <v>0</v>
      </c>
      <c r="CD173" s="213" t="e">
        <f t="shared" ca="1" si="161"/>
        <v>#VALUE!</v>
      </c>
      <c r="CE173" s="206" t="e">
        <f t="shared" ca="1" si="161"/>
        <v>#VALUE!</v>
      </c>
      <c r="CF173" s="206" t="e">
        <f t="shared" ca="1" si="161"/>
        <v>#VALUE!</v>
      </c>
      <c r="CG173" s="206" t="e">
        <f t="shared" ca="1" si="161"/>
        <v>#VALUE!</v>
      </c>
      <c r="CH173" s="214" t="e">
        <f t="shared" ca="1" si="161"/>
        <v>#VALUE!</v>
      </c>
      <c r="CI173" s="213" t="e">
        <f t="shared" ca="1" si="162"/>
        <v>#VALUE!</v>
      </c>
      <c r="CJ173" s="206" t="e">
        <f t="shared" ca="1" si="162"/>
        <v>#VALUE!</v>
      </c>
      <c r="CK173" s="206" t="e">
        <f t="shared" ca="1" si="162"/>
        <v>#VALUE!</v>
      </c>
      <c r="CL173" s="206" t="e">
        <f t="shared" ca="1" si="162"/>
        <v>#VALUE!</v>
      </c>
      <c r="CM173" s="214" t="e">
        <f t="shared" ca="1" si="162"/>
        <v>#VALUE!</v>
      </c>
      <c r="CO173" s="213" cm="1">
        <f t="array" aca="1" ref="CO173" ca="1">_xlfn.SINGLE(IFERROR(SUMIFS(rng_out_rx_base, rng_out_GB_Medispan, "G", rng_out_sel_G_ind, "G", rng_out_mail_ind, $B173, rng_out_ds, $C173, rng_out_sel_sp_ind, $D173, rng_out_sel_excl_ind,$E173)/[1]Tables!$AT$4, 0))</f>
        <v>0</v>
      </c>
      <c r="CP173" s="214" cm="1">
        <f t="array" aca="1" ref="CP173" ca="1">_xlfn.SINGLE(IFERROR(SUMIFS(rng_out_rx_base, rng_out_GB_Medispan, "B", rng_out_sel_G_ind, "B", rng_out_mail_ind, $B173, rng_out_ds, $C173, rng_out_sel_sp_ind, $D173, rng_out_sel_excl_ind,$E173)/[1]Tables!$AT$4, 0))</f>
        <v>0</v>
      </c>
      <c r="CQ173" s="220">
        <f ca="1">SUM(CO173:CP173)</f>
        <v>0</v>
      </c>
      <c r="CR173" s="213" cm="1">
        <f t="array" aca="1" ref="CR173" ca="1">_xlfn.SINGLE(IFERROR(SUMIFS(rng_out_qty_base, rng_out_GB_Medispan, "G", rng_out_sel_G_ind, "G", rng_out_mail_ind, $B173, rng_out_ds, $C173, rng_out_sel_sp_ind, $D173, rng_out_sel_excl_ind,$E173)/[1]Tables!$AT$4, 0))</f>
        <v>0</v>
      </c>
      <c r="CS173" s="206" cm="1">
        <f t="array" aca="1" ref="CS173" ca="1">_xlfn.SINGLE(IFERROR(SUMIFS(rng_out_qty_base, rng_out_GB_Medispan, "B", rng_out_sel_G_ind, "B", rng_out_mail_ind, $B173, rng_out_ds, $C173, rng_out_sel_sp_ind, $D173, rng_out_sel_excl_ind,$E173)/[1]Tables!$AT$4, 0))</f>
        <v>0</v>
      </c>
      <c r="CT173" s="221">
        <f ca="1">SUM(CR173:CS173)</f>
        <v>0</v>
      </c>
      <c r="CU173" s="213" cm="1">
        <f t="array" aca="1" ref="CU173" ca="1">_xlfn.SINGLE(IFERROR(SUMIFS(rng_out_ds_base, rng_out_GB_Medispan, "G", rng_out_sel_G_ind, "G", rng_out_mail_ind, $B173, rng_out_ds, $C173, rng_out_sel_sp_ind, $D173, rng_out_sel_excl_ind,$E173)/[1]Tables!$AT$4, 0))</f>
        <v>0</v>
      </c>
      <c r="CV173" s="214" cm="1">
        <f t="array" aca="1" ref="CV173" ca="1">_xlfn.SINGLE(IFERROR(SUMIFS(rng_out_ds_base, rng_out_GB_Medispan, "B", rng_out_sel_G_ind, "B", rng_out_mail_ind, $B173, rng_out_ds, $C173, rng_out_sel_sp_ind, $D173, rng_out_sel_excl_ind,$E173)/[1]Tables!$AT$4, 0))</f>
        <v>0</v>
      </c>
      <c r="CW173" s="220">
        <f ca="1">SUM(CU173:CV173)</f>
        <v>0</v>
      </c>
    </row>
    <row r="174" spans="1:117" x14ac:dyDescent="0.35">
      <c r="B174" s="105" t="s">
        <v>16</v>
      </c>
      <c r="C174" s="106"/>
      <c r="D174" s="106" t="s">
        <v>12</v>
      </c>
      <c r="E174" s="107" t="s">
        <v>12</v>
      </c>
      <c r="F174" s="106">
        <v>1</v>
      </c>
      <c r="H174" s="118" t="s">
        <v>7</v>
      </c>
      <c r="I174" s="203" t="e" cm="1">
        <f t="array" aca="1" ref="I174" ca="1">SUMIFS(rng_out_rx_pre_yr1, rng_out_GB_Medispan, "G",  rng_out_sel_G_ind, "G", rng_out_mail_ind, $B174, rng_out_sel_sp_ind, $D174) - I278</f>
        <v>#VALUE!</v>
      </c>
      <c r="J174" s="195" t="e" cm="1">
        <f t="array" aca="1" ref="J174" ca="1">SUMIFS(rng_out_rx_pre_yr2, rng_out_GB_Medispan, "G",  rng_out_sel_G_ind, "G", rng_out_mail_ind, $B174, rng_out_sel_sp_ind, $D174) - J278</f>
        <v>#VALUE!</v>
      </c>
      <c r="K174" s="195" t="e" cm="1">
        <f t="array" aca="1" ref="K174" ca="1">SUMIFS(rng_out_rx_pre_yr3, rng_out_GB_Medispan, "G",  rng_out_sel_G_ind, "G", rng_out_mail_ind, $B174, rng_out_sel_sp_ind, $D174) - K278</f>
        <v>#VALUE!</v>
      </c>
      <c r="L174" s="195" t="e" cm="1">
        <f t="array" aca="1" ref="L174" ca="1">SUMIFS(rng_out_rx_pre_yr4, rng_out_GB_Medispan, "G",  rng_out_sel_G_ind, "G", rng_out_mail_ind, $B174, rng_out_sel_sp_ind, $D174) - L278</f>
        <v>#VALUE!</v>
      </c>
      <c r="M174" s="204" t="e" cm="1">
        <f t="array" aca="1" ref="M174" ca="1">SUMIFS(rng_out_rx_pre_yr5, rng_out_GB_Medispan, "G",  rng_out_sel_G_ind, "G", rng_out_mail_ind, $B174, rng_out_sel_sp_ind, $D174) - M278</f>
        <v>#VALUE!</v>
      </c>
      <c r="N174" s="203" t="e" cm="1">
        <f t="array" aca="1" ref="N174" ca="1">SUMIFS(rng_out_rx_pre_yr1, rng_out_GB_Medispan, "B",  rng_out_sel_G_ind, "B", rng_out_mail_ind, $B174, rng_out_sel_sp_ind, $D174) - N278</f>
        <v>#VALUE!</v>
      </c>
      <c r="O174" s="195" t="e" cm="1">
        <f t="array" aca="1" ref="O174" ca="1">SUMIFS(rng_out_rx_pre_yr2, rng_out_GB_Medispan, "B",  rng_out_sel_G_ind, "B", rng_out_mail_ind, $B174, rng_out_sel_sp_ind, $D174) - O278</f>
        <v>#VALUE!</v>
      </c>
      <c r="P174" s="195" t="e" cm="1">
        <f t="array" aca="1" ref="P174" ca="1">SUMIFS(rng_out_rx_pre_yr3, rng_out_GB_Medispan, "B",  rng_out_sel_G_ind, "B", rng_out_mail_ind, $B174, rng_out_sel_sp_ind, $D174) - P278</f>
        <v>#VALUE!</v>
      </c>
      <c r="Q174" s="195" t="e" cm="1">
        <f t="array" aca="1" ref="Q174" ca="1">SUMIFS(rng_out_rx_pre_yr4, rng_out_GB_Medispan, "B",  rng_out_sel_G_ind, "B", rng_out_mail_ind, $B174, rng_out_sel_sp_ind, $D174) - Q278</f>
        <v>#VALUE!</v>
      </c>
      <c r="R174" s="204" t="e" cm="1">
        <f t="array" aca="1" ref="R174" ca="1">SUMIFS(rng_out_rx_pre_yr5, rng_out_GB_Medispan, "B",  rng_out_sel_G_ind, "B", rng_out_mail_ind, $B174, rng_out_sel_sp_ind, $D174) - R278</f>
        <v>#VALUE!</v>
      </c>
      <c r="S174" s="205" t="e">
        <f t="shared" ca="1" si="156"/>
        <v>#VALUE!</v>
      </c>
      <c r="T174" s="206" t="e">
        <f t="shared" ca="1" si="156"/>
        <v>#VALUE!</v>
      </c>
      <c r="U174" s="206" t="e">
        <f t="shared" ca="1" si="156"/>
        <v>#VALUE!</v>
      </c>
      <c r="V174" s="206" t="e">
        <f t="shared" ca="1" si="156"/>
        <v>#VALUE!</v>
      </c>
      <c r="W174" s="207" t="e">
        <f t="shared" ca="1" si="156"/>
        <v>#VALUE!</v>
      </c>
      <c r="Y174" s="119" t="s">
        <v>7</v>
      </c>
      <c r="Z174" s="208">
        <f ca="1">IFERROR(I174/[1]Tables!$AT$4, 0)</f>
        <v>0</v>
      </c>
      <c r="AA174" s="206">
        <f ca="1">IFERROR(J174/[1]Tables!$AT$4, 0)</f>
        <v>0</v>
      </c>
      <c r="AB174" s="206">
        <f ca="1">IFERROR(K174/[1]Tables!$AT$4, 0)</f>
        <v>0</v>
      </c>
      <c r="AC174" s="206">
        <f ca="1">IFERROR(L174/[1]Tables!$AT$4, 0)</f>
        <v>0</v>
      </c>
      <c r="AD174" s="209">
        <f ca="1">IFERROR(M174/[1]Tables!$AT$4, 0)</f>
        <v>0</v>
      </c>
      <c r="AE174" s="208">
        <f ca="1">IFERROR(N174/[1]Tables!$AT$4, 0)</f>
        <v>0</v>
      </c>
      <c r="AF174" s="206">
        <f ca="1">IFERROR(O174/[1]Tables!$AT$4, 0)</f>
        <v>0</v>
      </c>
      <c r="AG174" s="206">
        <f ca="1">IFERROR(P174/[1]Tables!$AT$4, 0)</f>
        <v>0</v>
      </c>
      <c r="AH174" s="206">
        <f ca="1">IFERROR(Q174/[1]Tables!$AT$4, 0)</f>
        <v>0</v>
      </c>
      <c r="AI174" s="209">
        <f ca="1">IFERROR(R174/[1]Tables!$AT$4, 0)</f>
        <v>0</v>
      </c>
      <c r="AJ174" s="208">
        <f t="shared" ca="1" si="157"/>
        <v>0</v>
      </c>
      <c r="AK174" s="206">
        <f t="shared" ca="1" si="157"/>
        <v>0</v>
      </c>
      <c r="AL174" s="206">
        <f t="shared" ca="1" si="157"/>
        <v>0</v>
      </c>
      <c r="AM174" s="206">
        <f t="shared" ca="1" si="157"/>
        <v>0</v>
      </c>
      <c r="AN174" s="209">
        <f t="shared" ca="1" si="157"/>
        <v>0</v>
      </c>
      <c r="AP174" s="120" t="s">
        <v>7</v>
      </c>
      <c r="AQ174" s="210" cm="1">
        <f t="array" aca="1" ref="AQ174" ca="1">IFERROR(IF(OR(input_Shift="No", [1]Tables!$BN$4=1), 0, (SUMIFS(rng_out_rx_post_yr1, rng_out_mail_ind, $B174, rng_out_GB_Medispan,N$1, rng_out_sel_G_ind, N$1, rng_out_sel_sp_ind, $D174, rng_out_MSB_excl, $F174)/[1]Tables!$AT$4)/[1]Tables!$BN$4*(1-[1]Tables!$BN$4)), 0) - AQ278 + IFERROR(SUMIFS(rng_out_rx_post_yr1, rng_out_GB_Medispan, I$1, rng_out_sel_G_ind, I$1, rng_out_mail_ind, $B174, rng_out_sel_sp_ind, $D174)/[1]Tables!$AT$4, 0)</f>
        <v>0</v>
      </c>
      <c r="AR174" s="195" cm="1">
        <f t="array" aca="1" ref="AR174" ca="1">IFERROR(IF(OR(input_Shift="No", [1]Tables!$BN$4=1), 0, (SUMIFS(rng_out_rx_post_yr2, rng_out_mail_ind, $B174, rng_out_GB_Medispan,O$1, rng_out_sel_G_ind, O$1, rng_out_sel_sp_ind, $D174, rng_out_MSB_excl, $F174)/[1]Tables!$AT$4)/[1]Tables!$BN$4*(1-[1]Tables!$BN$4)), 0) - AR278 + IFERROR(SUMIFS(rng_out_rx_post_yr2, rng_out_GB_Medispan, J$1, rng_out_sel_G_ind, J$1, rng_out_mail_ind, $B174, rng_out_sel_sp_ind, $D174)/[1]Tables!$AT$4, 0)</f>
        <v>0</v>
      </c>
      <c r="AS174" s="195" cm="1">
        <f t="array" aca="1" ref="AS174" ca="1">IFERROR(IF(OR(input_Shift="No", [1]Tables!$BN$4=1), 0, (SUMIFS(rng_out_rx_post_yr3, rng_out_mail_ind, $B174, rng_out_GB_Medispan,P$1, rng_out_sel_G_ind, P$1, rng_out_sel_sp_ind, $D174, rng_out_MSB_excl, $F174)/[1]Tables!$AT$4)/[1]Tables!$BN$4*(1-[1]Tables!$BN$4)), 0) - AS278 + IFERROR(SUMIFS(rng_out_rx_post_yr3, rng_out_GB_Medispan, K$1, rng_out_sel_G_ind, K$1, rng_out_mail_ind, $B174, rng_out_sel_sp_ind, $D174)/[1]Tables!$AT$4, 0)</f>
        <v>0</v>
      </c>
      <c r="AT174" s="195" cm="1">
        <f t="array" aca="1" ref="AT174" ca="1">IFERROR(IF(OR(input_Shift="No", [1]Tables!$BN$4=1), 0, (SUMIFS(rng_out_rx_post_yr4, rng_out_mail_ind, $B174, rng_out_GB_Medispan,Q$1, rng_out_sel_G_ind, Q$1, rng_out_sel_sp_ind, $D174, rng_out_MSB_excl, $F174)/[1]Tables!$AT$4)/[1]Tables!$BN$4*(1-[1]Tables!$BN$4)), 0) - AT278 + IFERROR(SUMIFS(rng_out_rx_post_yr4, rng_out_GB_Medispan, L$1, rng_out_sel_G_ind, L$1, rng_out_mail_ind, $B174, rng_out_sel_sp_ind, $D174)/[1]Tables!$AT$4, 0)</f>
        <v>0</v>
      </c>
      <c r="AU174" s="211" cm="1">
        <f t="array" aca="1" ref="AU174" ca="1">IFERROR(IF(OR(input_Shift="No", [1]Tables!$BN$4=1), 0, (SUMIFS(rng_out_rx_post_yr5, rng_out_mail_ind, $B174, rng_out_GB_Medispan,R$1, rng_out_sel_G_ind, R$1, rng_out_sel_sp_ind, $D174, rng_out_MSB_excl, $F174)/[1]Tables!$AT$4)/[1]Tables!$BN$4*(1-[1]Tables!$BN$4)), 0) - AU278 + IFERROR(SUMIFS(rng_out_rx_post_yr5, rng_out_GB_Medispan, M$1, rng_out_sel_G_ind, M$1, rng_out_mail_ind, $B174, rng_out_sel_sp_ind, $D174)/[1]Tables!$AT$4, 0)</f>
        <v>0</v>
      </c>
      <c r="AV174" s="210" t="e" cm="1">
        <f t="array" aca="1" ref="AV174" ca="1">SUMIFS(rng_out_rx_post_yr1, rng_out_GB_Medispan, "B", rng_out_sel_G_ind, "B", rng_out_mail_ind, $B174, rng_out_sel_sp_ind, $D174)/[1]Tables!$AT$4 - AV278</f>
        <v>#VALUE!</v>
      </c>
      <c r="AW174" s="195" t="e" cm="1">
        <f t="array" aca="1" ref="AW174" ca="1">SUMIFS(rng_out_rx_post_yr2, rng_out_GB_Medispan, "B", rng_out_sel_G_ind, "B", rng_out_mail_ind, $B174, rng_out_sel_sp_ind, $D174)/[1]Tables!$AT$4 - AW278</f>
        <v>#VALUE!</v>
      </c>
      <c r="AX174" s="195" t="e" cm="1">
        <f t="array" aca="1" ref="AX174" ca="1">SUMIFS(rng_out_rx_post_yr3, rng_out_GB_Medispan, "B", rng_out_sel_G_ind, "B", rng_out_mail_ind, $B174, rng_out_sel_sp_ind, $D174)/[1]Tables!$AT$4 - AX278</f>
        <v>#VALUE!</v>
      </c>
      <c r="AY174" s="195" t="e" cm="1">
        <f t="array" aca="1" ref="AY174" ca="1">SUMIFS(rng_out_rx_post_yr4, rng_out_GB_Medispan, "B", rng_out_sel_G_ind, "B", rng_out_mail_ind, $B174, rng_out_sel_sp_ind, $D174)/[1]Tables!$AT$4 - AY278</f>
        <v>#VALUE!</v>
      </c>
      <c r="AZ174" s="211" t="e" cm="1">
        <f t="array" aca="1" ref="AZ174" ca="1">SUMIFS(rng_out_rx_post_yr5, rng_out_GB_Medispan, "B", rng_out_sel_G_ind, "B", rng_out_mail_ind, $B174, rng_out_sel_sp_ind, $D174)/[1]Tables!$AT$4 - AZ278</f>
        <v>#VALUE!</v>
      </c>
      <c r="BA174" s="206" t="e">
        <f t="shared" ca="1" si="158"/>
        <v>#VALUE!</v>
      </c>
      <c r="BB174" s="206" t="e">
        <f t="shared" ca="1" si="158"/>
        <v>#VALUE!</v>
      </c>
      <c r="BC174" s="206" t="e">
        <f t="shared" ca="1" si="158"/>
        <v>#VALUE!</v>
      </c>
      <c r="BD174" s="206" t="e">
        <f t="shared" ca="1" si="158"/>
        <v>#VALUE!</v>
      </c>
      <c r="BE174" s="212" t="e">
        <f t="shared" ca="1" si="158"/>
        <v>#VALUE!</v>
      </c>
      <c r="BG174" s="121" t="s">
        <v>7</v>
      </c>
      <c r="BH174" s="213">
        <f t="shared" ca="1" si="159"/>
        <v>0</v>
      </c>
      <c r="BI174" s="206">
        <f t="shared" ca="1" si="159"/>
        <v>0</v>
      </c>
      <c r="BJ174" s="206">
        <f t="shared" ca="1" si="159"/>
        <v>0</v>
      </c>
      <c r="BK174" s="206">
        <f t="shared" ca="1" si="159"/>
        <v>0</v>
      </c>
      <c r="BL174" s="214">
        <f t="shared" ca="1" si="159"/>
        <v>0</v>
      </c>
      <c r="BM174" s="213" t="e">
        <f t="shared" ca="1" si="159"/>
        <v>#VALUE!</v>
      </c>
      <c r="BN174" s="206" t="e">
        <f t="shared" ca="1" si="159"/>
        <v>#VALUE!</v>
      </c>
      <c r="BO174" s="206" t="e">
        <f t="shared" ca="1" si="159"/>
        <v>#VALUE!</v>
      </c>
      <c r="BP174" s="206" t="e">
        <f t="shared" ca="1" si="159"/>
        <v>#VALUE!</v>
      </c>
      <c r="BQ174" s="214" t="e">
        <f t="shared" ca="1" si="159"/>
        <v>#VALUE!</v>
      </c>
      <c r="BR174" s="213" t="e">
        <f t="shared" ca="1" si="160"/>
        <v>#VALUE!</v>
      </c>
      <c r="BS174" s="206" t="e">
        <f t="shared" ca="1" si="160"/>
        <v>#VALUE!</v>
      </c>
      <c r="BT174" s="206" t="e">
        <f t="shared" ca="1" si="160"/>
        <v>#VALUE!</v>
      </c>
      <c r="BU174" s="206" t="e">
        <f t="shared" ca="1" si="160"/>
        <v>#VALUE!</v>
      </c>
      <c r="BV174" s="214" t="e">
        <f t="shared" ca="1" si="160"/>
        <v>#VALUE!</v>
      </c>
      <c r="BX174" s="121" t="s">
        <v>7</v>
      </c>
      <c r="BY174" s="213">
        <f t="shared" ca="1" si="161"/>
        <v>0</v>
      </c>
      <c r="BZ174" s="206">
        <f t="shared" ca="1" si="161"/>
        <v>0</v>
      </c>
      <c r="CA174" s="206">
        <f t="shared" ca="1" si="161"/>
        <v>0</v>
      </c>
      <c r="CB174" s="206">
        <f t="shared" ca="1" si="161"/>
        <v>0</v>
      </c>
      <c r="CC174" s="214">
        <f t="shared" ca="1" si="161"/>
        <v>0</v>
      </c>
      <c r="CD174" s="213" t="e">
        <f t="shared" ca="1" si="161"/>
        <v>#VALUE!</v>
      </c>
      <c r="CE174" s="206" t="e">
        <f t="shared" ca="1" si="161"/>
        <v>#VALUE!</v>
      </c>
      <c r="CF174" s="206" t="e">
        <f t="shared" ca="1" si="161"/>
        <v>#VALUE!</v>
      </c>
      <c r="CG174" s="206" t="e">
        <f t="shared" ca="1" si="161"/>
        <v>#VALUE!</v>
      </c>
      <c r="CH174" s="214" t="e">
        <f t="shared" ca="1" si="161"/>
        <v>#VALUE!</v>
      </c>
      <c r="CI174" s="213" t="e">
        <f t="shared" ca="1" si="162"/>
        <v>#VALUE!</v>
      </c>
      <c r="CJ174" s="206" t="e">
        <f t="shared" ca="1" si="162"/>
        <v>#VALUE!</v>
      </c>
      <c r="CK174" s="206" t="e">
        <f t="shared" ca="1" si="162"/>
        <v>#VALUE!</v>
      </c>
      <c r="CL174" s="206" t="e">
        <f t="shared" ca="1" si="162"/>
        <v>#VALUE!</v>
      </c>
      <c r="CM174" s="214" t="e">
        <f t="shared" ca="1" si="162"/>
        <v>#VALUE!</v>
      </c>
      <c r="CO174" s="213" cm="1">
        <f t="array" aca="1" ref="CO174" ca="1">_xlfn.SINGLE(IFERROR(SUMIFS(rng_out_rx_base, rng_out_GB_Medispan, "G", rng_out_sel_G_ind, "G", rng_out_mail_ind, $B174, rng_out_sel_sp_ind, $D174, rng_out_sel_excl_ind,$E174)/[1]Tables!$AT$4, 0))</f>
        <v>0</v>
      </c>
      <c r="CP174" s="214" cm="1">
        <f t="array" aca="1" ref="CP174" ca="1">_xlfn.SINGLE(IFERROR(SUMIFS(rng_out_rx_base, rng_out_GB_Medispan, "B", rng_out_sel_G_ind, "B", rng_out_mail_ind, $B174, rng_out_sel_sp_ind, $D174, rng_out_sel_excl_ind,$E174)/[1]Tables!$AT$4, 0))</f>
        <v>0</v>
      </c>
      <c r="CQ174" s="220">
        <f ca="1">SUM(CO174:CP174)</f>
        <v>0</v>
      </c>
      <c r="CR174" s="213" cm="1">
        <f t="array" aca="1" ref="CR174" ca="1">_xlfn.SINGLE(IFERROR(SUMIFS(rng_out_qty_base, rng_out_GB_Medispan, "G", rng_out_sel_G_ind, "G", rng_out_mail_ind, $B174, rng_out_sel_sp_ind, $D174, rng_out_sel_excl_ind,$E174)/[1]Tables!$AT$4, 0))</f>
        <v>0</v>
      </c>
      <c r="CS174" s="206" cm="1">
        <f t="array" aca="1" ref="CS174" ca="1">_xlfn.SINGLE(IFERROR(SUMIFS(rng_out_qty_base, rng_out_GB_Medispan, "B", rng_out_sel_G_ind, "B", rng_out_mail_ind, $B174, rng_out_sel_sp_ind, $D174, rng_out_sel_excl_ind,$E174)/[1]Tables!$AT$4, 0))</f>
        <v>0</v>
      </c>
      <c r="CT174" s="221">
        <f ca="1">SUM(CR174:CS174)</f>
        <v>0</v>
      </c>
      <c r="CU174" s="213" cm="1">
        <f t="array" aca="1" ref="CU174" ca="1">_xlfn.SINGLE(IFERROR(SUMIFS(rng_out_ds_base, rng_out_GB_Medispan, "G", rng_out_sel_G_ind, "G", rng_out_mail_ind, $B174, rng_out_sel_sp_ind, $D174, rng_out_sel_excl_ind,$E174)/[1]Tables!$AT$4, 0))</f>
        <v>0</v>
      </c>
      <c r="CV174" s="214" cm="1">
        <f t="array" aca="1" ref="CV174" ca="1">_xlfn.SINGLE(IFERROR(SUMIFS(rng_out_ds_base, rng_out_GB_Medispan, "B", rng_out_sel_G_ind, "B", rng_out_mail_ind, $B174, rng_out_sel_sp_ind, $D174, rng_out_sel_excl_ind,$E174)/[1]Tables!$AT$4, 0))</f>
        <v>0</v>
      </c>
      <c r="CW174" s="220">
        <f ca="1">SUM(CU174:CV174)</f>
        <v>0</v>
      </c>
    </row>
    <row r="175" spans="1:117" ht="15" thickBot="1" x14ac:dyDescent="0.4">
      <c r="B175" s="122"/>
      <c r="C175" s="123"/>
      <c r="D175" s="123" t="s">
        <v>13</v>
      </c>
      <c r="E175" s="124" t="s">
        <v>12</v>
      </c>
      <c r="F175" s="106">
        <v>1</v>
      </c>
      <c r="H175" s="118" t="s">
        <v>17</v>
      </c>
      <c r="I175" s="203" t="e" cm="1">
        <f t="array" aca="1" ref="I175" ca="1">SUMIFS(rng_out_rx_pre_yr1, rng_out_GB_Medispan, "G",  rng_out_sel_G_ind, "G", rng_out_sel_sp_ind, $D175) - I279</f>
        <v>#VALUE!</v>
      </c>
      <c r="J175" s="195" t="e" cm="1">
        <f t="array" aca="1" ref="J175" ca="1">SUMIFS(rng_out_rx_pre_yr2, rng_out_GB_Medispan, "G",  rng_out_sel_G_ind, "G", rng_out_sel_sp_ind, $D175) - J279</f>
        <v>#VALUE!</v>
      </c>
      <c r="K175" s="195" t="e" cm="1">
        <f t="array" aca="1" ref="K175" ca="1">SUMIFS(rng_out_rx_pre_yr3, rng_out_GB_Medispan, "G",  rng_out_sel_G_ind, "G", rng_out_sel_sp_ind, $D175) - K279</f>
        <v>#VALUE!</v>
      </c>
      <c r="L175" s="195" t="e" cm="1">
        <f t="array" aca="1" ref="L175" ca="1">SUMIFS(rng_out_rx_pre_yr4, rng_out_GB_Medispan, "G",  rng_out_sel_G_ind, "G", rng_out_sel_sp_ind, $D175) - L279</f>
        <v>#VALUE!</v>
      </c>
      <c r="M175" s="222" t="e" cm="1">
        <f t="array" aca="1" ref="M175" ca="1">SUMIFS(rng_out_rx_pre_yr5, rng_out_GB_Medispan, "G",  rng_out_sel_G_ind, "G", rng_out_sel_sp_ind, $D175) - M279</f>
        <v>#VALUE!</v>
      </c>
      <c r="N175" s="203" t="e" cm="1">
        <f t="array" aca="1" ref="N175" ca="1">SUMIFS(rng_out_rx_pre_yr1, rng_out_GB_Medispan, "B",  rng_out_sel_G_ind, "B", rng_out_sel_sp_ind, $D175) - N279</f>
        <v>#VALUE!</v>
      </c>
      <c r="O175" s="195" t="e" cm="1">
        <f t="array" aca="1" ref="O175" ca="1">SUMIFS(rng_out_rx_pre_yr2, rng_out_GB_Medispan, "B",  rng_out_sel_G_ind, "B", rng_out_sel_sp_ind, $D175) - O279</f>
        <v>#VALUE!</v>
      </c>
      <c r="P175" s="195" t="e" cm="1">
        <f t="array" aca="1" ref="P175" ca="1">SUMIFS(rng_out_rx_pre_yr3, rng_out_GB_Medispan, "B",  rng_out_sel_G_ind, "B", rng_out_sel_sp_ind, $D175) - P279</f>
        <v>#VALUE!</v>
      </c>
      <c r="Q175" s="195" t="e" cm="1">
        <f t="array" aca="1" ref="Q175" ca="1">SUMIFS(rng_out_rx_pre_yr4, rng_out_GB_Medispan, "B",  rng_out_sel_G_ind, "B", rng_out_sel_sp_ind, $D175) - Q279</f>
        <v>#VALUE!</v>
      </c>
      <c r="R175" s="222" t="e" cm="1">
        <f t="array" aca="1" ref="R175" ca="1">SUMIFS(rng_out_rx_pre_yr5, rng_out_GB_Medispan, "B",  rng_out_sel_G_ind, "B", rng_out_sel_sp_ind, $D175) - R279</f>
        <v>#VALUE!</v>
      </c>
      <c r="S175" s="206" t="e">
        <f t="shared" ca="1" si="156"/>
        <v>#VALUE!</v>
      </c>
      <c r="T175" s="206" t="e">
        <f t="shared" ca="1" si="156"/>
        <v>#VALUE!</v>
      </c>
      <c r="U175" s="206" t="e">
        <f t="shared" ca="1" si="156"/>
        <v>#VALUE!</v>
      </c>
      <c r="V175" s="206" t="e">
        <f t="shared" ca="1" si="156"/>
        <v>#VALUE!</v>
      </c>
      <c r="W175" s="207" t="e">
        <f t="shared" ca="1" si="156"/>
        <v>#VALUE!</v>
      </c>
      <c r="Y175" s="119" t="s">
        <v>17</v>
      </c>
      <c r="Z175" s="223">
        <f ca="1">IFERROR(I175/[1]Tables!$AT$4, 0)</f>
        <v>0</v>
      </c>
      <c r="AA175" s="224">
        <f ca="1">IFERROR(J175/[1]Tables!$AT$4, 0)</f>
        <v>0</v>
      </c>
      <c r="AB175" s="224">
        <f ca="1">IFERROR(K175/[1]Tables!$AT$4, 0)</f>
        <v>0</v>
      </c>
      <c r="AC175" s="224">
        <f ca="1">IFERROR(L175/[1]Tables!$AT$4, 0)</f>
        <v>0</v>
      </c>
      <c r="AD175" s="225">
        <f ca="1">IFERROR(M175/[1]Tables!$AT$4, 0)</f>
        <v>0</v>
      </c>
      <c r="AE175" s="223">
        <f ca="1">IFERROR(N175/[1]Tables!$AT$4, 0)</f>
        <v>0</v>
      </c>
      <c r="AF175" s="224">
        <f ca="1">IFERROR(O175/[1]Tables!$AT$4, 0)</f>
        <v>0</v>
      </c>
      <c r="AG175" s="224">
        <f ca="1">IFERROR(P175/[1]Tables!$AT$4, 0)</f>
        <v>0</v>
      </c>
      <c r="AH175" s="224">
        <f ca="1">IFERROR(Q175/[1]Tables!$AT$4, 0)</f>
        <v>0</v>
      </c>
      <c r="AI175" s="225">
        <f ca="1">IFERROR(R175/[1]Tables!$AT$4, 0)</f>
        <v>0</v>
      </c>
      <c r="AJ175" s="224">
        <f t="shared" ca="1" si="157"/>
        <v>0</v>
      </c>
      <c r="AK175" s="224">
        <f t="shared" ca="1" si="157"/>
        <v>0</v>
      </c>
      <c r="AL175" s="224">
        <f t="shared" ca="1" si="157"/>
        <v>0</v>
      </c>
      <c r="AM175" s="224">
        <f t="shared" ca="1" si="157"/>
        <v>0</v>
      </c>
      <c r="AN175" s="225">
        <f t="shared" ca="1" si="157"/>
        <v>0</v>
      </c>
      <c r="AP175" s="120" t="s">
        <v>17</v>
      </c>
      <c r="AQ175" s="226" cm="1">
        <f t="array" aca="1" ref="AQ175" ca="1">IFERROR(IF(OR(input_Shift="No", [1]Tables!$BN$4=1), 0, (SUMIFS(rng_out_rx_post_yr1, rng_out_GB_Medispan,N$1, rng_out_sel_G_ind, N$1, rng_out_sel_sp_ind, $D175, rng_out_MSB_excl, $F175)/[1]Tables!$AT$4)/[1]Tables!$BN$4*(1-[1]Tables!$BN$4)), 0) - AQ279 + IFERROR(SUMIFS(rng_out_rx_post_yr1, rng_out_GB_Medispan, I$1, rng_out_sel_G_ind, I$1, rng_out_sel_sp_ind, $D175)/[1]Tables!$AT$4, 0)</f>
        <v>0</v>
      </c>
      <c r="AR175" s="227" cm="1">
        <f t="array" aca="1" ref="AR175" ca="1">IFERROR(IF(OR(input_Shift="No", [1]Tables!$BN$4=1), 0, (SUMIFS(rng_out_rx_post_yr2, rng_out_GB_Medispan,O$1, rng_out_sel_G_ind, O$1, rng_out_sel_sp_ind, $D175, rng_out_MSB_excl, $F175)/[1]Tables!$AT$4)/[1]Tables!$BN$4*(1-[1]Tables!$BN$4)), 0) - AR279 + IFERROR(SUMIFS(rng_out_rx_post_yr2, rng_out_GB_Medispan, J$1, rng_out_sel_G_ind, J$1, rng_out_sel_sp_ind, $D175)/[1]Tables!$AT$4, 0)</f>
        <v>0</v>
      </c>
      <c r="AS175" s="227" cm="1">
        <f t="array" aca="1" ref="AS175" ca="1">IFERROR(IF(OR(input_Shift="No", [1]Tables!$BN$4=1), 0, (SUMIFS(rng_out_rx_post_yr3, rng_out_GB_Medispan,P$1, rng_out_sel_G_ind, P$1, rng_out_sel_sp_ind, $D175, rng_out_MSB_excl, $F175)/[1]Tables!$AT$4)/[1]Tables!$BN$4*(1-[1]Tables!$BN$4)), 0) - AS279 + IFERROR(SUMIFS(rng_out_rx_post_yr3, rng_out_GB_Medispan, K$1, rng_out_sel_G_ind, K$1, rng_out_sel_sp_ind, $D175)/[1]Tables!$AT$4, 0)</f>
        <v>0</v>
      </c>
      <c r="AT175" s="227" cm="1">
        <f t="array" aca="1" ref="AT175" ca="1">IFERROR(IF(OR(input_Shift="No", [1]Tables!$BN$4=1), 0, (SUMIFS(rng_out_rx_post_yr4, rng_out_GB_Medispan,Q$1, rng_out_sel_G_ind, Q$1, rng_out_sel_sp_ind, $D175, rng_out_MSB_excl, $F175)/[1]Tables!$AT$4)/[1]Tables!$BN$4*(1-[1]Tables!$BN$4)), 0) - AT279 + IFERROR(SUMIFS(rng_out_rx_post_yr4, rng_out_GB_Medispan, L$1, rng_out_sel_G_ind, L$1, rng_out_sel_sp_ind, $D175)/[1]Tables!$AT$4, 0)</f>
        <v>0</v>
      </c>
      <c r="AU175" s="228" cm="1">
        <f t="array" aca="1" ref="AU175" ca="1">IFERROR(IF(OR(input_Shift="No", [1]Tables!$BN$4=1), 0, (SUMIFS(rng_out_rx_post_yr5, rng_out_GB_Medispan,R$1, rng_out_sel_G_ind, R$1, rng_out_sel_sp_ind, $D175, rng_out_MSB_excl, $F175)/[1]Tables!$AT$4)/[1]Tables!$BN$4*(1-[1]Tables!$BN$4)), 0) - AU279 + IFERROR(SUMIFS(rng_out_rx_post_yr5, rng_out_GB_Medispan, M$1, rng_out_sel_G_ind, M$1, rng_out_sel_sp_ind, $D175)/[1]Tables!$AT$4, 0)</f>
        <v>0</v>
      </c>
      <c r="AV175" s="226" t="e" cm="1">
        <f t="array" aca="1" ref="AV175" ca="1">SUMIFS(rng_out_rx_post_yr1, rng_out_GB_Medispan, "B", rng_out_sel_G_ind, "B", rng_out_sel_sp_ind, $D175)/[1]Tables!$AT$4 - AV279</f>
        <v>#VALUE!</v>
      </c>
      <c r="AW175" s="227" t="e" cm="1">
        <f t="array" aca="1" ref="AW175" ca="1">SUMIFS(rng_out_rx_post_yr2, rng_out_GB_Medispan, "B", rng_out_sel_G_ind, "B", rng_out_sel_sp_ind, $D175)/[1]Tables!$AT$4 - AW279</f>
        <v>#VALUE!</v>
      </c>
      <c r="AX175" s="227" t="e" cm="1">
        <f t="array" aca="1" ref="AX175" ca="1">SUMIFS(rng_out_rx_post_yr3, rng_out_GB_Medispan, "B", rng_out_sel_G_ind, "B", rng_out_sel_sp_ind, $D175)/[1]Tables!$AT$4 - AX279</f>
        <v>#VALUE!</v>
      </c>
      <c r="AY175" s="227" t="e" cm="1">
        <f t="array" aca="1" ref="AY175" ca="1">SUMIFS(rng_out_rx_post_yr4, rng_out_GB_Medispan, "B", rng_out_sel_G_ind, "B", rng_out_sel_sp_ind, $D175)/[1]Tables!$AT$4 - AY279</f>
        <v>#VALUE!</v>
      </c>
      <c r="AZ175" s="228" t="e" cm="1">
        <f t="array" aca="1" ref="AZ175" ca="1">SUMIFS(rng_out_rx_post_yr5, rng_out_GB_Medispan, "B", rng_out_sel_G_ind, "B", rng_out_sel_sp_ind, $D175)/[1]Tables!$AT$4 - AZ279</f>
        <v>#VALUE!</v>
      </c>
      <c r="BA175" s="229" t="e">
        <f t="shared" ca="1" si="158"/>
        <v>#VALUE!</v>
      </c>
      <c r="BB175" s="229" t="e">
        <f t="shared" ca="1" si="158"/>
        <v>#VALUE!</v>
      </c>
      <c r="BC175" s="229" t="e">
        <f t="shared" ca="1" si="158"/>
        <v>#VALUE!</v>
      </c>
      <c r="BD175" s="229" t="e">
        <f t="shared" ca="1" si="158"/>
        <v>#VALUE!</v>
      </c>
      <c r="BE175" s="230" t="e">
        <f t="shared" ca="1" si="158"/>
        <v>#VALUE!</v>
      </c>
      <c r="BG175" s="121" t="s">
        <v>17</v>
      </c>
      <c r="BH175" s="231">
        <f t="shared" ca="1" si="159"/>
        <v>0</v>
      </c>
      <c r="BI175" s="232">
        <f t="shared" ca="1" si="159"/>
        <v>0</v>
      </c>
      <c r="BJ175" s="232">
        <f t="shared" ca="1" si="159"/>
        <v>0</v>
      </c>
      <c r="BK175" s="232">
        <f t="shared" ca="1" si="159"/>
        <v>0</v>
      </c>
      <c r="BL175" s="233">
        <f t="shared" ca="1" si="159"/>
        <v>0</v>
      </c>
      <c r="BM175" s="231" t="e">
        <f t="shared" ca="1" si="159"/>
        <v>#VALUE!</v>
      </c>
      <c r="BN175" s="232" t="e">
        <f t="shared" ca="1" si="159"/>
        <v>#VALUE!</v>
      </c>
      <c r="BO175" s="232" t="e">
        <f t="shared" ca="1" si="159"/>
        <v>#VALUE!</v>
      </c>
      <c r="BP175" s="232" t="e">
        <f t="shared" ca="1" si="159"/>
        <v>#VALUE!</v>
      </c>
      <c r="BQ175" s="233" t="e">
        <f t="shared" ca="1" si="159"/>
        <v>#VALUE!</v>
      </c>
      <c r="BR175" s="232" t="e">
        <f t="shared" ca="1" si="160"/>
        <v>#VALUE!</v>
      </c>
      <c r="BS175" s="232" t="e">
        <f t="shared" ca="1" si="160"/>
        <v>#VALUE!</v>
      </c>
      <c r="BT175" s="232" t="e">
        <f t="shared" ca="1" si="160"/>
        <v>#VALUE!</v>
      </c>
      <c r="BU175" s="232" t="e">
        <f t="shared" ca="1" si="160"/>
        <v>#VALUE!</v>
      </c>
      <c r="BV175" s="233" t="e">
        <f t="shared" ca="1" si="160"/>
        <v>#VALUE!</v>
      </c>
      <c r="BX175" s="121" t="s">
        <v>17</v>
      </c>
      <c r="BY175" s="231">
        <f t="shared" ca="1" si="161"/>
        <v>0</v>
      </c>
      <c r="BZ175" s="232">
        <f t="shared" ca="1" si="161"/>
        <v>0</v>
      </c>
      <c r="CA175" s="232">
        <f t="shared" ca="1" si="161"/>
        <v>0</v>
      </c>
      <c r="CB175" s="232">
        <f t="shared" ca="1" si="161"/>
        <v>0</v>
      </c>
      <c r="CC175" s="233">
        <f t="shared" ca="1" si="161"/>
        <v>0</v>
      </c>
      <c r="CD175" s="231" t="e">
        <f t="shared" ca="1" si="161"/>
        <v>#VALUE!</v>
      </c>
      <c r="CE175" s="232" t="e">
        <f t="shared" ca="1" si="161"/>
        <v>#VALUE!</v>
      </c>
      <c r="CF175" s="232" t="e">
        <f t="shared" ca="1" si="161"/>
        <v>#VALUE!</v>
      </c>
      <c r="CG175" s="232" t="e">
        <f t="shared" ca="1" si="161"/>
        <v>#VALUE!</v>
      </c>
      <c r="CH175" s="233" t="e">
        <f t="shared" ca="1" si="161"/>
        <v>#VALUE!</v>
      </c>
      <c r="CI175" s="232" t="e">
        <f t="shared" ca="1" si="162"/>
        <v>#VALUE!</v>
      </c>
      <c r="CJ175" s="232" t="e">
        <f t="shared" ca="1" si="162"/>
        <v>#VALUE!</v>
      </c>
      <c r="CK175" s="232" t="e">
        <f t="shared" ca="1" si="162"/>
        <v>#VALUE!</v>
      </c>
      <c r="CL175" s="232" t="e">
        <f t="shared" ca="1" si="162"/>
        <v>#VALUE!</v>
      </c>
      <c r="CM175" s="233" t="e">
        <f t="shared" ca="1" si="162"/>
        <v>#VALUE!</v>
      </c>
      <c r="CO175" s="231" cm="1">
        <f t="array" aca="1" ref="CO175" ca="1">_xlfn.SINGLE(IFERROR(SUMIFS(rng_out_rx_base, rng_out_GB_Medispan, "G",rng_out_sel_G_ind, "G", rng_out_sel_sp_ind, $D175, rng_out_sel_excl_ind,$E175)/[1]Tables!$AT$4, 0))</f>
        <v>0</v>
      </c>
      <c r="CP175" s="233" cm="1">
        <f t="array" aca="1" ref="CP175" ca="1">_xlfn.SINGLE(IFERROR(SUMIFS(rng_out_rx_base, rng_out_GB_Medispan, "B", rng_out_sel_G_ind, "B", rng_out_sel_sp_ind, $D175, rng_out_sel_excl_ind,$E175)/[1]Tables!$AT$4, 0))</f>
        <v>0</v>
      </c>
      <c r="CQ175" s="234">
        <f ca="1">SUM(CO175:CP175)</f>
        <v>0</v>
      </c>
      <c r="CR175" s="231" cm="1">
        <f t="array" aca="1" ref="CR175" ca="1">_xlfn.SINGLE(IFERROR(SUMIFS(rng_out_qty_base, rng_out_GB_Medispan, "G", rng_out_sel_G_ind, "G", rng_out_sel_sp_ind, $D175, rng_out_sel_excl_ind,$E175)/[1]Tables!$AT$4, 0))</f>
        <v>0</v>
      </c>
      <c r="CS175" s="232" cm="1">
        <f t="array" aca="1" ref="CS175" ca="1">_xlfn.SINGLE(IFERROR(SUMIFS(rng_out_qty_base, rng_out_GB_Medispan, "B", rng_out_sel_G_ind, "B", rng_out_sel_sp_ind, $D175, rng_out_sel_excl_ind,$E175)/[1]Tables!$AT$4, 0))</f>
        <v>0</v>
      </c>
      <c r="CT175" s="235">
        <f ca="1">SUM(CR175:CS175)</f>
        <v>0</v>
      </c>
      <c r="CU175" s="231" cm="1">
        <f t="array" aca="1" ref="CU175" ca="1">_xlfn.SINGLE(IFERROR(SUMIFS(rng_out_ds_base, rng_out_GB_Medispan, "G", rng_out_sel_G_ind, "G", rng_out_sel_sp_ind, $D175, rng_out_sel_excl_ind,$E175)/[1]Tables!$AT$4, 0))</f>
        <v>0</v>
      </c>
      <c r="CV175" s="233" cm="1">
        <f t="array" aca="1" ref="CV175" ca="1">_xlfn.SINGLE(IFERROR(SUMIFS(rng_out_ds_base, rng_out_GB_Medispan, "B", rng_out_sel_G_ind, "B", rng_out_sel_sp_ind, $D175, rng_out_sel_excl_ind,$E175)/[1]Tables!$AT$4, 0))</f>
        <v>0</v>
      </c>
      <c r="CW175" s="234">
        <f ca="1">SUM(CU175:CV175)</f>
        <v>0</v>
      </c>
    </row>
    <row r="176" spans="1:117" ht="15" thickBot="1" x14ac:dyDescent="0.4">
      <c r="B176" s="106"/>
      <c r="C176" s="236"/>
      <c r="D176" s="236" t="s">
        <v>29</v>
      </c>
      <c r="E176" s="237" t="str">
        <f>IF(sel_excl_nonRebatable=1, "Y", "N")</f>
        <v>N</v>
      </c>
      <c r="H176" s="154" t="s">
        <v>18</v>
      </c>
      <c r="I176" s="238" t="e">
        <f t="shared" ref="I176:W176" ca="1" si="163">SUM(I172:I175)</f>
        <v>#VALUE!</v>
      </c>
      <c r="J176" s="238" t="e">
        <f t="shared" ca="1" si="163"/>
        <v>#VALUE!</v>
      </c>
      <c r="K176" s="238" t="e">
        <f t="shared" ca="1" si="163"/>
        <v>#VALUE!</v>
      </c>
      <c r="L176" s="238" t="e">
        <f t="shared" ca="1" si="163"/>
        <v>#VALUE!</v>
      </c>
      <c r="M176" s="239" t="e">
        <f t="shared" ca="1" si="163"/>
        <v>#VALUE!</v>
      </c>
      <c r="N176" s="238" t="e">
        <f t="shared" ca="1" si="163"/>
        <v>#VALUE!</v>
      </c>
      <c r="O176" s="238" t="e">
        <f t="shared" ca="1" si="163"/>
        <v>#VALUE!</v>
      </c>
      <c r="P176" s="238" t="e">
        <f t="shared" ca="1" si="163"/>
        <v>#VALUE!</v>
      </c>
      <c r="Q176" s="238" t="e">
        <f t="shared" ca="1" si="163"/>
        <v>#VALUE!</v>
      </c>
      <c r="R176" s="239" t="e">
        <f t="shared" ca="1" si="163"/>
        <v>#VALUE!</v>
      </c>
      <c r="S176" s="238" t="e">
        <f t="shared" ca="1" si="163"/>
        <v>#VALUE!</v>
      </c>
      <c r="T176" s="238" t="e">
        <f t="shared" ca="1" si="163"/>
        <v>#VALUE!</v>
      </c>
      <c r="U176" s="238" t="e">
        <f t="shared" ca="1" si="163"/>
        <v>#VALUE!</v>
      </c>
      <c r="V176" s="238" t="e">
        <f t="shared" ca="1" si="163"/>
        <v>#VALUE!</v>
      </c>
      <c r="W176" s="239" t="e">
        <f t="shared" ca="1" si="163"/>
        <v>#VALUE!</v>
      </c>
      <c r="Y176" s="159" t="s">
        <v>18</v>
      </c>
      <c r="Z176" s="240">
        <f t="shared" ref="Z176:AN176" ca="1" si="164">SUM(Z172:Z175)</f>
        <v>0</v>
      </c>
      <c r="AA176" s="241">
        <f t="shared" ca="1" si="164"/>
        <v>0</v>
      </c>
      <c r="AB176" s="241">
        <f t="shared" ca="1" si="164"/>
        <v>0</v>
      </c>
      <c r="AC176" s="241">
        <f t="shared" ca="1" si="164"/>
        <v>0</v>
      </c>
      <c r="AD176" s="242">
        <f t="shared" ca="1" si="164"/>
        <v>0</v>
      </c>
      <c r="AE176" s="240">
        <f t="shared" ca="1" si="164"/>
        <v>0</v>
      </c>
      <c r="AF176" s="241">
        <f t="shared" ca="1" si="164"/>
        <v>0</v>
      </c>
      <c r="AG176" s="241">
        <f t="shared" ca="1" si="164"/>
        <v>0</v>
      </c>
      <c r="AH176" s="241">
        <f t="shared" ca="1" si="164"/>
        <v>0</v>
      </c>
      <c r="AI176" s="242">
        <f t="shared" ca="1" si="164"/>
        <v>0</v>
      </c>
      <c r="AJ176" s="241">
        <f t="shared" ca="1" si="164"/>
        <v>0</v>
      </c>
      <c r="AK176" s="241">
        <f t="shared" ca="1" si="164"/>
        <v>0</v>
      </c>
      <c r="AL176" s="241">
        <f t="shared" ca="1" si="164"/>
        <v>0</v>
      </c>
      <c r="AM176" s="241">
        <f t="shared" ca="1" si="164"/>
        <v>0</v>
      </c>
      <c r="AN176" s="242">
        <f t="shared" ca="1" si="164"/>
        <v>0</v>
      </c>
      <c r="AP176" s="166" t="s">
        <v>18</v>
      </c>
      <c r="AQ176" s="226">
        <f ca="1">SUM(AQ172:AQ175)</f>
        <v>0</v>
      </c>
      <c r="AR176" s="227">
        <f ca="1">SUM(AR172:AR175)</f>
        <v>0</v>
      </c>
      <c r="AS176" s="227">
        <f ca="1">SUM(AS172:AS175)</f>
        <v>0</v>
      </c>
      <c r="AT176" s="227">
        <f ca="1">SUM(AT172:AT175)</f>
        <v>0</v>
      </c>
      <c r="AU176" s="228">
        <f ca="1">SUM(AU172:AU175)</f>
        <v>0</v>
      </c>
      <c r="AV176" s="226" t="e">
        <f t="shared" ref="AV176:BE176" ca="1" si="165">SUM(AV172:AV175)</f>
        <v>#VALUE!</v>
      </c>
      <c r="AW176" s="227" t="e">
        <f t="shared" ca="1" si="165"/>
        <v>#VALUE!</v>
      </c>
      <c r="AX176" s="227" t="e">
        <f t="shared" ca="1" si="165"/>
        <v>#VALUE!</v>
      </c>
      <c r="AY176" s="227" t="e">
        <f t="shared" ca="1" si="165"/>
        <v>#VALUE!</v>
      </c>
      <c r="AZ176" s="228" t="e">
        <f t="shared" ca="1" si="165"/>
        <v>#VALUE!</v>
      </c>
      <c r="BA176" s="227" t="e">
        <f t="shared" ca="1" si="165"/>
        <v>#VALUE!</v>
      </c>
      <c r="BB176" s="227" t="e">
        <f t="shared" ca="1" si="165"/>
        <v>#VALUE!</v>
      </c>
      <c r="BC176" s="227" t="e">
        <f t="shared" ca="1" si="165"/>
        <v>#VALUE!</v>
      </c>
      <c r="BD176" s="227" t="e">
        <f t="shared" ca="1" si="165"/>
        <v>#VALUE!</v>
      </c>
      <c r="BE176" s="228" t="e">
        <f t="shared" ca="1" si="165"/>
        <v>#VALUE!</v>
      </c>
      <c r="BG176" s="171" t="s">
        <v>18</v>
      </c>
      <c r="BH176" s="244">
        <f t="shared" ref="BH176:BV176" ca="1" si="166">SUM(BH172:BH175)</f>
        <v>0</v>
      </c>
      <c r="BI176" s="245">
        <f t="shared" ca="1" si="166"/>
        <v>0</v>
      </c>
      <c r="BJ176" s="245">
        <f t="shared" ca="1" si="166"/>
        <v>0</v>
      </c>
      <c r="BK176" s="245">
        <f t="shared" ca="1" si="166"/>
        <v>0</v>
      </c>
      <c r="BL176" s="234">
        <f t="shared" ca="1" si="166"/>
        <v>0</v>
      </c>
      <c r="BM176" s="244" t="e">
        <f t="shared" ca="1" si="166"/>
        <v>#VALUE!</v>
      </c>
      <c r="BN176" s="245" t="e">
        <f t="shared" ca="1" si="166"/>
        <v>#VALUE!</v>
      </c>
      <c r="BO176" s="245" t="e">
        <f t="shared" ca="1" si="166"/>
        <v>#VALUE!</v>
      </c>
      <c r="BP176" s="245" t="e">
        <f t="shared" ca="1" si="166"/>
        <v>#VALUE!</v>
      </c>
      <c r="BQ176" s="234" t="e">
        <f t="shared" ca="1" si="166"/>
        <v>#VALUE!</v>
      </c>
      <c r="BR176" s="245" t="e">
        <f t="shared" ca="1" si="166"/>
        <v>#VALUE!</v>
      </c>
      <c r="BS176" s="245" t="e">
        <f t="shared" ca="1" si="166"/>
        <v>#VALUE!</v>
      </c>
      <c r="BT176" s="245" t="e">
        <f t="shared" ca="1" si="166"/>
        <v>#VALUE!</v>
      </c>
      <c r="BU176" s="245" t="e">
        <f t="shared" ca="1" si="166"/>
        <v>#VALUE!</v>
      </c>
      <c r="BV176" s="234" t="e">
        <f t="shared" ca="1" si="166"/>
        <v>#VALUE!</v>
      </c>
      <c r="BX176" s="171" t="s">
        <v>18</v>
      </c>
      <c r="BY176" s="244">
        <f t="shared" ref="BY176:CM176" ca="1" si="167">SUM(BY172:BY175)</f>
        <v>0</v>
      </c>
      <c r="BZ176" s="245">
        <f t="shared" ca="1" si="167"/>
        <v>0</v>
      </c>
      <c r="CA176" s="245">
        <f t="shared" ca="1" si="167"/>
        <v>0</v>
      </c>
      <c r="CB176" s="245">
        <f t="shared" ca="1" si="167"/>
        <v>0</v>
      </c>
      <c r="CC176" s="234">
        <f t="shared" ca="1" si="167"/>
        <v>0</v>
      </c>
      <c r="CD176" s="244" t="e">
        <f t="shared" ca="1" si="167"/>
        <v>#VALUE!</v>
      </c>
      <c r="CE176" s="245" t="e">
        <f t="shared" ca="1" si="167"/>
        <v>#VALUE!</v>
      </c>
      <c r="CF176" s="245" t="e">
        <f t="shared" ca="1" si="167"/>
        <v>#VALUE!</v>
      </c>
      <c r="CG176" s="245" t="e">
        <f t="shared" ca="1" si="167"/>
        <v>#VALUE!</v>
      </c>
      <c r="CH176" s="234" t="e">
        <f t="shared" ca="1" si="167"/>
        <v>#VALUE!</v>
      </c>
      <c r="CI176" s="245" t="e">
        <f t="shared" ca="1" si="167"/>
        <v>#VALUE!</v>
      </c>
      <c r="CJ176" s="245" t="e">
        <f t="shared" ca="1" si="167"/>
        <v>#VALUE!</v>
      </c>
      <c r="CK176" s="245" t="e">
        <f t="shared" ca="1" si="167"/>
        <v>#VALUE!</v>
      </c>
      <c r="CL176" s="245" t="e">
        <f t="shared" ca="1" si="167"/>
        <v>#VALUE!</v>
      </c>
      <c r="CM176" s="234" t="e">
        <f t="shared" ca="1" si="167"/>
        <v>#VALUE!</v>
      </c>
      <c r="CO176" s="246">
        <f ca="1">SUM(CO172:CO175)</f>
        <v>0</v>
      </c>
      <c r="CP176" s="247">
        <f ca="1">SUM(CP172:CP175)</f>
        <v>0</v>
      </c>
      <c r="CQ176" s="247">
        <f ca="1">SUM(CQ172:CQ175)</f>
        <v>0</v>
      </c>
      <c r="CR176" s="246">
        <f ca="1">SUM(CR172:CR175)</f>
        <v>0</v>
      </c>
      <c r="CS176" s="248">
        <f ca="1">SUM(CS172:CS175)</f>
        <v>0</v>
      </c>
      <c r="CT176" s="249">
        <f ca="1">SUM(CR176:CS176)</f>
        <v>0</v>
      </c>
      <c r="CU176" s="246">
        <f ca="1">SUM(CU172:CU175)</f>
        <v>0</v>
      </c>
      <c r="CV176" s="247">
        <f ca="1">SUM(CV172:CV175)</f>
        <v>0</v>
      </c>
      <c r="CW176" s="247">
        <f ca="1">SUM(CW172:CW175)</f>
        <v>0</v>
      </c>
    </row>
    <row r="177" spans="2:117" ht="15" thickBot="1" x14ac:dyDescent="0.4"/>
    <row r="178" spans="2:117" ht="15" thickBot="1" x14ac:dyDescent="0.4">
      <c r="I178" s="21" t="s">
        <v>53</v>
      </c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3"/>
      <c r="Z178" s="24" t="s">
        <v>53</v>
      </c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6"/>
      <c r="AQ178" s="27" t="s">
        <v>53</v>
      </c>
      <c r="AR178" s="28"/>
      <c r="AS178" s="28"/>
      <c r="AT178" s="28"/>
      <c r="AU178" s="29"/>
      <c r="AV178" s="28"/>
      <c r="AW178" s="28"/>
      <c r="AX178" s="28"/>
      <c r="AY178" s="28"/>
      <c r="AZ178" s="28"/>
      <c r="BA178" s="28"/>
      <c r="BB178" s="28"/>
      <c r="BC178" s="28"/>
      <c r="BD178" s="28"/>
      <c r="BE178" s="30"/>
      <c r="BH178" s="31" t="s">
        <v>53</v>
      </c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3"/>
      <c r="BY178" s="34" t="s">
        <v>53</v>
      </c>
      <c r="BZ178" s="35"/>
      <c r="CA178" s="35"/>
      <c r="CB178" s="35"/>
      <c r="CC178" s="35"/>
      <c r="CD178" s="35"/>
      <c r="CE178" s="35"/>
      <c r="CF178" s="35"/>
      <c r="CG178" s="35"/>
      <c r="CH178" s="35"/>
      <c r="CI178" s="35"/>
      <c r="CJ178" s="35"/>
      <c r="CK178" s="35"/>
      <c r="CL178" s="35"/>
      <c r="CM178" s="36"/>
      <c r="CO178" s="196" t="str">
        <f>"Base Yr (B/G indicator of Medispan + Override) "&amp;IF(input_Annual="Yes", "Annualized", "")</f>
        <v>Base Yr (B/G indicator of Medispan + Override) Annualized</v>
      </c>
      <c r="CP178" s="197"/>
      <c r="CQ178" s="197"/>
      <c r="CR178" s="198"/>
      <c r="CS178" s="198"/>
      <c r="CT178" s="198"/>
      <c r="CU178" s="198"/>
      <c r="CV178" s="198"/>
      <c r="CW178" s="198"/>
    </row>
    <row r="179" spans="2:117" ht="15" thickBot="1" x14ac:dyDescent="0.4">
      <c r="H179" s="37"/>
      <c r="I179" s="38" t="s">
        <v>56</v>
      </c>
      <c r="J179" s="39"/>
      <c r="K179" s="39"/>
      <c r="L179" s="39"/>
      <c r="M179" s="40"/>
      <c r="N179" s="38" t="s">
        <v>57</v>
      </c>
      <c r="O179" s="39"/>
      <c r="P179" s="39"/>
      <c r="Q179" s="39"/>
      <c r="R179" s="40"/>
      <c r="S179" s="38" t="s">
        <v>18</v>
      </c>
      <c r="T179" s="39"/>
      <c r="U179" s="39"/>
      <c r="V179" s="39"/>
      <c r="W179" s="40"/>
      <c r="Z179" s="41" t="s">
        <v>56</v>
      </c>
      <c r="AA179" s="42"/>
      <c r="AB179" s="42"/>
      <c r="AC179" s="42"/>
      <c r="AD179" s="43"/>
      <c r="AE179" s="41" t="s">
        <v>57</v>
      </c>
      <c r="AF179" s="42"/>
      <c r="AG179" s="42"/>
      <c r="AH179" s="42"/>
      <c r="AI179" s="43"/>
      <c r="AJ179" s="41" t="s">
        <v>18</v>
      </c>
      <c r="AK179" s="42"/>
      <c r="AL179" s="42"/>
      <c r="AM179" s="42"/>
      <c r="AN179" s="43"/>
      <c r="AQ179" s="44" t="s">
        <v>56</v>
      </c>
      <c r="AR179" s="45"/>
      <c r="AS179" s="45"/>
      <c r="AT179" s="45"/>
      <c r="AU179" s="46"/>
      <c r="AV179" s="44" t="s">
        <v>57</v>
      </c>
      <c r="AW179" s="45"/>
      <c r="AX179" s="45"/>
      <c r="AY179" s="45"/>
      <c r="AZ179" s="46"/>
      <c r="BA179" s="45" t="s">
        <v>18</v>
      </c>
      <c r="BB179" s="45"/>
      <c r="BC179" s="45"/>
      <c r="BD179" s="45"/>
      <c r="BE179" s="46"/>
      <c r="BH179" s="47" t="s">
        <v>56</v>
      </c>
      <c r="BI179" s="48"/>
      <c r="BJ179" s="48"/>
      <c r="BK179" s="48"/>
      <c r="BL179" s="49"/>
      <c r="BM179" s="47" t="s">
        <v>57</v>
      </c>
      <c r="BN179" s="48"/>
      <c r="BO179" s="48"/>
      <c r="BP179" s="48"/>
      <c r="BQ179" s="49"/>
      <c r="BR179" s="50" t="s">
        <v>18</v>
      </c>
      <c r="BS179" s="50"/>
      <c r="BT179" s="50"/>
      <c r="BU179" s="50"/>
      <c r="BV179" s="51"/>
      <c r="BY179" s="47" t="s">
        <v>56</v>
      </c>
      <c r="BZ179" s="48"/>
      <c r="CA179" s="48"/>
      <c r="CB179" s="48"/>
      <c r="CC179" s="49"/>
      <c r="CD179" s="47" t="s">
        <v>57</v>
      </c>
      <c r="CE179" s="48"/>
      <c r="CF179" s="48"/>
      <c r="CG179" s="48"/>
      <c r="CH179" s="49"/>
      <c r="CI179" s="50" t="s">
        <v>18</v>
      </c>
      <c r="CJ179" s="50"/>
      <c r="CK179" s="50"/>
      <c r="CL179" s="50"/>
      <c r="CM179" s="51"/>
      <c r="CO179" s="199" t="s">
        <v>23</v>
      </c>
      <c r="CP179" s="200"/>
      <c r="CQ179" s="201"/>
      <c r="CR179" s="199" t="s">
        <v>27</v>
      </c>
      <c r="CS179" s="200"/>
      <c r="CT179" s="201"/>
      <c r="CU179" s="200" t="s">
        <v>8</v>
      </c>
      <c r="CV179" s="200"/>
      <c r="CW179" s="201"/>
    </row>
    <row r="180" spans="2:117" ht="29.5" thickBot="1" x14ac:dyDescent="0.4">
      <c r="H180" s="55"/>
      <c r="I180" s="56" t="str">
        <f>[1]Tables!$AA$4</f>
        <v>07/27 - 06/28</v>
      </c>
      <c r="J180" s="55" t="str">
        <f>[1]Tables!$AA$5</f>
        <v>07/28 - 06/29</v>
      </c>
      <c r="K180" s="55" t="str">
        <f>[1]Tables!$AA$6</f>
        <v>07/29 - 06/30</v>
      </c>
      <c r="L180" s="55" t="str">
        <f>[1]Tables!$AA$7</f>
        <v>07/30 - 06/31</v>
      </c>
      <c r="M180" s="57" t="str">
        <f>[1]Tables!$AA$8</f>
        <v>07/31 - 06/32</v>
      </c>
      <c r="N180" s="56" t="str">
        <f>[1]Tables!$AA$4</f>
        <v>07/27 - 06/28</v>
      </c>
      <c r="O180" s="55" t="str">
        <f>[1]Tables!$AA$5</f>
        <v>07/28 - 06/29</v>
      </c>
      <c r="P180" s="55" t="str">
        <f>[1]Tables!$AA$6</f>
        <v>07/29 - 06/30</v>
      </c>
      <c r="Q180" s="55" t="str">
        <f>[1]Tables!$AA$7</f>
        <v>07/30 - 06/31</v>
      </c>
      <c r="R180" s="57" t="str">
        <f>[1]Tables!$AA$8</f>
        <v>07/31 - 06/32</v>
      </c>
      <c r="S180" s="56" t="str">
        <f>[1]Tables!$AA$4</f>
        <v>07/27 - 06/28</v>
      </c>
      <c r="T180" s="55" t="str">
        <f>[1]Tables!$AA$5</f>
        <v>07/28 - 06/29</v>
      </c>
      <c r="U180" s="55" t="str">
        <f>[1]Tables!$AA$6</f>
        <v>07/29 - 06/30</v>
      </c>
      <c r="V180" s="55" t="str">
        <f>[1]Tables!$AA$7</f>
        <v>07/30 - 06/31</v>
      </c>
      <c r="W180" s="57" t="str">
        <f>[1]Tables!$AA$8</f>
        <v>07/31 - 06/32</v>
      </c>
      <c r="Y180" s="58"/>
      <c r="Z180" s="59" t="str">
        <f>[1]Tables!$AA$4</f>
        <v>07/27 - 06/28</v>
      </c>
      <c r="AA180" s="60" t="str">
        <f>[1]Tables!$AA$5</f>
        <v>07/28 - 06/29</v>
      </c>
      <c r="AB180" s="60" t="str">
        <f>[1]Tables!$AA$6</f>
        <v>07/29 - 06/30</v>
      </c>
      <c r="AC180" s="60" t="str">
        <f>[1]Tables!$AA$7</f>
        <v>07/30 - 06/31</v>
      </c>
      <c r="AD180" s="61" t="str">
        <f>[1]Tables!$AA$8</f>
        <v>07/31 - 06/32</v>
      </c>
      <c r="AE180" s="59" t="str">
        <f>[1]Tables!$AA$4</f>
        <v>07/27 - 06/28</v>
      </c>
      <c r="AF180" s="60" t="str">
        <f>[1]Tables!$AA$5</f>
        <v>07/28 - 06/29</v>
      </c>
      <c r="AG180" s="60" t="str">
        <f>[1]Tables!$AA$6</f>
        <v>07/29 - 06/30</v>
      </c>
      <c r="AH180" s="60" t="str">
        <f>[1]Tables!$AA$7</f>
        <v>07/30 - 06/31</v>
      </c>
      <c r="AI180" s="61" t="str">
        <f>[1]Tables!$AA$8</f>
        <v>07/31 - 06/32</v>
      </c>
      <c r="AJ180" s="59" t="str">
        <f>[1]Tables!$AA$4</f>
        <v>07/27 - 06/28</v>
      </c>
      <c r="AK180" s="60" t="str">
        <f>[1]Tables!$AA$5</f>
        <v>07/28 - 06/29</v>
      </c>
      <c r="AL180" s="60" t="str">
        <f>[1]Tables!$AA$6</f>
        <v>07/29 - 06/30</v>
      </c>
      <c r="AM180" s="60" t="str">
        <f>[1]Tables!$AA$7</f>
        <v>07/30 - 06/31</v>
      </c>
      <c r="AN180" s="61" t="str">
        <f>[1]Tables!$AA$8</f>
        <v>07/31 - 06/32</v>
      </c>
      <c r="AP180" s="58"/>
      <c r="AQ180" s="62" t="str">
        <f>[1]Tables!$AA$4</f>
        <v>07/27 - 06/28</v>
      </c>
      <c r="AR180" s="63" t="str">
        <f>[1]Tables!$AA$5</f>
        <v>07/28 - 06/29</v>
      </c>
      <c r="AS180" s="63" t="str">
        <f>[1]Tables!$AA$6</f>
        <v>07/29 - 06/30</v>
      </c>
      <c r="AT180" s="63" t="str">
        <f>[1]Tables!$AA$7</f>
        <v>07/30 - 06/31</v>
      </c>
      <c r="AU180" s="64" t="str">
        <f>[1]Tables!$AA$8</f>
        <v>07/31 - 06/32</v>
      </c>
      <c r="AV180" s="62" t="str">
        <f>[1]Tables!$AA$4</f>
        <v>07/27 - 06/28</v>
      </c>
      <c r="AW180" s="63" t="str">
        <f>[1]Tables!$AA$5</f>
        <v>07/28 - 06/29</v>
      </c>
      <c r="AX180" s="63" t="str">
        <f>[1]Tables!$AA$6</f>
        <v>07/29 - 06/30</v>
      </c>
      <c r="AY180" s="63" t="str">
        <f>[1]Tables!$AA$7</f>
        <v>07/30 - 06/31</v>
      </c>
      <c r="AZ180" s="64" t="str">
        <f>[1]Tables!$AA$8</f>
        <v>07/31 - 06/32</v>
      </c>
      <c r="BA180" s="63" t="str">
        <f>[1]Tables!$AA$4</f>
        <v>07/27 - 06/28</v>
      </c>
      <c r="BB180" s="63" t="str">
        <f>[1]Tables!$AA$5</f>
        <v>07/28 - 06/29</v>
      </c>
      <c r="BC180" s="63" t="str">
        <f>[1]Tables!$AA$6</f>
        <v>07/29 - 06/30</v>
      </c>
      <c r="BD180" s="63" t="str">
        <f>[1]Tables!$AA$7</f>
        <v>07/30 - 06/31</v>
      </c>
      <c r="BE180" s="64" t="str">
        <f>[1]Tables!$AA$8</f>
        <v>07/31 - 06/32</v>
      </c>
      <c r="BG180" s="58"/>
      <c r="BH180" s="65" t="str">
        <f>[1]Tables!$AA$4</f>
        <v>07/27 - 06/28</v>
      </c>
      <c r="BI180" s="66" t="str">
        <f>[1]Tables!$AA$5</f>
        <v>07/28 - 06/29</v>
      </c>
      <c r="BJ180" s="66" t="str">
        <f>[1]Tables!$AA$6</f>
        <v>07/29 - 06/30</v>
      </c>
      <c r="BK180" s="66" t="str">
        <f>[1]Tables!$AA$7</f>
        <v>07/30 - 06/31</v>
      </c>
      <c r="BL180" s="67" t="str">
        <f>[1]Tables!$AA$8</f>
        <v>07/31 - 06/32</v>
      </c>
      <c r="BM180" s="65" t="str">
        <f>[1]Tables!$AA$4</f>
        <v>07/27 - 06/28</v>
      </c>
      <c r="BN180" s="66" t="str">
        <f>[1]Tables!$AA$5</f>
        <v>07/28 - 06/29</v>
      </c>
      <c r="BO180" s="66" t="str">
        <f>[1]Tables!$AA$6</f>
        <v>07/29 - 06/30</v>
      </c>
      <c r="BP180" s="66" t="str">
        <f>[1]Tables!$AA$7</f>
        <v>07/30 - 06/31</v>
      </c>
      <c r="BQ180" s="67" t="str">
        <f>[1]Tables!$AA$8</f>
        <v>07/31 - 06/32</v>
      </c>
      <c r="BR180" s="66" t="str">
        <f>[1]Tables!$AA$4</f>
        <v>07/27 - 06/28</v>
      </c>
      <c r="BS180" s="66" t="str">
        <f>[1]Tables!$AA$5</f>
        <v>07/28 - 06/29</v>
      </c>
      <c r="BT180" s="66" t="str">
        <f>[1]Tables!$AA$6</f>
        <v>07/29 - 06/30</v>
      </c>
      <c r="BU180" s="66" t="str">
        <f>[1]Tables!$AA$7</f>
        <v>07/30 - 06/31</v>
      </c>
      <c r="BV180" s="67" t="str">
        <f>[1]Tables!$AA$8</f>
        <v>07/31 - 06/32</v>
      </c>
      <c r="BX180" s="58"/>
      <c r="BY180" s="65" t="str">
        <f>[1]Tables!$AA$4</f>
        <v>07/27 - 06/28</v>
      </c>
      <c r="BZ180" s="66" t="str">
        <f>[1]Tables!$AA$5</f>
        <v>07/28 - 06/29</v>
      </c>
      <c r="CA180" s="66" t="str">
        <f>[1]Tables!$AA$6</f>
        <v>07/29 - 06/30</v>
      </c>
      <c r="CB180" s="66" t="str">
        <f>[1]Tables!$AA$7</f>
        <v>07/30 - 06/31</v>
      </c>
      <c r="CC180" s="67" t="str">
        <f>[1]Tables!$AA$8</f>
        <v>07/31 - 06/32</v>
      </c>
      <c r="CD180" s="65" t="str">
        <f>[1]Tables!$AA$4</f>
        <v>07/27 - 06/28</v>
      </c>
      <c r="CE180" s="66" t="str">
        <f>[1]Tables!$AA$5</f>
        <v>07/28 - 06/29</v>
      </c>
      <c r="CF180" s="66" t="str">
        <f>[1]Tables!$AA$6</f>
        <v>07/29 - 06/30</v>
      </c>
      <c r="CG180" s="66" t="str">
        <f>[1]Tables!$AA$7</f>
        <v>07/30 - 06/31</v>
      </c>
      <c r="CH180" s="67" t="str">
        <f>[1]Tables!$AA$8</f>
        <v>07/31 - 06/32</v>
      </c>
      <c r="CI180" s="66" t="str">
        <f>[1]Tables!$AA$4</f>
        <v>07/27 - 06/28</v>
      </c>
      <c r="CJ180" s="66" t="str">
        <f>[1]Tables!$AA$5</f>
        <v>07/28 - 06/29</v>
      </c>
      <c r="CK180" s="66" t="str">
        <f>[1]Tables!$AA$6</f>
        <v>07/29 - 06/30</v>
      </c>
      <c r="CL180" s="66" t="str">
        <f>[1]Tables!$AA$7</f>
        <v>07/30 - 06/31</v>
      </c>
      <c r="CM180" s="67" t="str">
        <f>[1]Tables!$AA$8</f>
        <v>07/31 - 06/32</v>
      </c>
      <c r="CO180" s="65" t="s">
        <v>56</v>
      </c>
      <c r="CP180" s="66" t="s">
        <v>57</v>
      </c>
      <c r="CQ180" s="202" t="s">
        <v>18</v>
      </c>
      <c r="CR180" s="66" t="s">
        <v>56</v>
      </c>
      <c r="CS180" s="66" t="s">
        <v>57</v>
      </c>
      <c r="CT180" s="202" t="s">
        <v>18</v>
      </c>
      <c r="CU180" s="65" t="s">
        <v>56</v>
      </c>
      <c r="CV180" s="67" t="s">
        <v>57</v>
      </c>
      <c r="CW180" s="67" t="s">
        <v>18</v>
      </c>
    </row>
    <row r="181" spans="2:117" x14ac:dyDescent="0.35">
      <c r="B181" s="68" t="s">
        <v>11</v>
      </c>
      <c r="C181" s="69">
        <v>30</v>
      </c>
      <c r="D181" s="69" t="s">
        <v>12</v>
      </c>
      <c r="E181" s="70" t="s">
        <v>12</v>
      </c>
      <c r="F181" s="106">
        <v>1</v>
      </c>
      <c r="H181" s="71" t="s">
        <v>14</v>
      </c>
      <c r="I181" s="203" t="e" cm="1">
        <f t="array" aca="1" ref="I181" ca="1">SUMIFS(rng_out_rx_pre_yr1, rng_out_GB_Medispan, "G",  rng_out_sel_G_ind, "B", rng_out_mail_ind, $B181, rng_out_ds, $C181, rng_out_sel_sp_ind, $D181) - I285</f>
        <v>#VALUE!</v>
      </c>
      <c r="J181" s="195" t="e" cm="1">
        <f t="array" aca="1" ref="J181" ca="1">SUMIFS(rng_out_rx_pre_yr2, rng_out_GB_Medispan, "G",  rng_out_sel_G_ind, "B", rng_out_mail_ind, $B181, rng_out_ds, $C181, rng_out_sel_sp_ind, $D181) - J285</f>
        <v>#VALUE!</v>
      </c>
      <c r="K181" s="195" t="e" cm="1">
        <f t="array" aca="1" ref="K181" ca="1">SUMIFS(rng_out_rx_pre_yr3, rng_out_GB_Medispan, "G",  rng_out_sel_G_ind, "B", rng_out_mail_ind, $B181, rng_out_ds, $C181, rng_out_sel_sp_ind, $D181) - K285</f>
        <v>#VALUE!</v>
      </c>
      <c r="L181" s="195" t="e" cm="1">
        <f t="array" aca="1" ref="L181" ca="1">SUMIFS(rng_out_rx_pre_yr4, rng_out_GB_Medispan, "G",  rng_out_sel_G_ind, "B", rng_out_mail_ind, $B181, rng_out_ds, $C181, rng_out_sel_sp_ind, $D181) - L285</f>
        <v>#VALUE!</v>
      </c>
      <c r="M181" s="204" t="e" cm="1">
        <f t="array" aca="1" ref="M181" ca="1">SUMIFS(rng_out_rx_pre_yr5, rng_out_GB_Medispan, "G",  rng_out_sel_G_ind, "B", rng_out_mail_ind, $B181, rng_out_ds, $C181, rng_out_sel_sp_ind, $D181) - M285</f>
        <v>#VALUE!</v>
      </c>
      <c r="N181" s="203" t="e" cm="1">
        <f t="array" aca="1" ref="N181" ca="1">SUMIFS(rng_out_rx_pre_yr1, rng_out_GB_Medispan, "B",  rng_out_sel_G_ind, "G", rng_out_mail_ind, $B181, rng_out_ds, $C181, rng_out_sel_sp_ind, $D181) - N285</f>
        <v>#VALUE!</v>
      </c>
      <c r="O181" s="195" t="e" cm="1">
        <f t="array" aca="1" ref="O181" ca="1">SUMIFS(rng_out_rx_pre_yr2, rng_out_GB_Medispan, "B",  rng_out_sel_G_ind, "G", rng_out_mail_ind, $B181, rng_out_ds, $C181, rng_out_sel_sp_ind, $D181) - O285</f>
        <v>#VALUE!</v>
      </c>
      <c r="P181" s="195" t="e" cm="1">
        <f t="array" aca="1" ref="P181" ca="1">SUMIFS(rng_out_rx_pre_yr3, rng_out_GB_Medispan, "B",  rng_out_sel_G_ind, "G", rng_out_mail_ind, $B181, rng_out_ds, $C181, rng_out_sel_sp_ind, $D181) - P285</f>
        <v>#VALUE!</v>
      </c>
      <c r="Q181" s="195" t="e" cm="1">
        <f t="array" aca="1" ref="Q181" ca="1">SUMIFS(rng_out_rx_pre_yr4, rng_out_GB_Medispan, "B",  rng_out_sel_G_ind, "G", rng_out_mail_ind, $B181, rng_out_ds, $C181, rng_out_sel_sp_ind, $D181) - Q285</f>
        <v>#VALUE!</v>
      </c>
      <c r="R181" s="204" t="e" cm="1">
        <f t="array" aca="1" ref="R181" ca="1">SUMIFS(rng_out_rx_pre_yr5, rng_out_GB_Medispan, "B",  rng_out_sel_G_ind, "G", rng_out_mail_ind, $B181, rng_out_ds, $C181, rng_out_sel_sp_ind, $D181) - R285</f>
        <v>#VALUE!</v>
      </c>
      <c r="S181" s="205" t="e">
        <f t="shared" ref="S181:W184" ca="1" si="168">I181+N181</f>
        <v>#VALUE!</v>
      </c>
      <c r="T181" s="206" t="e">
        <f t="shared" ca="1" si="168"/>
        <v>#VALUE!</v>
      </c>
      <c r="U181" s="206" t="e">
        <f t="shared" ca="1" si="168"/>
        <v>#VALUE!</v>
      </c>
      <c r="V181" s="206" t="e">
        <f t="shared" ca="1" si="168"/>
        <v>#VALUE!</v>
      </c>
      <c r="W181" s="207" t="e">
        <f t="shared" ca="1" si="168"/>
        <v>#VALUE!</v>
      </c>
      <c r="Y181" s="77" t="s">
        <v>14</v>
      </c>
      <c r="Z181" s="208">
        <f ca="1">IFERROR(I181/[1]Tables!$AT$4, 0)</f>
        <v>0</v>
      </c>
      <c r="AA181" s="206">
        <f ca="1">IFERROR(J181/[1]Tables!$AT$4, 0)</f>
        <v>0</v>
      </c>
      <c r="AB181" s="206">
        <f ca="1">IFERROR(K181/[1]Tables!$AT$4, 0)</f>
        <v>0</v>
      </c>
      <c r="AC181" s="206">
        <f ca="1">IFERROR(L181/[1]Tables!$AT$4, 0)</f>
        <v>0</v>
      </c>
      <c r="AD181" s="209">
        <f ca="1">IFERROR(M181/[1]Tables!$AT$4, 0)</f>
        <v>0</v>
      </c>
      <c r="AE181" s="208">
        <f ca="1">IFERROR(N181/[1]Tables!$AT$4, 0)</f>
        <v>0</v>
      </c>
      <c r="AF181" s="206">
        <f ca="1">IFERROR(O181/[1]Tables!$AT$4, 0)</f>
        <v>0</v>
      </c>
      <c r="AG181" s="206">
        <f ca="1">IFERROR(P181/[1]Tables!$AT$4, 0)</f>
        <v>0</v>
      </c>
      <c r="AH181" s="206">
        <f ca="1">IFERROR(Q181/[1]Tables!$AT$4, 0)</f>
        <v>0</v>
      </c>
      <c r="AI181" s="209">
        <f ca="1">IFERROR(R181/[1]Tables!$AT$4, 0)</f>
        <v>0</v>
      </c>
      <c r="AJ181" s="208">
        <f t="shared" ref="AJ181:AN184" ca="1" si="169">Z181+AE181</f>
        <v>0</v>
      </c>
      <c r="AK181" s="206">
        <f t="shared" ca="1" si="169"/>
        <v>0</v>
      </c>
      <c r="AL181" s="206">
        <f t="shared" ca="1" si="169"/>
        <v>0</v>
      </c>
      <c r="AM181" s="206">
        <f t="shared" ca="1" si="169"/>
        <v>0</v>
      </c>
      <c r="AN181" s="209">
        <f t="shared" ca="1" si="169"/>
        <v>0</v>
      </c>
      <c r="AP181" s="83" t="s">
        <v>14</v>
      </c>
      <c r="AQ181" s="210" cm="1">
        <f t="array" aca="1" ref="AQ181" ca="1">IFERROR(IF(OR(input_Shift="No", [1]Tables!$BN$4=1), 0, (SUMIFS(rng_out_rx_post_yr1, rng_out_mail_ind, $B181, rng_out_GB_Medispan,N$1, rng_out_sel_G_ind, I$1, rng_out_ds, $C181, rng_out_sel_sp_ind, $D181, rng_out_MSB_excl, $F181)/[1]Tables!$AT$4)/[1]Tables!$BN$4*(1-[1]Tables!$BN$4)), 0) - AQ285 + IFERROR(SUMIFS(rng_out_rx_post_yr1, rng_out_GB_Medispan, I$1, rng_out_sel_G_ind, N$1, rng_out_mail_ind, $B181, rng_out_ds, $C181, rng_out_sel_sp_ind, $D181)/[1]Tables!$AT$4, 0)</f>
        <v>0</v>
      </c>
      <c r="AR181" s="195" cm="1">
        <f t="array" aca="1" ref="AR181" ca="1">IFERROR(IF(OR(input_Shift="No", [1]Tables!$BN$4=1), 0, (SUMIFS(rng_out_rx_post_yr2, rng_out_mail_ind, $B181, rng_out_GB_Medispan,O$1, rng_out_sel_G_ind, J$1, rng_out_ds, $C181, rng_out_sel_sp_ind, $D181, rng_out_MSB_excl, $F181)/[1]Tables!$AT$4)/[1]Tables!$BN$4*(1-[1]Tables!$BN$4)), 0) - AR285 + IFERROR(SUMIFS(rng_out_rx_post_yr2, rng_out_GB_Medispan, J$1, rng_out_sel_G_ind, O$1, rng_out_mail_ind, $B181, rng_out_ds, $C181, rng_out_sel_sp_ind, $D181)/[1]Tables!$AT$4, 0)</f>
        <v>0</v>
      </c>
      <c r="AS181" s="195" cm="1">
        <f t="array" aca="1" ref="AS181" ca="1">IFERROR(IF(OR(input_Shift="No", [1]Tables!$BN$4=1), 0, (SUMIFS(rng_out_rx_post_yr3, rng_out_mail_ind, $B181, rng_out_GB_Medispan,P$1, rng_out_sel_G_ind, K$1, rng_out_ds, $C181, rng_out_sel_sp_ind, $D181, rng_out_MSB_excl, $F181)/[1]Tables!$AT$4)/[1]Tables!$BN$4*(1-[1]Tables!$BN$4)), 0) - AS285 + IFERROR(SUMIFS(rng_out_rx_post_yr3, rng_out_GB_Medispan, K$1, rng_out_sel_G_ind, P$1, rng_out_mail_ind, $B181, rng_out_ds, $C181, rng_out_sel_sp_ind, $D181)/[1]Tables!$AT$4, 0)</f>
        <v>0</v>
      </c>
      <c r="AT181" s="195" cm="1">
        <f t="array" aca="1" ref="AT181" ca="1">IFERROR(IF(OR(input_Shift="No", [1]Tables!$BN$4=1), 0, (SUMIFS(rng_out_rx_post_yr4, rng_out_mail_ind, $B181, rng_out_GB_Medispan,Q$1, rng_out_sel_G_ind, L$1, rng_out_ds, $C181, rng_out_sel_sp_ind, $D181, rng_out_MSB_excl, $F181)/[1]Tables!$AT$4)/[1]Tables!$BN$4*(1-[1]Tables!$BN$4)), 0) - AT285 + IFERROR(SUMIFS(rng_out_rx_post_yr4, rng_out_GB_Medispan, L$1, rng_out_sel_G_ind, Q$1, rng_out_mail_ind, $B181, rng_out_ds, $C181, rng_out_sel_sp_ind, $D181)/[1]Tables!$AT$4, 0)</f>
        <v>0</v>
      </c>
      <c r="AU181" s="211" cm="1">
        <f t="array" aca="1" ref="AU181" ca="1">IFERROR(IF(OR(input_Shift="No", [1]Tables!$BN$4=1), 0, (SUMIFS(rng_out_rx_post_yr5, rng_out_mail_ind, $B181, rng_out_GB_Medispan,R$1, rng_out_sel_G_ind, M$1, rng_out_ds, $C181, rng_out_sel_sp_ind, $D181, rng_out_MSB_excl, $F181)/[1]Tables!$AT$4)/[1]Tables!$BN$4*(1-[1]Tables!$BN$4)), 0) - AU285 + IFERROR(SUMIFS(rng_out_rx_post_yr5, rng_out_GB_Medispan, M$1, rng_out_sel_G_ind, R$1, rng_out_mail_ind, $B181, rng_out_ds, $C181, rng_out_sel_sp_ind, $D181)/[1]Tables!$AT$4, 0)</f>
        <v>0</v>
      </c>
      <c r="AV181" s="210" t="e" cm="1">
        <f t="array" aca="1" ref="AV181" ca="1">SUMIFS(rng_out_rx_post_yr1, rng_out_GB_Medispan, "B", rng_out_sel_G_ind, "G", rng_out_mail_ind, $B181, rng_out_ds, $C181, rng_out_sel_sp_ind, $D181)/[1]Tables!$AT$4 - AV285</f>
        <v>#VALUE!</v>
      </c>
      <c r="AW181" s="195" t="e" cm="1">
        <f t="array" aca="1" ref="AW181" ca="1">SUMIFS(rng_out_rx_post_yr2, rng_out_GB_Medispan, "B", rng_out_sel_G_ind, "G", rng_out_mail_ind, $B181, rng_out_ds, $C181, rng_out_sel_sp_ind, $D181)/[1]Tables!$AT$4 - AW285</f>
        <v>#VALUE!</v>
      </c>
      <c r="AX181" s="195" t="e" cm="1">
        <f t="array" aca="1" ref="AX181" ca="1">SUMIFS(rng_out_rx_post_yr3, rng_out_GB_Medispan, "B", rng_out_sel_G_ind, "G", rng_out_mail_ind, $B181, rng_out_ds, $C181, rng_out_sel_sp_ind, $D181)/[1]Tables!$AT$4 - AX285</f>
        <v>#VALUE!</v>
      </c>
      <c r="AY181" s="195" t="e" cm="1">
        <f t="array" aca="1" ref="AY181" ca="1">SUMIFS(rng_out_rx_post_yr4, rng_out_GB_Medispan, "B", rng_out_sel_G_ind, "G", rng_out_mail_ind, $B181, rng_out_ds, $C181, rng_out_sel_sp_ind, $D181)/[1]Tables!$AT$4 - AY285</f>
        <v>#VALUE!</v>
      </c>
      <c r="AZ181" s="211" t="e" cm="1">
        <f t="array" aca="1" ref="AZ181" ca="1">SUMIFS(rng_out_rx_post_yr5, rng_out_GB_Medispan, "B", rng_out_sel_G_ind, "G", rng_out_mail_ind, $B181, rng_out_ds, $C181, rng_out_sel_sp_ind, $D181)/[1]Tables!$AT$4 - AZ285</f>
        <v>#VALUE!</v>
      </c>
      <c r="BA181" s="206" t="e">
        <f t="shared" ref="BA181:BE184" ca="1" si="170">AQ181+AV181</f>
        <v>#VALUE!</v>
      </c>
      <c r="BB181" s="206" t="e">
        <f t="shared" ca="1" si="170"/>
        <v>#VALUE!</v>
      </c>
      <c r="BC181" s="206" t="e">
        <f t="shared" ca="1" si="170"/>
        <v>#VALUE!</v>
      </c>
      <c r="BD181" s="206" t="e">
        <f t="shared" ca="1" si="170"/>
        <v>#VALUE!</v>
      </c>
      <c r="BE181" s="212" t="e">
        <f t="shared" ca="1" si="170"/>
        <v>#VALUE!</v>
      </c>
      <c r="BG181" s="88" t="s">
        <v>14</v>
      </c>
      <c r="BH181" s="213">
        <f t="shared" ref="BH181:BQ184" ca="1" si="171">AQ181</f>
        <v>0</v>
      </c>
      <c r="BI181" s="206">
        <f t="shared" ca="1" si="171"/>
        <v>0</v>
      </c>
      <c r="BJ181" s="206">
        <f t="shared" ca="1" si="171"/>
        <v>0</v>
      </c>
      <c r="BK181" s="206">
        <f t="shared" ca="1" si="171"/>
        <v>0</v>
      </c>
      <c r="BL181" s="214">
        <f t="shared" ca="1" si="171"/>
        <v>0</v>
      </c>
      <c r="BM181" s="213" t="e">
        <f t="shared" ca="1" si="171"/>
        <v>#VALUE!</v>
      </c>
      <c r="BN181" s="206" t="e">
        <f t="shared" ca="1" si="171"/>
        <v>#VALUE!</v>
      </c>
      <c r="BO181" s="206" t="e">
        <f t="shared" ca="1" si="171"/>
        <v>#VALUE!</v>
      </c>
      <c r="BP181" s="206" t="e">
        <f t="shared" ca="1" si="171"/>
        <v>#VALUE!</v>
      </c>
      <c r="BQ181" s="214" t="e">
        <f t="shared" ca="1" si="171"/>
        <v>#VALUE!</v>
      </c>
      <c r="BR181" s="215" t="e">
        <f t="shared" ref="BR181:BV184" ca="1" si="172">BH181+BM181</f>
        <v>#VALUE!</v>
      </c>
      <c r="BS181" s="216" t="e">
        <f t="shared" ca="1" si="172"/>
        <v>#VALUE!</v>
      </c>
      <c r="BT181" s="216" t="e">
        <f t="shared" ca="1" si="172"/>
        <v>#VALUE!</v>
      </c>
      <c r="BU181" s="216" t="e">
        <f t="shared" ca="1" si="172"/>
        <v>#VALUE!</v>
      </c>
      <c r="BV181" s="217" t="e">
        <f t="shared" ca="1" si="172"/>
        <v>#VALUE!</v>
      </c>
      <c r="BX181" s="88" t="s">
        <v>14</v>
      </c>
      <c r="BY181" s="213">
        <f t="shared" ref="BY181:CH184" ca="1" si="173">IFERROR(BY190/BH190, 1)*BH181</f>
        <v>0</v>
      </c>
      <c r="BZ181" s="206">
        <f t="shared" ca="1" si="173"/>
        <v>0</v>
      </c>
      <c r="CA181" s="206">
        <f t="shared" ca="1" si="173"/>
        <v>0</v>
      </c>
      <c r="CB181" s="206">
        <f t="shared" ca="1" si="173"/>
        <v>0</v>
      </c>
      <c r="CC181" s="214">
        <f t="shared" ca="1" si="173"/>
        <v>0</v>
      </c>
      <c r="CD181" s="213" t="e">
        <f t="shared" ca="1" si="173"/>
        <v>#VALUE!</v>
      </c>
      <c r="CE181" s="206" t="e">
        <f t="shared" ca="1" si="173"/>
        <v>#VALUE!</v>
      </c>
      <c r="CF181" s="206" t="e">
        <f t="shared" ca="1" si="173"/>
        <v>#VALUE!</v>
      </c>
      <c r="CG181" s="206" t="e">
        <f t="shared" ca="1" si="173"/>
        <v>#VALUE!</v>
      </c>
      <c r="CH181" s="214" t="e">
        <f t="shared" ca="1" si="173"/>
        <v>#VALUE!</v>
      </c>
      <c r="CI181" s="215" t="e">
        <f t="shared" ref="CI181:CM184" ca="1" si="174">BY181+CD181</f>
        <v>#VALUE!</v>
      </c>
      <c r="CJ181" s="216" t="e">
        <f t="shared" ca="1" si="174"/>
        <v>#VALUE!</v>
      </c>
      <c r="CK181" s="216" t="e">
        <f t="shared" ca="1" si="174"/>
        <v>#VALUE!</v>
      </c>
      <c r="CL181" s="216" t="e">
        <f t="shared" ca="1" si="174"/>
        <v>#VALUE!</v>
      </c>
      <c r="CM181" s="217" t="e">
        <f t="shared" ca="1" si="174"/>
        <v>#VALUE!</v>
      </c>
      <c r="CO181" s="215" cm="1">
        <f t="array" aca="1" ref="CO181" ca="1">_xlfn.SINGLE(IFERROR(SUMIFS(rng_out_rx_base, rng_out_GB_Medispan, "G", rng_out_sel_G_ind, "B", rng_out_mail_ind, $B181, rng_out_ds, $C181, rng_out_sel_sp_ind, $D181, rng_out_sel_excl_ind,$E181)/[1]Tables!$AT$4, 0))</f>
        <v>0</v>
      </c>
      <c r="CP181" s="217" cm="1">
        <f t="array" aca="1" ref="CP181" ca="1">_xlfn.SINGLE(IFERROR(SUMIFS(rng_out_rx_base, rng_out_GB_Medispan, "B", rng_out_sel_G_ind, "G", rng_out_mail_ind, $B181, rng_out_ds, $C181, rng_out_sel_sp_ind, $D181, rng_out_sel_excl_ind,$E181)/[1]Tables!$AT$4, 0))</f>
        <v>0</v>
      </c>
      <c r="CQ181" s="218">
        <f ca="1">SUM(CO181:CP181)</f>
        <v>0</v>
      </c>
      <c r="CR181" s="215" cm="1">
        <f t="array" aca="1" ref="CR181" ca="1">_xlfn.SINGLE(IFERROR(SUMIFS(rng_out_qty_base, rng_out_GB_Medispan, "G", rng_out_sel_G_ind, "B", rng_out_mail_ind, $B181, rng_out_ds, $C181, rng_out_sel_sp_ind, $D181, rng_out_sel_excl_ind,$E181)/[1]Tables!$AT$4, 0))</f>
        <v>0</v>
      </c>
      <c r="CS181" s="216" cm="1">
        <f t="array" aca="1" ref="CS181" ca="1">_xlfn.SINGLE(IFERROR(SUMIFS(rng_out_qty_base, rng_out_GB_Medispan, "B", rng_out_sel_G_ind, "G", rng_out_mail_ind, $B181, rng_out_ds, $C181, rng_out_sel_sp_ind, $D181, rng_out_sel_excl_ind,$E181)/[1]Tables!$AT$4, 0))</f>
        <v>0</v>
      </c>
      <c r="CT181" s="219">
        <f ca="1">SUM(CR181:CS181)</f>
        <v>0</v>
      </c>
      <c r="CU181" s="215" cm="1">
        <f t="array" aca="1" ref="CU181" ca="1">_xlfn.SINGLE(IFERROR(SUMIFS(rng_out_ds_base, rng_out_GB_Medispan, "G", rng_out_sel_G_ind, "B", rng_out_mail_ind, $B181, rng_out_ds, $C181, rng_out_sel_sp_ind, $D181, rng_out_sel_excl_ind,$E181)/[1]Tables!$AT$4, 0))</f>
        <v>0</v>
      </c>
      <c r="CV181" s="217" cm="1">
        <f t="array" aca="1" ref="CV181" ca="1">_xlfn.SINGLE(IFERROR(SUMIFS(rng_out_ds_base, rng_out_GB_Medispan, "B", rng_out_sel_G_ind, "G", rng_out_mail_ind, $B181, rng_out_ds, $C181, rng_out_sel_sp_ind, $D181, rng_out_sel_excl_ind,$E181)/[1]Tables!$AT$4, 0))</f>
        <v>0</v>
      </c>
      <c r="CW181" s="218">
        <f ca="1">SUM(CU181:CV181)</f>
        <v>0</v>
      </c>
    </row>
    <row r="182" spans="2:117" x14ac:dyDescent="0.35">
      <c r="B182" s="105" t="s">
        <v>11</v>
      </c>
      <c r="C182" s="106">
        <v>90</v>
      </c>
      <c r="D182" s="106" t="s">
        <v>12</v>
      </c>
      <c r="E182" s="107" t="s">
        <v>12</v>
      </c>
      <c r="F182" s="106">
        <v>1</v>
      </c>
      <c r="H182" s="108" t="s">
        <v>15</v>
      </c>
      <c r="I182" s="203" t="e" cm="1">
        <f t="array" aca="1" ref="I182" ca="1">SUMIFS(rng_out_rx_pre_yr1, rng_out_GB_Medispan, "G",  rng_out_sel_G_ind, "B", rng_out_mail_ind, $B182, rng_out_ds, $C182, rng_out_sel_sp_ind, $D182) - I286</f>
        <v>#VALUE!</v>
      </c>
      <c r="J182" s="195" t="e" cm="1">
        <f t="array" aca="1" ref="J182" ca="1">SUMIFS(rng_out_rx_pre_yr2, rng_out_GB_Medispan, "G",  rng_out_sel_G_ind, "B", rng_out_mail_ind, $B182, rng_out_ds, $C182, rng_out_sel_sp_ind, $D182) - J286</f>
        <v>#VALUE!</v>
      </c>
      <c r="K182" s="195" t="e" cm="1">
        <f t="array" aca="1" ref="K182" ca="1">SUMIFS(rng_out_rx_pre_yr3, rng_out_GB_Medispan, "G",  rng_out_sel_G_ind, "B", rng_out_mail_ind, $B182, rng_out_ds, $C182, rng_out_sel_sp_ind, $D182) - K286</f>
        <v>#VALUE!</v>
      </c>
      <c r="L182" s="195" t="e" cm="1">
        <f t="array" aca="1" ref="L182" ca="1">SUMIFS(rng_out_rx_pre_yr4, rng_out_GB_Medispan, "G",  rng_out_sel_G_ind, "B", rng_out_mail_ind, $B182, rng_out_ds, $C182, rng_out_sel_sp_ind, $D182) - L286</f>
        <v>#VALUE!</v>
      </c>
      <c r="M182" s="204" t="e" cm="1">
        <f t="array" aca="1" ref="M182" ca="1">SUMIFS(rng_out_rx_pre_yr5, rng_out_GB_Medispan, "G",  rng_out_sel_G_ind, "B", rng_out_mail_ind, $B182, rng_out_ds, $C182, rng_out_sel_sp_ind, $D182) - M286</f>
        <v>#VALUE!</v>
      </c>
      <c r="N182" s="203" t="e" cm="1">
        <f t="array" aca="1" ref="N182" ca="1">SUMIFS(rng_out_rx_pre_yr1, rng_out_GB_Medispan, "B",  rng_out_sel_G_ind, "G", rng_out_mail_ind, $B182, rng_out_ds, $C182, rng_out_sel_sp_ind, $D182) - N286</f>
        <v>#VALUE!</v>
      </c>
      <c r="O182" s="195" t="e" cm="1">
        <f t="array" aca="1" ref="O182" ca="1">SUMIFS(rng_out_rx_pre_yr2, rng_out_GB_Medispan, "B",  rng_out_sel_G_ind, "G", rng_out_mail_ind, $B182, rng_out_ds, $C182, rng_out_sel_sp_ind, $D182) - O286</f>
        <v>#VALUE!</v>
      </c>
      <c r="P182" s="195" t="e" cm="1">
        <f t="array" aca="1" ref="P182" ca="1">SUMIFS(rng_out_rx_pre_yr3, rng_out_GB_Medispan, "B",  rng_out_sel_G_ind, "G", rng_out_mail_ind, $B182, rng_out_ds, $C182, rng_out_sel_sp_ind, $D182) - P286</f>
        <v>#VALUE!</v>
      </c>
      <c r="Q182" s="195" t="e" cm="1">
        <f t="array" aca="1" ref="Q182" ca="1">SUMIFS(rng_out_rx_pre_yr4, rng_out_GB_Medispan, "B",  rng_out_sel_G_ind, "G", rng_out_mail_ind, $B182, rng_out_ds, $C182, rng_out_sel_sp_ind, $D182) - Q286</f>
        <v>#VALUE!</v>
      </c>
      <c r="R182" s="204" t="e" cm="1">
        <f t="array" aca="1" ref="R182" ca="1">SUMIFS(rng_out_rx_pre_yr5, rng_out_GB_Medispan, "B",  rng_out_sel_G_ind, "G", rng_out_mail_ind, $B182, rng_out_ds, $C182, rng_out_sel_sp_ind, $D182) - R286</f>
        <v>#VALUE!</v>
      </c>
      <c r="S182" s="205" t="e">
        <f t="shared" ca="1" si="168"/>
        <v>#VALUE!</v>
      </c>
      <c r="T182" s="206" t="e">
        <f t="shared" ca="1" si="168"/>
        <v>#VALUE!</v>
      </c>
      <c r="U182" s="206" t="e">
        <f t="shared" ca="1" si="168"/>
        <v>#VALUE!</v>
      </c>
      <c r="V182" s="206" t="e">
        <f t="shared" ca="1" si="168"/>
        <v>#VALUE!</v>
      </c>
      <c r="W182" s="207" t="e">
        <f t="shared" ca="1" si="168"/>
        <v>#VALUE!</v>
      </c>
      <c r="Y182" s="109" t="s">
        <v>15</v>
      </c>
      <c r="Z182" s="208">
        <f ca="1">IFERROR(I182/[1]Tables!$AT$4, 0)</f>
        <v>0</v>
      </c>
      <c r="AA182" s="206">
        <f ca="1">IFERROR(J182/[1]Tables!$AT$4, 0)</f>
        <v>0</v>
      </c>
      <c r="AB182" s="206">
        <f ca="1">IFERROR(K182/[1]Tables!$AT$4, 0)</f>
        <v>0</v>
      </c>
      <c r="AC182" s="206">
        <f ca="1">IFERROR(L182/[1]Tables!$AT$4, 0)</f>
        <v>0</v>
      </c>
      <c r="AD182" s="209">
        <f ca="1">IFERROR(M182/[1]Tables!$AT$4, 0)</f>
        <v>0</v>
      </c>
      <c r="AE182" s="208">
        <f ca="1">IFERROR(N182/[1]Tables!$AT$4, 0)</f>
        <v>0</v>
      </c>
      <c r="AF182" s="206">
        <f ca="1">IFERROR(O182/[1]Tables!$AT$4, 0)</f>
        <v>0</v>
      </c>
      <c r="AG182" s="206">
        <f ca="1">IFERROR(P182/[1]Tables!$AT$4, 0)</f>
        <v>0</v>
      </c>
      <c r="AH182" s="206">
        <f ca="1">IFERROR(Q182/[1]Tables!$AT$4, 0)</f>
        <v>0</v>
      </c>
      <c r="AI182" s="209">
        <f ca="1">IFERROR(R182/[1]Tables!$AT$4, 0)</f>
        <v>0</v>
      </c>
      <c r="AJ182" s="208">
        <f t="shared" ca="1" si="169"/>
        <v>0</v>
      </c>
      <c r="AK182" s="206">
        <f t="shared" ca="1" si="169"/>
        <v>0</v>
      </c>
      <c r="AL182" s="206">
        <f t="shared" ca="1" si="169"/>
        <v>0</v>
      </c>
      <c r="AM182" s="206">
        <f t="shared" ca="1" si="169"/>
        <v>0</v>
      </c>
      <c r="AN182" s="209">
        <f t="shared" ca="1" si="169"/>
        <v>0</v>
      </c>
      <c r="AP182" s="110" t="s">
        <v>15</v>
      </c>
      <c r="AQ182" s="210" cm="1">
        <f t="array" aca="1" ref="AQ182" ca="1">IFERROR(IF(OR(input_Shift="No", [1]Tables!$BN$4=1), 0, (SUMIFS(rng_out_rx_post_yr1, rng_out_mail_ind, $B182, rng_out_GB_Medispan,N$1, rng_out_sel_G_ind, I$1, rng_out_ds, $C182, rng_out_sel_sp_ind, $D182, rng_out_MSB_excl, $F182)/[1]Tables!$AT$4)/[1]Tables!$BN$4*(1-[1]Tables!$BN$4)), 0) - AQ286 + IFERROR(SUMIFS(rng_out_rx_post_yr1, rng_out_GB_Medispan, I$1, rng_out_sel_G_ind, N$1, rng_out_mail_ind, $B182, rng_out_ds, $C182, rng_out_sel_sp_ind, $D182)/[1]Tables!$AT$4, 0)</f>
        <v>0</v>
      </c>
      <c r="AR182" s="195" cm="1">
        <f t="array" aca="1" ref="AR182" ca="1">IFERROR(IF(OR(input_Shift="No", [1]Tables!$BN$4=1), 0, (SUMIFS(rng_out_rx_post_yr2, rng_out_mail_ind, $B182, rng_out_GB_Medispan,O$1, rng_out_sel_G_ind, J$1, rng_out_ds, $C182, rng_out_sel_sp_ind, $D182, rng_out_MSB_excl, $F182)/[1]Tables!$AT$4)/[1]Tables!$BN$4*(1-[1]Tables!$BN$4)), 0) - AR286 + IFERROR(SUMIFS(rng_out_rx_post_yr2, rng_out_GB_Medispan, J$1, rng_out_sel_G_ind, O$1, rng_out_mail_ind, $B182, rng_out_ds, $C182, rng_out_sel_sp_ind, $D182)/[1]Tables!$AT$4, 0)</f>
        <v>0</v>
      </c>
      <c r="AS182" s="195" cm="1">
        <f t="array" aca="1" ref="AS182" ca="1">IFERROR(IF(OR(input_Shift="No", [1]Tables!$BN$4=1), 0, (SUMIFS(rng_out_rx_post_yr3, rng_out_mail_ind, $B182, rng_out_GB_Medispan,P$1, rng_out_sel_G_ind, K$1, rng_out_ds, $C182, rng_out_sel_sp_ind, $D182, rng_out_MSB_excl, $F182)/[1]Tables!$AT$4)/[1]Tables!$BN$4*(1-[1]Tables!$BN$4)), 0) - AS286 + IFERROR(SUMIFS(rng_out_rx_post_yr3, rng_out_GB_Medispan, K$1, rng_out_sel_G_ind, P$1, rng_out_mail_ind, $B182, rng_out_ds, $C182, rng_out_sel_sp_ind, $D182)/[1]Tables!$AT$4, 0)</f>
        <v>0</v>
      </c>
      <c r="AT182" s="195" cm="1">
        <f t="array" aca="1" ref="AT182" ca="1">IFERROR(IF(OR(input_Shift="No", [1]Tables!$BN$4=1), 0, (SUMIFS(rng_out_rx_post_yr4, rng_out_mail_ind, $B182, rng_out_GB_Medispan,Q$1, rng_out_sel_G_ind, L$1, rng_out_ds, $C182, rng_out_sel_sp_ind, $D182, rng_out_MSB_excl, $F182)/[1]Tables!$AT$4)/[1]Tables!$BN$4*(1-[1]Tables!$BN$4)), 0) - AT286 + IFERROR(SUMIFS(rng_out_rx_post_yr4, rng_out_GB_Medispan, L$1, rng_out_sel_G_ind, Q$1, rng_out_mail_ind, $B182, rng_out_ds, $C182, rng_out_sel_sp_ind, $D182)/[1]Tables!$AT$4, 0)</f>
        <v>0</v>
      </c>
      <c r="AU182" s="211" cm="1">
        <f t="array" aca="1" ref="AU182" ca="1">IFERROR(IF(OR(input_Shift="No", [1]Tables!$BN$4=1), 0, (SUMIFS(rng_out_rx_post_yr5, rng_out_mail_ind, $B182, rng_out_GB_Medispan,R$1, rng_out_sel_G_ind, M$1, rng_out_ds, $C182, rng_out_sel_sp_ind, $D182, rng_out_MSB_excl, $F182)/[1]Tables!$AT$4)/[1]Tables!$BN$4*(1-[1]Tables!$BN$4)), 0) - AU286 + IFERROR(SUMIFS(rng_out_rx_post_yr5, rng_out_GB_Medispan, M$1, rng_out_sel_G_ind, R$1, rng_out_mail_ind, $B182, rng_out_ds, $C182, rng_out_sel_sp_ind, $D182)/[1]Tables!$AT$4, 0)</f>
        <v>0</v>
      </c>
      <c r="AV182" s="210" t="e" cm="1">
        <f t="array" aca="1" ref="AV182" ca="1">SUMIFS(rng_out_rx_post_yr1, rng_out_GB_Medispan, "B", rng_out_sel_G_ind, "G", rng_out_mail_ind, $B182, rng_out_ds, $C182, rng_out_sel_sp_ind, $D182)/[1]Tables!$AT$4 - AV286</f>
        <v>#VALUE!</v>
      </c>
      <c r="AW182" s="195" t="e" cm="1">
        <f t="array" aca="1" ref="AW182" ca="1">SUMIFS(rng_out_rx_post_yr2, rng_out_GB_Medispan, "B", rng_out_sel_G_ind, "G", rng_out_mail_ind, $B182, rng_out_ds, $C182, rng_out_sel_sp_ind, $D182)/[1]Tables!$AT$4 - AW286</f>
        <v>#VALUE!</v>
      </c>
      <c r="AX182" s="195" t="e" cm="1">
        <f t="array" aca="1" ref="AX182" ca="1">SUMIFS(rng_out_rx_post_yr3, rng_out_GB_Medispan, "B", rng_out_sel_G_ind, "G", rng_out_mail_ind, $B182, rng_out_ds, $C182, rng_out_sel_sp_ind, $D182)/[1]Tables!$AT$4 - AX286</f>
        <v>#VALUE!</v>
      </c>
      <c r="AY182" s="195" t="e" cm="1">
        <f t="array" aca="1" ref="AY182" ca="1">SUMIFS(rng_out_rx_post_yr4, rng_out_GB_Medispan, "B", rng_out_sel_G_ind, "G", rng_out_mail_ind, $B182, rng_out_ds, $C182, rng_out_sel_sp_ind, $D182)/[1]Tables!$AT$4 - AY286</f>
        <v>#VALUE!</v>
      </c>
      <c r="AZ182" s="211" t="e" cm="1">
        <f t="array" aca="1" ref="AZ182" ca="1">SUMIFS(rng_out_rx_post_yr5, rng_out_GB_Medispan, "B", rng_out_sel_G_ind, "G", rng_out_mail_ind, $B182, rng_out_ds, $C182, rng_out_sel_sp_ind, $D182)/[1]Tables!$AT$4 - AZ286</f>
        <v>#VALUE!</v>
      </c>
      <c r="BA182" s="206" t="e">
        <f t="shared" ca="1" si="170"/>
        <v>#VALUE!</v>
      </c>
      <c r="BB182" s="206" t="e">
        <f t="shared" ca="1" si="170"/>
        <v>#VALUE!</v>
      </c>
      <c r="BC182" s="206" t="e">
        <f t="shared" ca="1" si="170"/>
        <v>#VALUE!</v>
      </c>
      <c r="BD182" s="206" t="e">
        <f t="shared" ca="1" si="170"/>
        <v>#VALUE!</v>
      </c>
      <c r="BE182" s="212" t="e">
        <f t="shared" ca="1" si="170"/>
        <v>#VALUE!</v>
      </c>
      <c r="BG182" s="111" t="s">
        <v>15</v>
      </c>
      <c r="BH182" s="213">
        <f t="shared" ca="1" si="171"/>
        <v>0</v>
      </c>
      <c r="BI182" s="206">
        <f t="shared" ca="1" si="171"/>
        <v>0</v>
      </c>
      <c r="BJ182" s="206">
        <f t="shared" ca="1" si="171"/>
        <v>0</v>
      </c>
      <c r="BK182" s="206">
        <f t="shared" ca="1" si="171"/>
        <v>0</v>
      </c>
      <c r="BL182" s="214">
        <f t="shared" ca="1" si="171"/>
        <v>0</v>
      </c>
      <c r="BM182" s="213" t="e">
        <f t="shared" ca="1" si="171"/>
        <v>#VALUE!</v>
      </c>
      <c r="BN182" s="206" t="e">
        <f t="shared" ca="1" si="171"/>
        <v>#VALUE!</v>
      </c>
      <c r="BO182" s="206" t="e">
        <f t="shared" ca="1" si="171"/>
        <v>#VALUE!</v>
      </c>
      <c r="BP182" s="206" t="e">
        <f t="shared" ca="1" si="171"/>
        <v>#VALUE!</v>
      </c>
      <c r="BQ182" s="214" t="e">
        <f t="shared" ca="1" si="171"/>
        <v>#VALUE!</v>
      </c>
      <c r="BR182" s="213" t="e">
        <f t="shared" ca="1" si="172"/>
        <v>#VALUE!</v>
      </c>
      <c r="BS182" s="206" t="e">
        <f t="shared" ca="1" si="172"/>
        <v>#VALUE!</v>
      </c>
      <c r="BT182" s="206" t="e">
        <f t="shared" ca="1" si="172"/>
        <v>#VALUE!</v>
      </c>
      <c r="BU182" s="206" t="e">
        <f t="shared" ca="1" si="172"/>
        <v>#VALUE!</v>
      </c>
      <c r="BV182" s="214" t="e">
        <f t="shared" ca="1" si="172"/>
        <v>#VALUE!</v>
      </c>
      <c r="BX182" s="111" t="s">
        <v>15</v>
      </c>
      <c r="BY182" s="213">
        <f t="shared" ca="1" si="173"/>
        <v>0</v>
      </c>
      <c r="BZ182" s="206">
        <f t="shared" ca="1" si="173"/>
        <v>0</v>
      </c>
      <c r="CA182" s="206">
        <f t="shared" ca="1" si="173"/>
        <v>0</v>
      </c>
      <c r="CB182" s="206">
        <f t="shared" ca="1" si="173"/>
        <v>0</v>
      </c>
      <c r="CC182" s="214">
        <f t="shared" ca="1" si="173"/>
        <v>0</v>
      </c>
      <c r="CD182" s="213" t="e">
        <f t="shared" ca="1" si="173"/>
        <v>#VALUE!</v>
      </c>
      <c r="CE182" s="206" t="e">
        <f t="shared" ca="1" si="173"/>
        <v>#VALUE!</v>
      </c>
      <c r="CF182" s="206" t="e">
        <f t="shared" ca="1" si="173"/>
        <v>#VALUE!</v>
      </c>
      <c r="CG182" s="206" t="e">
        <f t="shared" ca="1" si="173"/>
        <v>#VALUE!</v>
      </c>
      <c r="CH182" s="214" t="e">
        <f t="shared" ca="1" si="173"/>
        <v>#VALUE!</v>
      </c>
      <c r="CI182" s="213" t="e">
        <f t="shared" ca="1" si="174"/>
        <v>#VALUE!</v>
      </c>
      <c r="CJ182" s="206" t="e">
        <f t="shared" ca="1" si="174"/>
        <v>#VALUE!</v>
      </c>
      <c r="CK182" s="206" t="e">
        <f t="shared" ca="1" si="174"/>
        <v>#VALUE!</v>
      </c>
      <c r="CL182" s="206" t="e">
        <f t="shared" ca="1" si="174"/>
        <v>#VALUE!</v>
      </c>
      <c r="CM182" s="214" t="e">
        <f t="shared" ca="1" si="174"/>
        <v>#VALUE!</v>
      </c>
      <c r="CO182" s="213" cm="1">
        <f t="array" aca="1" ref="CO182" ca="1">_xlfn.SINGLE(IFERROR(SUMIFS(rng_out_rx_base, rng_out_GB_Medispan, "G", rng_out_sel_G_ind, "B", rng_out_mail_ind, $B182, rng_out_ds, $C182, rng_out_sel_sp_ind, $D182, rng_out_sel_excl_ind,$E182)/[1]Tables!$AT$4, 0))</f>
        <v>0</v>
      </c>
      <c r="CP182" s="214" cm="1">
        <f t="array" aca="1" ref="CP182" ca="1">_xlfn.SINGLE(IFERROR(SUMIFS(rng_out_rx_base, rng_out_GB_Medispan, "B", rng_out_sel_G_ind, "G", rng_out_mail_ind, $B182, rng_out_ds, $C182, rng_out_sel_sp_ind, $D182, rng_out_sel_excl_ind,$E182)/[1]Tables!$AT$4, 0))</f>
        <v>0</v>
      </c>
      <c r="CQ182" s="220">
        <f ca="1">SUM(CO182:CP182)</f>
        <v>0</v>
      </c>
      <c r="CR182" s="213" cm="1">
        <f t="array" aca="1" ref="CR182" ca="1">_xlfn.SINGLE(IFERROR(SUMIFS(rng_out_qty_base, rng_out_GB_Medispan, "G", rng_out_sel_G_ind, "B", rng_out_mail_ind, $B182, rng_out_ds, $C182, rng_out_sel_sp_ind, $D182, rng_out_sel_excl_ind,$E182)/[1]Tables!$AT$4, 0))</f>
        <v>0</v>
      </c>
      <c r="CS182" s="206" cm="1">
        <f t="array" aca="1" ref="CS182" ca="1">_xlfn.SINGLE(IFERROR(SUMIFS(rng_out_qty_base, rng_out_GB_Medispan, "B", rng_out_sel_G_ind, "G", rng_out_mail_ind, $B182, rng_out_ds, $C182, rng_out_sel_sp_ind, $D182, rng_out_sel_excl_ind,$E182)/[1]Tables!$AT$4, 0))</f>
        <v>0</v>
      </c>
      <c r="CT182" s="221">
        <f ca="1">SUM(CR182:CS182)</f>
        <v>0</v>
      </c>
      <c r="CU182" s="213" cm="1">
        <f t="array" aca="1" ref="CU182" ca="1">_xlfn.SINGLE(IFERROR(SUMIFS(rng_out_ds_base, rng_out_GB_Medispan, "G", rng_out_sel_G_ind, "B", rng_out_mail_ind, $B182, rng_out_ds, $C182, rng_out_sel_sp_ind, $D182, rng_out_sel_excl_ind,$E182)/[1]Tables!$AT$4, 0))</f>
        <v>0</v>
      </c>
      <c r="CV182" s="214" cm="1">
        <f t="array" aca="1" ref="CV182" ca="1">_xlfn.SINGLE(IFERROR(SUMIFS(rng_out_ds_base, rng_out_GB_Medispan, "B", rng_out_sel_G_ind, "G", rng_out_mail_ind, $B182, rng_out_ds, $C182, rng_out_sel_sp_ind, $D182, rng_out_sel_excl_ind,$E182)/[1]Tables!$AT$4, 0))</f>
        <v>0</v>
      </c>
      <c r="CW182" s="220">
        <f ca="1">SUM(CU182:CV182)</f>
        <v>0</v>
      </c>
    </row>
    <row r="183" spans="2:117" x14ac:dyDescent="0.35">
      <c r="B183" s="105" t="s">
        <v>16</v>
      </c>
      <c r="C183" s="106"/>
      <c r="D183" s="106" t="s">
        <v>12</v>
      </c>
      <c r="E183" s="107" t="s">
        <v>12</v>
      </c>
      <c r="F183" s="106">
        <v>1</v>
      </c>
      <c r="H183" s="118" t="s">
        <v>7</v>
      </c>
      <c r="I183" s="203" t="e" cm="1">
        <f t="array" aca="1" ref="I183" ca="1">SUMIFS(rng_out_rx_pre_yr1, rng_out_GB_Medispan, "G",  rng_out_sel_G_ind, "B", rng_out_mail_ind, $B183, rng_out_sel_sp_ind, $D183) - I287</f>
        <v>#VALUE!</v>
      </c>
      <c r="J183" s="195" t="e" cm="1">
        <f t="array" aca="1" ref="J183" ca="1">SUMIFS(rng_out_rx_pre_yr2, rng_out_GB_Medispan, "G",  rng_out_sel_G_ind, "B", rng_out_mail_ind, $B183, rng_out_sel_sp_ind, $D183) - J287</f>
        <v>#VALUE!</v>
      </c>
      <c r="K183" s="195" t="e" cm="1">
        <f t="array" aca="1" ref="K183" ca="1">SUMIFS(rng_out_rx_pre_yr3, rng_out_GB_Medispan, "G",  rng_out_sel_G_ind, "B", rng_out_mail_ind, $B183, rng_out_sel_sp_ind, $D183) - K287</f>
        <v>#VALUE!</v>
      </c>
      <c r="L183" s="195" t="e" cm="1">
        <f t="array" aca="1" ref="L183" ca="1">SUMIFS(rng_out_rx_pre_yr4, rng_out_GB_Medispan, "G",  rng_out_sel_G_ind, "B", rng_out_mail_ind, $B183, rng_out_sel_sp_ind, $D183) - L287</f>
        <v>#VALUE!</v>
      </c>
      <c r="M183" s="204" t="e" cm="1">
        <f t="array" aca="1" ref="M183" ca="1">SUMIFS(rng_out_rx_pre_yr5, rng_out_GB_Medispan, "G",  rng_out_sel_G_ind, "B", rng_out_mail_ind, $B183, rng_out_sel_sp_ind, $D183) - M287</f>
        <v>#VALUE!</v>
      </c>
      <c r="N183" s="203" t="e" cm="1">
        <f t="array" aca="1" ref="N183" ca="1">SUMIFS(rng_out_rx_pre_yr1, rng_out_GB_Medispan, "B",  rng_out_sel_G_ind, "G", rng_out_mail_ind, $B183, rng_out_sel_sp_ind, $D183) - N287</f>
        <v>#VALUE!</v>
      </c>
      <c r="O183" s="195" t="e" cm="1">
        <f t="array" aca="1" ref="O183" ca="1">SUMIFS(rng_out_rx_pre_yr2, rng_out_GB_Medispan, "B",  rng_out_sel_G_ind, "G", rng_out_mail_ind, $B183, rng_out_sel_sp_ind, $D183) - O287</f>
        <v>#VALUE!</v>
      </c>
      <c r="P183" s="195" t="e" cm="1">
        <f t="array" aca="1" ref="P183" ca="1">SUMIFS(rng_out_rx_pre_yr3, rng_out_GB_Medispan, "B",  rng_out_sel_G_ind, "G", rng_out_mail_ind, $B183, rng_out_sel_sp_ind, $D183) - P287</f>
        <v>#VALUE!</v>
      </c>
      <c r="Q183" s="195" t="e" cm="1">
        <f t="array" aca="1" ref="Q183" ca="1">SUMIFS(rng_out_rx_pre_yr4, rng_out_GB_Medispan, "B",  rng_out_sel_G_ind, "G", rng_out_mail_ind, $B183, rng_out_sel_sp_ind, $D183) - Q287</f>
        <v>#VALUE!</v>
      </c>
      <c r="R183" s="204" t="e" cm="1">
        <f t="array" aca="1" ref="R183" ca="1">SUMIFS(rng_out_rx_pre_yr5, rng_out_GB_Medispan, "B",  rng_out_sel_G_ind, "G", rng_out_mail_ind, $B183, rng_out_sel_sp_ind, $D183) - R287</f>
        <v>#VALUE!</v>
      </c>
      <c r="S183" s="205" t="e">
        <f t="shared" ca="1" si="168"/>
        <v>#VALUE!</v>
      </c>
      <c r="T183" s="206" t="e">
        <f t="shared" ca="1" si="168"/>
        <v>#VALUE!</v>
      </c>
      <c r="U183" s="206" t="e">
        <f t="shared" ca="1" si="168"/>
        <v>#VALUE!</v>
      </c>
      <c r="V183" s="206" t="e">
        <f t="shared" ca="1" si="168"/>
        <v>#VALUE!</v>
      </c>
      <c r="W183" s="207" t="e">
        <f t="shared" ca="1" si="168"/>
        <v>#VALUE!</v>
      </c>
      <c r="Y183" s="119" t="s">
        <v>7</v>
      </c>
      <c r="Z183" s="208">
        <f ca="1">IFERROR(I183/[1]Tables!$AT$4, 0)</f>
        <v>0</v>
      </c>
      <c r="AA183" s="206">
        <f ca="1">IFERROR(J183/[1]Tables!$AT$4, 0)</f>
        <v>0</v>
      </c>
      <c r="AB183" s="206">
        <f ca="1">IFERROR(K183/[1]Tables!$AT$4, 0)</f>
        <v>0</v>
      </c>
      <c r="AC183" s="206">
        <f ca="1">IFERROR(L183/[1]Tables!$AT$4, 0)</f>
        <v>0</v>
      </c>
      <c r="AD183" s="209">
        <f ca="1">IFERROR(M183/[1]Tables!$AT$4, 0)</f>
        <v>0</v>
      </c>
      <c r="AE183" s="208">
        <f ca="1">IFERROR(N183/[1]Tables!$AT$4, 0)</f>
        <v>0</v>
      </c>
      <c r="AF183" s="206">
        <f ca="1">IFERROR(O183/[1]Tables!$AT$4, 0)</f>
        <v>0</v>
      </c>
      <c r="AG183" s="206">
        <f ca="1">IFERROR(P183/[1]Tables!$AT$4, 0)</f>
        <v>0</v>
      </c>
      <c r="AH183" s="206">
        <f ca="1">IFERROR(Q183/[1]Tables!$AT$4, 0)</f>
        <v>0</v>
      </c>
      <c r="AI183" s="209">
        <f ca="1">IFERROR(R183/[1]Tables!$AT$4, 0)</f>
        <v>0</v>
      </c>
      <c r="AJ183" s="208">
        <f t="shared" ca="1" si="169"/>
        <v>0</v>
      </c>
      <c r="AK183" s="206">
        <f t="shared" ca="1" si="169"/>
        <v>0</v>
      </c>
      <c r="AL183" s="206">
        <f t="shared" ca="1" si="169"/>
        <v>0</v>
      </c>
      <c r="AM183" s="206">
        <f t="shared" ca="1" si="169"/>
        <v>0</v>
      </c>
      <c r="AN183" s="209">
        <f t="shared" ca="1" si="169"/>
        <v>0</v>
      </c>
      <c r="AP183" s="120" t="s">
        <v>7</v>
      </c>
      <c r="AQ183" s="210" cm="1">
        <f t="array" aca="1" ref="AQ183" ca="1">IFERROR(IF(OR(input_Shift="No", [1]Tables!$BN$4=1), 0, (SUMIFS(rng_out_rx_post_yr1, rng_out_mail_ind, $B183, rng_out_GB_Medispan,N$1, rng_out_sel_G_ind, I$1, rng_out_sel_sp_ind, $D183, rng_out_MSB_excl, $F183)/[1]Tables!$AT$4)/[1]Tables!$BN$4*(1-[1]Tables!$BN$4)), 0) - AQ287 + IFERROR(SUMIFS(rng_out_rx_post_yr1, rng_out_GB_Medispan, I$1, rng_out_sel_G_ind, N$1, rng_out_mail_ind, $B183, rng_out_sel_sp_ind, $D183)/[1]Tables!$AT$4, 0)</f>
        <v>0</v>
      </c>
      <c r="AR183" s="195" cm="1">
        <f t="array" aca="1" ref="AR183" ca="1">IFERROR(IF(OR(input_Shift="No", [1]Tables!$BN$4=1), 0, (SUMIFS(rng_out_rx_post_yr2, rng_out_mail_ind, $B183, rng_out_GB_Medispan,O$1, rng_out_sel_G_ind, J$1, rng_out_sel_sp_ind, $D183, rng_out_MSB_excl, $F183)/[1]Tables!$AT$4)/[1]Tables!$BN$4*(1-[1]Tables!$BN$4)), 0) - AR287 + IFERROR(SUMIFS(rng_out_rx_post_yr2, rng_out_GB_Medispan, J$1, rng_out_sel_G_ind, O$1, rng_out_mail_ind, $B183, rng_out_sel_sp_ind, $D183)/[1]Tables!$AT$4, 0)</f>
        <v>0</v>
      </c>
      <c r="AS183" s="195" cm="1">
        <f t="array" aca="1" ref="AS183" ca="1">IFERROR(IF(OR(input_Shift="No", [1]Tables!$BN$4=1), 0, (SUMIFS(rng_out_rx_post_yr3, rng_out_mail_ind, $B183, rng_out_GB_Medispan,P$1, rng_out_sel_G_ind, K$1, rng_out_sel_sp_ind, $D183, rng_out_MSB_excl, $F183)/[1]Tables!$AT$4)/[1]Tables!$BN$4*(1-[1]Tables!$BN$4)), 0) - AS287 + IFERROR(SUMIFS(rng_out_rx_post_yr3, rng_out_GB_Medispan, K$1, rng_out_sel_G_ind, P$1, rng_out_mail_ind, $B183, rng_out_sel_sp_ind, $D183)/[1]Tables!$AT$4, 0)</f>
        <v>0</v>
      </c>
      <c r="AT183" s="195" cm="1">
        <f t="array" aca="1" ref="AT183" ca="1">IFERROR(IF(OR(input_Shift="No", [1]Tables!$BN$4=1), 0, (SUMIFS(rng_out_rx_post_yr4, rng_out_mail_ind, $B183, rng_out_GB_Medispan,Q$1, rng_out_sel_G_ind, L$1, rng_out_sel_sp_ind, $D183, rng_out_MSB_excl, $F183)/[1]Tables!$AT$4)/[1]Tables!$BN$4*(1-[1]Tables!$BN$4)), 0) - AT287 + IFERROR(SUMIFS(rng_out_rx_post_yr4, rng_out_GB_Medispan, L$1, rng_out_sel_G_ind, Q$1, rng_out_mail_ind, $B183, rng_out_sel_sp_ind, $D183)/[1]Tables!$AT$4, 0)</f>
        <v>0</v>
      </c>
      <c r="AU183" s="211" cm="1">
        <f t="array" aca="1" ref="AU183" ca="1">IFERROR(IF(OR(input_Shift="No", [1]Tables!$BN$4=1), 0, (SUMIFS(rng_out_rx_post_yr5, rng_out_mail_ind, $B183, rng_out_GB_Medispan,R$1, rng_out_sel_G_ind, M$1, rng_out_sel_sp_ind, $D183, rng_out_MSB_excl, $F183)/[1]Tables!$AT$4)/[1]Tables!$BN$4*(1-[1]Tables!$BN$4)), 0) - AU287 + IFERROR(SUMIFS(rng_out_rx_post_yr5, rng_out_GB_Medispan, M$1, rng_out_sel_G_ind, R$1, rng_out_mail_ind, $B183, rng_out_sel_sp_ind, $D183)/[1]Tables!$AT$4, 0)</f>
        <v>0</v>
      </c>
      <c r="AV183" s="210" t="e" cm="1">
        <f t="array" aca="1" ref="AV183" ca="1">SUMIFS(rng_out_rx_post_yr1, rng_out_GB_Medispan, "B", rng_out_sel_G_ind, "G", rng_out_mail_ind, $B183, rng_out_sel_sp_ind, $D183)/[1]Tables!$AT$4 - AV287</f>
        <v>#VALUE!</v>
      </c>
      <c r="AW183" s="195" t="e" cm="1">
        <f t="array" aca="1" ref="AW183" ca="1">SUMIFS(rng_out_rx_post_yr2, rng_out_GB_Medispan, "B", rng_out_sel_G_ind, "G", rng_out_mail_ind, $B183, rng_out_sel_sp_ind, $D183)/[1]Tables!$AT$4 - AW287</f>
        <v>#VALUE!</v>
      </c>
      <c r="AX183" s="195" t="e" cm="1">
        <f t="array" aca="1" ref="AX183" ca="1">SUMIFS(rng_out_rx_post_yr3, rng_out_GB_Medispan, "B", rng_out_sel_G_ind, "G", rng_out_mail_ind, $B183, rng_out_sel_sp_ind, $D183)/[1]Tables!$AT$4 - AX287</f>
        <v>#VALUE!</v>
      </c>
      <c r="AY183" s="195" t="e" cm="1">
        <f t="array" aca="1" ref="AY183" ca="1">SUMIFS(rng_out_rx_post_yr4, rng_out_GB_Medispan, "B", rng_out_sel_G_ind, "G", rng_out_mail_ind, $B183, rng_out_sel_sp_ind, $D183)/[1]Tables!$AT$4 - AY287</f>
        <v>#VALUE!</v>
      </c>
      <c r="AZ183" s="211" t="e" cm="1">
        <f t="array" aca="1" ref="AZ183" ca="1">SUMIFS(rng_out_rx_post_yr5, rng_out_GB_Medispan, "B", rng_out_sel_G_ind, "G", rng_out_mail_ind, $B183, rng_out_sel_sp_ind, $D183)/[1]Tables!$AT$4 - AZ287</f>
        <v>#VALUE!</v>
      </c>
      <c r="BA183" s="206" t="e">
        <f t="shared" ca="1" si="170"/>
        <v>#VALUE!</v>
      </c>
      <c r="BB183" s="206" t="e">
        <f t="shared" ca="1" si="170"/>
        <v>#VALUE!</v>
      </c>
      <c r="BC183" s="206" t="e">
        <f t="shared" ca="1" si="170"/>
        <v>#VALUE!</v>
      </c>
      <c r="BD183" s="206" t="e">
        <f t="shared" ca="1" si="170"/>
        <v>#VALUE!</v>
      </c>
      <c r="BE183" s="212" t="e">
        <f t="shared" ca="1" si="170"/>
        <v>#VALUE!</v>
      </c>
      <c r="BG183" s="121" t="s">
        <v>7</v>
      </c>
      <c r="BH183" s="213">
        <f t="shared" ca="1" si="171"/>
        <v>0</v>
      </c>
      <c r="BI183" s="206">
        <f t="shared" ca="1" si="171"/>
        <v>0</v>
      </c>
      <c r="BJ183" s="206">
        <f t="shared" ca="1" si="171"/>
        <v>0</v>
      </c>
      <c r="BK183" s="206">
        <f t="shared" ca="1" si="171"/>
        <v>0</v>
      </c>
      <c r="BL183" s="214">
        <f t="shared" ca="1" si="171"/>
        <v>0</v>
      </c>
      <c r="BM183" s="213" t="e">
        <f t="shared" ca="1" si="171"/>
        <v>#VALUE!</v>
      </c>
      <c r="BN183" s="206" t="e">
        <f t="shared" ca="1" si="171"/>
        <v>#VALUE!</v>
      </c>
      <c r="BO183" s="206" t="e">
        <f t="shared" ca="1" si="171"/>
        <v>#VALUE!</v>
      </c>
      <c r="BP183" s="206" t="e">
        <f t="shared" ca="1" si="171"/>
        <v>#VALUE!</v>
      </c>
      <c r="BQ183" s="214" t="e">
        <f t="shared" ca="1" si="171"/>
        <v>#VALUE!</v>
      </c>
      <c r="BR183" s="213" t="e">
        <f t="shared" ca="1" si="172"/>
        <v>#VALUE!</v>
      </c>
      <c r="BS183" s="206" t="e">
        <f t="shared" ca="1" si="172"/>
        <v>#VALUE!</v>
      </c>
      <c r="BT183" s="206" t="e">
        <f t="shared" ca="1" si="172"/>
        <v>#VALUE!</v>
      </c>
      <c r="BU183" s="206" t="e">
        <f t="shared" ca="1" si="172"/>
        <v>#VALUE!</v>
      </c>
      <c r="BV183" s="214" t="e">
        <f t="shared" ca="1" si="172"/>
        <v>#VALUE!</v>
      </c>
      <c r="BX183" s="121" t="s">
        <v>7</v>
      </c>
      <c r="BY183" s="213">
        <f t="shared" ca="1" si="173"/>
        <v>0</v>
      </c>
      <c r="BZ183" s="206">
        <f t="shared" ca="1" si="173"/>
        <v>0</v>
      </c>
      <c r="CA183" s="206">
        <f t="shared" ca="1" si="173"/>
        <v>0</v>
      </c>
      <c r="CB183" s="206">
        <f t="shared" ca="1" si="173"/>
        <v>0</v>
      </c>
      <c r="CC183" s="214">
        <f t="shared" ca="1" si="173"/>
        <v>0</v>
      </c>
      <c r="CD183" s="213" t="e">
        <f t="shared" ca="1" si="173"/>
        <v>#VALUE!</v>
      </c>
      <c r="CE183" s="206" t="e">
        <f t="shared" ca="1" si="173"/>
        <v>#VALUE!</v>
      </c>
      <c r="CF183" s="206" t="e">
        <f t="shared" ca="1" si="173"/>
        <v>#VALUE!</v>
      </c>
      <c r="CG183" s="206" t="e">
        <f t="shared" ca="1" si="173"/>
        <v>#VALUE!</v>
      </c>
      <c r="CH183" s="214" t="e">
        <f t="shared" ca="1" si="173"/>
        <v>#VALUE!</v>
      </c>
      <c r="CI183" s="213" t="e">
        <f t="shared" ca="1" si="174"/>
        <v>#VALUE!</v>
      </c>
      <c r="CJ183" s="206" t="e">
        <f t="shared" ca="1" si="174"/>
        <v>#VALUE!</v>
      </c>
      <c r="CK183" s="206" t="e">
        <f t="shared" ca="1" si="174"/>
        <v>#VALUE!</v>
      </c>
      <c r="CL183" s="206" t="e">
        <f t="shared" ca="1" si="174"/>
        <v>#VALUE!</v>
      </c>
      <c r="CM183" s="214" t="e">
        <f t="shared" ca="1" si="174"/>
        <v>#VALUE!</v>
      </c>
      <c r="CO183" s="213" cm="1">
        <f t="array" aca="1" ref="CO183" ca="1">_xlfn.SINGLE(IFERROR(SUMIFS(rng_out_rx_base, rng_out_GB_Medispan, "G", rng_out_sel_G_ind, "B", rng_out_mail_ind, $B183, rng_out_sel_sp_ind, $D183, rng_out_sel_excl_ind,$E183)/[1]Tables!$AT$4, 0))</f>
        <v>0</v>
      </c>
      <c r="CP183" s="214" cm="1">
        <f t="array" aca="1" ref="CP183" ca="1">_xlfn.SINGLE(IFERROR(SUMIFS(rng_out_rx_base, rng_out_GB_Medispan, "B", rng_out_sel_G_ind, "G", rng_out_mail_ind, $B183, rng_out_sel_sp_ind, $D183, rng_out_sel_excl_ind,$E183)/[1]Tables!$AT$4, 0))</f>
        <v>0</v>
      </c>
      <c r="CQ183" s="220">
        <f ca="1">SUM(CO183:CP183)</f>
        <v>0</v>
      </c>
      <c r="CR183" s="213" cm="1">
        <f t="array" aca="1" ref="CR183" ca="1">_xlfn.SINGLE(IFERROR(SUMIFS(rng_out_qty_base, rng_out_GB_Medispan, "G", rng_out_sel_G_ind, "B", rng_out_mail_ind, $B183, rng_out_sel_sp_ind, $D183, rng_out_sel_excl_ind,$E183)/[1]Tables!$AT$4, 0))</f>
        <v>0</v>
      </c>
      <c r="CS183" s="206" cm="1">
        <f t="array" aca="1" ref="CS183" ca="1">_xlfn.SINGLE(IFERROR(SUMIFS(rng_out_qty_base, rng_out_GB_Medispan, "B", rng_out_sel_G_ind, "G", rng_out_mail_ind, $B183, rng_out_sel_sp_ind, $D183, rng_out_sel_excl_ind,$E183)/[1]Tables!$AT$4, 0))</f>
        <v>0</v>
      </c>
      <c r="CT183" s="221">
        <f ca="1">SUM(CR183:CS183)</f>
        <v>0</v>
      </c>
      <c r="CU183" s="213" cm="1">
        <f t="array" aca="1" ref="CU183" ca="1">_xlfn.SINGLE(IFERROR(SUMIFS(rng_out_ds_base, rng_out_GB_Medispan, "G", rng_out_sel_G_ind, "B", rng_out_mail_ind, $B183, rng_out_sel_sp_ind, $D183, rng_out_sel_excl_ind,$E183)/[1]Tables!$AT$4, 0))</f>
        <v>0</v>
      </c>
      <c r="CV183" s="214" cm="1">
        <f t="array" aca="1" ref="CV183" ca="1">_xlfn.SINGLE(IFERROR(SUMIFS(rng_out_ds_base, rng_out_GB_Medispan, "B", rng_out_sel_G_ind, "G", rng_out_mail_ind, $B183, rng_out_sel_sp_ind, $D183, rng_out_sel_excl_ind,$E183)/[1]Tables!$AT$4, 0))</f>
        <v>0</v>
      </c>
      <c r="CW183" s="220">
        <f ca="1">SUM(CU183:CV183)</f>
        <v>0</v>
      </c>
    </row>
    <row r="184" spans="2:117" ht="15" thickBot="1" x14ac:dyDescent="0.4">
      <c r="B184" s="122"/>
      <c r="C184" s="123"/>
      <c r="D184" s="123" t="s">
        <v>13</v>
      </c>
      <c r="E184" s="124" t="s">
        <v>12</v>
      </c>
      <c r="F184" s="106">
        <v>1</v>
      </c>
      <c r="H184" s="118" t="s">
        <v>17</v>
      </c>
      <c r="I184" s="203" t="e" cm="1">
        <f t="array" aca="1" ref="I184" ca="1">SUMIFS(rng_out_rx_pre_yr1, rng_out_GB_Medispan, "G",  rng_out_sel_G_ind, "B", rng_out_sel_sp_ind, $D184) - I288</f>
        <v>#VALUE!</v>
      </c>
      <c r="J184" s="195" t="e" cm="1">
        <f t="array" aca="1" ref="J184" ca="1">SUMIFS(rng_out_rx_pre_yr2, rng_out_GB_Medispan, "G",  rng_out_sel_G_ind, "B", rng_out_sel_sp_ind, $D184) - J288</f>
        <v>#VALUE!</v>
      </c>
      <c r="K184" s="195" t="e" cm="1">
        <f t="array" aca="1" ref="K184" ca="1">SUMIFS(rng_out_rx_pre_yr3, rng_out_GB_Medispan, "G",  rng_out_sel_G_ind, "B", rng_out_sel_sp_ind, $D184) - K288</f>
        <v>#VALUE!</v>
      </c>
      <c r="L184" s="195" t="e" cm="1">
        <f t="array" aca="1" ref="L184" ca="1">SUMIFS(rng_out_rx_pre_yr4, rng_out_GB_Medispan, "G",  rng_out_sel_G_ind, "B", rng_out_sel_sp_ind, $D184) - L288</f>
        <v>#VALUE!</v>
      </c>
      <c r="M184" s="222" t="e" cm="1">
        <f t="array" aca="1" ref="M184" ca="1">SUMIFS(rng_out_rx_pre_yr5, rng_out_GB_Medispan, "G",  rng_out_sel_G_ind, "B", rng_out_sel_sp_ind, $D184) - M288</f>
        <v>#VALUE!</v>
      </c>
      <c r="N184" s="203" t="e" cm="1">
        <f t="array" aca="1" ref="N184" ca="1">SUMIFS(rng_out_rx_pre_yr1, rng_out_GB_Medispan, "B",  rng_out_sel_G_ind, "G", rng_out_sel_sp_ind, $D184) - N288</f>
        <v>#VALUE!</v>
      </c>
      <c r="O184" s="195" t="e" cm="1">
        <f t="array" aca="1" ref="O184" ca="1">SUMIFS(rng_out_rx_pre_yr2, rng_out_GB_Medispan, "B",  rng_out_sel_G_ind, "G", rng_out_sel_sp_ind, $D184) - O288</f>
        <v>#VALUE!</v>
      </c>
      <c r="P184" s="195" t="e" cm="1">
        <f t="array" aca="1" ref="P184" ca="1">SUMIFS(rng_out_rx_pre_yr3, rng_out_GB_Medispan, "B",  rng_out_sel_G_ind, "G", rng_out_sel_sp_ind, $D184) - P288</f>
        <v>#VALUE!</v>
      </c>
      <c r="Q184" s="195" t="e" cm="1">
        <f t="array" aca="1" ref="Q184" ca="1">SUMIFS(rng_out_rx_pre_yr4, rng_out_GB_Medispan, "B",  rng_out_sel_G_ind, "G", rng_out_sel_sp_ind, $D184) - Q288</f>
        <v>#VALUE!</v>
      </c>
      <c r="R184" s="222" t="e" cm="1">
        <f t="array" aca="1" ref="R184" ca="1">SUMIFS(rng_out_rx_pre_yr5, rng_out_GB_Medispan, "B",  rng_out_sel_G_ind, "G", rng_out_sel_sp_ind, $D184) - R288</f>
        <v>#VALUE!</v>
      </c>
      <c r="S184" s="206" t="e">
        <f t="shared" ca="1" si="168"/>
        <v>#VALUE!</v>
      </c>
      <c r="T184" s="206" t="e">
        <f t="shared" ca="1" si="168"/>
        <v>#VALUE!</v>
      </c>
      <c r="U184" s="206" t="e">
        <f t="shared" ca="1" si="168"/>
        <v>#VALUE!</v>
      </c>
      <c r="V184" s="206" t="e">
        <f t="shared" ca="1" si="168"/>
        <v>#VALUE!</v>
      </c>
      <c r="W184" s="207" t="e">
        <f t="shared" ca="1" si="168"/>
        <v>#VALUE!</v>
      </c>
      <c r="Y184" s="119" t="s">
        <v>17</v>
      </c>
      <c r="Z184" s="223">
        <f ca="1">IFERROR(I184/[1]Tables!$AT$4, 0)</f>
        <v>0</v>
      </c>
      <c r="AA184" s="224">
        <f ca="1">IFERROR(J184/[1]Tables!$AT$4, 0)</f>
        <v>0</v>
      </c>
      <c r="AB184" s="224">
        <f ca="1">IFERROR(K184/[1]Tables!$AT$4, 0)</f>
        <v>0</v>
      </c>
      <c r="AC184" s="224">
        <f ca="1">IFERROR(L184/[1]Tables!$AT$4, 0)</f>
        <v>0</v>
      </c>
      <c r="AD184" s="225">
        <f ca="1">IFERROR(M184/[1]Tables!$AT$4, 0)</f>
        <v>0</v>
      </c>
      <c r="AE184" s="223">
        <f ca="1">IFERROR(N184/[1]Tables!$AT$4, 0)</f>
        <v>0</v>
      </c>
      <c r="AF184" s="224">
        <f ca="1">IFERROR(O184/[1]Tables!$AT$4, 0)</f>
        <v>0</v>
      </c>
      <c r="AG184" s="224">
        <f ca="1">IFERROR(P184/[1]Tables!$AT$4, 0)</f>
        <v>0</v>
      </c>
      <c r="AH184" s="224">
        <f ca="1">IFERROR(Q184/[1]Tables!$AT$4, 0)</f>
        <v>0</v>
      </c>
      <c r="AI184" s="225">
        <f ca="1">IFERROR(R184/[1]Tables!$AT$4, 0)</f>
        <v>0</v>
      </c>
      <c r="AJ184" s="224">
        <f t="shared" ca="1" si="169"/>
        <v>0</v>
      </c>
      <c r="AK184" s="224">
        <f t="shared" ca="1" si="169"/>
        <v>0</v>
      </c>
      <c r="AL184" s="224">
        <f t="shared" ca="1" si="169"/>
        <v>0</v>
      </c>
      <c r="AM184" s="224">
        <f t="shared" ca="1" si="169"/>
        <v>0</v>
      </c>
      <c r="AN184" s="225">
        <f t="shared" ca="1" si="169"/>
        <v>0</v>
      </c>
      <c r="AP184" s="120" t="s">
        <v>17</v>
      </c>
      <c r="AQ184" s="226" cm="1">
        <f t="array" aca="1" ref="AQ184" ca="1">IFERROR(IF(OR(input_Shift="No", [1]Tables!$BN$4=1), 0, (SUMIFS(rng_out_rx_post_yr1, rng_out_GB_Medispan,N$1, rng_out_sel_G_ind, I$1, rng_out_sel_sp_ind, $D184, rng_out_MSB_excl, $F184)/[1]Tables!$AT$4)/[1]Tables!$BN$4*(1-[1]Tables!$BN$4)), 0) - AQ288 + IFERROR(SUMIFS(rng_out_rx_post_yr1, rng_out_GB_Medispan, I$1, rng_out_sel_G_ind, N$1, rng_out_sel_sp_ind, $D184)/[1]Tables!$AT$4, 0)</f>
        <v>0</v>
      </c>
      <c r="AR184" s="227" cm="1">
        <f t="array" aca="1" ref="AR184" ca="1">IFERROR(IF(OR(input_Shift="No", [1]Tables!$BN$4=1), 0, (SUMIFS(rng_out_rx_post_yr2, rng_out_GB_Medispan,O$1, rng_out_sel_G_ind, J$1, rng_out_sel_sp_ind, $D184, rng_out_MSB_excl, $F184)/[1]Tables!$AT$4)/[1]Tables!$BN$4*(1-[1]Tables!$BN$4)), 0) - AR288 + IFERROR(SUMIFS(rng_out_rx_post_yr2, rng_out_GB_Medispan, J$1, rng_out_sel_G_ind, O$1, rng_out_sel_sp_ind, $D184)/[1]Tables!$AT$4, 0)</f>
        <v>0</v>
      </c>
      <c r="AS184" s="227" cm="1">
        <f t="array" aca="1" ref="AS184" ca="1">IFERROR(IF(OR(input_Shift="No", [1]Tables!$BN$4=1), 0, (SUMIFS(rng_out_rx_post_yr3, rng_out_GB_Medispan,P$1, rng_out_sel_G_ind, K$1, rng_out_sel_sp_ind, $D184, rng_out_MSB_excl, $F184)/[1]Tables!$AT$4)/[1]Tables!$BN$4*(1-[1]Tables!$BN$4)), 0) - AS288 + IFERROR(SUMIFS(rng_out_rx_post_yr3, rng_out_GB_Medispan, K$1, rng_out_sel_G_ind, P$1, rng_out_sel_sp_ind, $D184)/[1]Tables!$AT$4, 0)</f>
        <v>0</v>
      </c>
      <c r="AT184" s="227" cm="1">
        <f t="array" aca="1" ref="AT184" ca="1">IFERROR(IF(OR(input_Shift="No", [1]Tables!$BN$4=1), 0, (SUMIFS(rng_out_rx_post_yr4, rng_out_GB_Medispan,Q$1, rng_out_sel_G_ind, L$1, rng_out_sel_sp_ind, $D184, rng_out_MSB_excl, $F184)/[1]Tables!$AT$4)/[1]Tables!$BN$4*(1-[1]Tables!$BN$4)), 0) - AT288 + IFERROR(SUMIFS(rng_out_rx_post_yr4, rng_out_GB_Medispan, L$1, rng_out_sel_G_ind, Q$1, rng_out_sel_sp_ind, $D184)/[1]Tables!$AT$4, 0)</f>
        <v>0</v>
      </c>
      <c r="AU184" s="228" cm="1">
        <f t="array" aca="1" ref="AU184" ca="1">IFERROR(IF(OR(input_Shift="No", [1]Tables!$BN$4=1), 0, (SUMIFS(rng_out_rx_post_yr5, rng_out_GB_Medispan,R$1, rng_out_sel_G_ind, M$1, rng_out_sel_sp_ind, $D184, rng_out_MSB_excl, $F184)/[1]Tables!$AT$4)/[1]Tables!$BN$4*(1-[1]Tables!$BN$4)), 0) - AU288 + IFERROR(SUMIFS(rng_out_rx_post_yr5, rng_out_GB_Medispan, M$1, rng_out_sel_G_ind, R$1, rng_out_sel_sp_ind, $D184)/[1]Tables!$AT$4, 0)</f>
        <v>0</v>
      </c>
      <c r="AV184" s="226" t="e" cm="1">
        <f t="array" aca="1" ref="AV184" ca="1">SUMIFS(rng_out_rx_post_yr1, rng_out_GB_Medispan, "B", rng_out_sel_G_ind, "G", rng_out_sel_sp_ind, $D184)/[1]Tables!$AT$4 - AV288</f>
        <v>#VALUE!</v>
      </c>
      <c r="AW184" s="227" t="e" cm="1">
        <f t="array" aca="1" ref="AW184" ca="1">SUMIFS(rng_out_rx_post_yr2, rng_out_GB_Medispan, "B", rng_out_sel_G_ind, "G", rng_out_sel_sp_ind, $D184)/[1]Tables!$AT$4 - AW288</f>
        <v>#VALUE!</v>
      </c>
      <c r="AX184" s="227" t="e" cm="1">
        <f t="array" aca="1" ref="AX184" ca="1">SUMIFS(rng_out_rx_post_yr3, rng_out_GB_Medispan, "B", rng_out_sel_G_ind, "G", rng_out_sel_sp_ind, $D184)/[1]Tables!$AT$4 - AX288</f>
        <v>#VALUE!</v>
      </c>
      <c r="AY184" s="227" t="e" cm="1">
        <f t="array" aca="1" ref="AY184" ca="1">SUMIFS(rng_out_rx_post_yr4, rng_out_GB_Medispan, "B", rng_out_sel_G_ind, "G", rng_out_sel_sp_ind, $D184)/[1]Tables!$AT$4 - AY288</f>
        <v>#VALUE!</v>
      </c>
      <c r="AZ184" s="228" t="e" cm="1">
        <f t="array" aca="1" ref="AZ184" ca="1">SUMIFS(rng_out_rx_post_yr5, rng_out_GB_Medispan, "B", rng_out_sel_G_ind, "G", rng_out_sel_sp_ind, $D184)/[1]Tables!$AT$4 - AZ288</f>
        <v>#VALUE!</v>
      </c>
      <c r="BA184" s="229" t="e">
        <f t="shared" ca="1" si="170"/>
        <v>#VALUE!</v>
      </c>
      <c r="BB184" s="229" t="e">
        <f t="shared" ca="1" si="170"/>
        <v>#VALUE!</v>
      </c>
      <c r="BC184" s="229" t="e">
        <f t="shared" ca="1" si="170"/>
        <v>#VALUE!</v>
      </c>
      <c r="BD184" s="229" t="e">
        <f t="shared" ca="1" si="170"/>
        <v>#VALUE!</v>
      </c>
      <c r="BE184" s="230" t="e">
        <f t="shared" ca="1" si="170"/>
        <v>#VALUE!</v>
      </c>
      <c r="BG184" s="121" t="s">
        <v>17</v>
      </c>
      <c r="BH184" s="231">
        <f t="shared" ca="1" si="171"/>
        <v>0</v>
      </c>
      <c r="BI184" s="232">
        <f t="shared" ca="1" si="171"/>
        <v>0</v>
      </c>
      <c r="BJ184" s="232">
        <f t="shared" ca="1" si="171"/>
        <v>0</v>
      </c>
      <c r="BK184" s="232">
        <f t="shared" ca="1" si="171"/>
        <v>0</v>
      </c>
      <c r="BL184" s="233">
        <f t="shared" ca="1" si="171"/>
        <v>0</v>
      </c>
      <c r="BM184" s="231" t="e">
        <f t="shared" ca="1" si="171"/>
        <v>#VALUE!</v>
      </c>
      <c r="BN184" s="232" t="e">
        <f t="shared" ca="1" si="171"/>
        <v>#VALUE!</v>
      </c>
      <c r="BO184" s="232" t="e">
        <f t="shared" ca="1" si="171"/>
        <v>#VALUE!</v>
      </c>
      <c r="BP184" s="232" t="e">
        <f t="shared" ca="1" si="171"/>
        <v>#VALUE!</v>
      </c>
      <c r="BQ184" s="233" t="e">
        <f t="shared" ca="1" si="171"/>
        <v>#VALUE!</v>
      </c>
      <c r="BR184" s="232" t="e">
        <f t="shared" ca="1" si="172"/>
        <v>#VALUE!</v>
      </c>
      <c r="BS184" s="232" t="e">
        <f t="shared" ca="1" si="172"/>
        <v>#VALUE!</v>
      </c>
      <c r="BT184" s="232" t="e">
        <f t="shared" ca="1" si="172"/>
        <v>#VALUE!</v>
      </c>
      <c r="BU184" s="232" t="e">
        <f t="shared" ca="1" si="172"/>
        <v>#VALUE!</v>
      </c>
      <c r="BV184" s="233" t="e">
        <f t="shared" ca="1" si="172"/>
        <v>#VALUE!</v>
      </c>
      <c r="BX184" s="121" t="s">
        <v>17</v>
      </c>
      <c r="BY184" s="231">
        <f t="shared" ca="1" si="173"/>
        <v>0</v>
      </c>
      <c r="BZ184" s="232">
        <f t="shared" ca="1" si="173"/>
        <v>0</v>
      </c>
      <c r="CA184" s="232">
        <f t="shared" ca="1" si="173"/>
        <v>0</v>
      </c>
      <c r="CB184" s="232">
        <f t="shared" ca="1" si="173"/>
        <v>0</v>
      </c>
      <c r="CC184" s="233">
        <f t="shared" ca="1" si="173"/>
        <v>0</v>
      </c>
      <c r="CD184" s="231" t="e">
        <f t="shared" ca="1" si="173"/>
        <v>#VALUE!</v>
      </c>
      <c r="CE184" s="232" t="e">
        <f t="shared" ca="1" si="173"/>
        <v>#VALUE!</v>
      </c>
      <c r="CF184" s="232" t="e">
        <f t="shared" ca="1" si="173"/>
        <v>#VALUE!</v>
      </c>
      <c r="CG184" s="232" t="e">
        <f t="shared" ca="1" si="173"/>
        <v>#VALUE!</v>
      </c>
      <c r="CH184" s="233" t="e">
        <f t="shared" ca="1" si="173"/>
        <v>#VALUE!</v>
      </c>
      <c r="CI184" s="232" t="e">
        <f t="shared" ca="1" si="174"/>
        <v>#VALUE!</v>
      </c>
      <c r="CJ184" s="232" t="e">
        <f t="shared" ca="1" si="174"/>
        <v>#VALUE!</v>
      </c>
      <c r="CK184" s="232" t="e">
        <f t="shared" ca="1" si="174"/>
        <v>#VALUE!</v>
      </c>
      <c r="CL184" s="232" t="e">
        <f t="shared" ca="1" si="174"/>
        <v>#VALUE!</v>
      </c>
      <c r="CM184" s="233" t="e">
        <f t="shared" ca="1" si="174"/>
        <v>#VALUE!</v>
      </c>
      <c r="CO184" s="231" cm="1">
        <f t="array" aca="1" ref="CO184" ca="1">_xlfn.SINGLE(IFERROR(SUMIFS(rng_out_rx_base, rng_out_GB_Medispan, "G", rng_out_sel_G_ind, "B", rng_out_sel_sp_ind, $D184, rng_out_sel_excl_ind,$E184)/[1]Tables!$AT$4, 0))</f>
        <v>0</v>
      </c>
      <c r="CP184" s="233" cm="1">
        <f t="array" aca="1" ref="CP184" ca="1">_xlfn.SINGLE(IFERROR(SUMIFS(rng_out_rx_base, rng_out_GB_Medispan, "B", rng_out_sel_G_ind, "G", rng_out_sel_sp_ind, $D184, rng_out_sel_excl_ind,$E184)/[1]Tables!$AT$4, 0))</f>
        <v>0</v>
      </c>
      <c r="CQ184" s="234">
        <f ca="1">SUM(CO184:CP184)</f>
        <v>0</v>
      </c>
      <c r="CR184" s="231" cm="1">
        <f t="array" aca="1" ref="CR184" ca="1">_xlfn.SINGLE(IFERROR(SUMIFS(rng_out_qty_base, rng_out_GB_Medispan, "G", rng_out_sel_G_ind, "B", rng_out_sel_sp_ind, $D184, rng_out_sel_excl_ind,$E184)/[1]Tables!$AT$4, 0))</f>
        <v>0</v>
      </c>
      <c r="CS184" s="232" cm="1">
        <f t="array" aca="1" ref="CS184" ca="1">_xlfn.SINGLE(IFERROR(SUMIFS(rng_out_qty_base, rng_out_GB_Medispan, "B", rng_out_sel_G_ind, "G", rng_out_sel_sp_ind, $D184, rng_out_sel_excl_ind,$E184)/[1]Tables!$AT$4, 0))</f>
        <v>0</v>
      </c>
      <c r="CT184" s="235">
        <f ca="1">SUM(CR184:CS184)</f>
        <v>0</v>
      </c>
      <c r="CU184" s="231" cm="1">
        <f t="array" aca="1" ref="CU184" ca="1">_xlfn.SINGLE(IFERROR(SUMIFS(rng_out_ds_base, rng_out_GB_Medispan, "G", rng_out_sel_G_ind, "B", rng_out_sel_sp_ind, $D184, rng_out_sel_excl_ind,$E184)/[1]Tables!$AT$4, 0))</f>
        <v>0</v>
      </c>
      <c r="CV184" s="233" cm="1">
        <f t="array" aca="1" ref="CV184" ca="1">_xlfn.SINGLE(IFERROR(SUMIFS(rng_out_ds_base, rng_out_GB_Medispan, "B", rng_out_sel_G_ind, "G", rng_out_sel_sp_ind, $D184, rng_out_sel_excl_ind,$E184)/[1]Tables!$AT$4, 0))</f>
        <v>0</v>
      </c>
      <c r="CW184" s="234">
        <f ca="1">SUM(CU184:CV184)</f>
        <v>0</v>
      </c>
    </row>
    <row r="185" spans="2:117" ht="15" thickBot="1" x14ac:dyDescent="0.4">
      <c r="B185" s="106"/>
      <c r="C185" s="236"/>
      <c r="D185" s="236" t="s">
        <v>29</v>
      </c>
      <c r="E185" s="237" t="str">
        <f>IF(sel_excl_nonRebatable=1, "Y", "N")</f>
        <v>N</v>
      </c>
      <c r="H185" s="154" t="s">
        <v>18</v>
      </c>
      <c r="I185" s="238" t="e">
        <f t="shared" ref="I185:W185" ca="1" si="175">SUM(I181:I184)</f>
        <v>#VALUE!</v>
      </c>
      <c r="J185" s="238" t="e">
        <f t="shared" ca="1" si="175"/>
        <v>#VALUE!</v>
      </c>
      <c r="K185" s="238" t="e">
        <f t="shared" ca="1" si="175"/>
        <v>#VALUE!</v>
      </c>
      <c r="L185" s="238" t="e">
        <f t="shared" ca="1" si="175"/>
        <v>#VALUE!</v>
      </c>
      <c r="M185" s="239" t="e">
        <f t="shared" ca="1" si="175"/>
        <v>#VALUE!</v>
      </c>
      <c r="N185" s="238" t="e">
        <f t="shared" ca="1" si="175"/>
        <v>#VALUE!</v>
      </c>
      <c r="O185" s="238" t="e">
        <f t="shared" ca="1" si="175"/>
        <v>#VALUE!</v>
      </c>
      <c r="P185" s="238" t="e">
        <f t="shared" ca="1" si="175"/>
        <v>#VALUE!</v>
      </c>
      <c r="Q185" s="238" t="e">
        <f t="shared" ca="1" si="175"/>
        <v>#VALUE!</v>
      </c>
      <c r="R185" s="239" t="e">
        <f t="shared" ca="1" si="175"/>
        <v>#VALUE!</v>
      </c>
      <c r="S185" s="238" t="e">
        <f t="shared" ca="1" si="175"/>
        <v>#VALUE!</v>
      </c>
      <c r="T185" s="238" t="e">
        <f t="shared" ca="1" si="175"/>
        <v>#VALUE!</v>
      </c>
      <c r="U185" s="238" t="e">
        <f t="shared" ca="1" si="175"/>
        <v>#VALUE!</v>
      </c>
      <c r="V185" s="238" t="e">
        <f t="shared" ca="1" si="175"/>
        <v>#VALUE!</v>
      </c>
      <c r="W185" s="239" t="e">
        <f t="shared" ca="1" si="175"/>
        <v>#VALUE!</v>
      </c>
      <c r="Y185" s="159" t="s">
        <v>18</v>
      </c>
      <c r="Z185" s="240">
        <f t="shared" ref="Z185:AN185" ca="1" si="176">SUM(Z181:Z184)</f>
        <v>0</v>
      </c>
      <c r="AA185" s="241">
        <f t="shared" ca="1" si="176"/>
        <v>0</v>
      </c>
      <c r="AB185" s="241">
        <f t="shared" ca="1" si="176"/>
        <v>0</v>
      </c>
      <c r="AC185" s="241">
        <f t="shared" ca="1" si="176"/>
        <v>0</v>
      </c>
      <c r="AD185" s="242">
        <f t="shared" ca="1" si="176"/>
        <v>0</v>
      </c>
      <c r="AE185" s="240">
        <f t="shared" ca="1" si="176"/>
        <v>0</v>
      </c>
      <c r="AF185" s="241">
        <f t="shared" ca="1" si="176"/>
        <v>0</v>
      </c>
      <c r="AG185" s="241">
        <f t="shared" ca="1" si="176"/>
        <v>0</v>
      </c>
      <c r="AH185" s="241">
        <f t="shared" ca="1" si="176"/>
        <v>0</v>
      </c>
      <c r="AI185" s="242">
        <f t="shared" ca="1" si="176"/>
        <v>0</v>
      </c>
      <c r="AJ185" s="241">
        <f t="shared" ca="1" si="176"/>
        <v>0</v>
      </c>
      <c r="AK185" s="241">
        <f t="shared" ca="1" si="176"/>
        <v>0</v>
      </c>
      <c r="AL185" s="241">
        <f t="shared" ca="1" si="176"/>
        <v>0</v>
      </c>
      <c r="AM185" s="241">
        <f t="shared" ca="1" si="176"/>
        <v>0</v>
      </c>
      <c r="AN185" s="242">
        <f t="shared" ca="1" si="176"/>
        <v>0</v>
      </c>
      <c r="AP185" s="166" t="s">
        <v>18</v>
      </c>
      <c r="AQ185" s="226">
        <f ca="1">SUM(AQ181:AQ184)</f>
        <v>0</v>
      </c>
      <c r="AR185" s="227">
        <f ca="1">SUM(AR181:AR184)</f>
        <v>0</v>
      </c>
      <c r="AS185" s="227">
        <f ca="1">SUM(AS181:AS184)</f>
        <v>0</v>
      </c>
      <c r="AT185" s="227">
        <f ca="1">SUM(AT181:AT184)</f>
        <v>0</v>
      </c>
      <c r="AU185" s="228">
        <f ca="1">SUM(AU181:AU184)</f>
        <v>0</v>
      </c>
      <c r="AV185" s="226" t="e">
        <f t="shared" ref="AV185:BE185" ca="1" si="177">SUM(AV181:AV184)</f>
        <v>#VALUE!</v>
      </c>
      <c r="AW185" s="227" t="e">
        <f t="shared" ca="1" si="177"/>
        <v>#VALUE!</v>
      </c>
      <c r="AX185" s="227" t="e">
        <f t="shared" ca="1" si="177"/>
        <v>#VALUE!</v>
      </c>
      <c r="AY185" s="227" t="e">
        <f t="shared" ca="1" si="177"/>
        <v>#VALUE!</v>
      </c>
      <c r="AZ185" s="228" t="e">
        <f t="shared" ca="1" si="177"/>
        <v>#VALUE!</v>
      </c>
      <c r="BA185" s="227" t="e">
        <f t="shared" ca="1" si="177"/>
        <v>#VALUE!</v>
      </c>
      <c r="BB185" s="227" t="e">
        <f t="shared" ca="1" si="177"/>
        <v>#VALUE!</v>
      </c>
      <c r="BC185" s="227" t="e">
        <f t="shared" ca="1" si="177"/>
        <v>#VALUE!</v>
      </c>
      <c r="BD185" s="227" t="e">
        <f t="shared" ca="1" si="177"/>
        <v>#VALUE!</v>
      </c>
      <c r="BE185" s="228" t="e">
        <f t="shared" ca="1" si="177"/>
        <v>#VALUE!</v>
      </c>
      <c r="BG185" s="171" t="s">
        <v>18</v>
      </c>
      <c r="BH185" s="244">
        <f t="shared" ref="BH185:BV185" ca="1" si="178">SUM(BH181:BH184)</f>
        <v>0</v>
      </c>
      <c r="BI185" s="245">
        <f t="shared" ca="1" si="178"/>
        <v>0</v>
      </c>
      <c r="BJ185" s="245">
        <f t="shared" ca="1" si="178"/>
        <v>0</v>
      </c>
      <c r="BK185" s="245">
        <f t="shared" ca="1" si="178"/>
        <v>0</v>
      </c>
      <c r="BL185" s="234">
        <f t="shared" ca="1" si="178"/>
        <v>0</v>
      </c>
      <c r="BM185" s="244" t="e">
        <f t="shared" ca="1" si="178"/>
        <v>#VALUE!</v>
      </c>
      <c r="BN185" s="245" t="e">
        <f t="shared" ca="1" si="178"/>
        <v>#VALUE!</v>
      </c>
      <c r="BO185" s="245" t="e">
        <f t="shared" ca="1" si="178"/>
        <v>#VALUE!</v>
      </c>
      <c r="BP185" s="245" t="e">
        <f t="shared" ca="1" si="178"/>
        <v>#VALUE!</v>
      </c>
      <c r="BQ185" s="234" t="e">
        <f t="shared" ca="1" si="178"/>
        <v>#VALUE!</v>
      </c>
      <c r="BR185" s="245" t="e">
        <f t="shared" ca="1" si="178"/>
        <v>#VALUE!</v>
      </c>
      <c r="BS185" s="245" t="e">
        <f t="shared" ca="1" si="178"/>
        <v>#VALUE!</v>
      </c>
      <c r="BT185" s="245" t="e">
        <f t="shared" ca="1" si="178"/>
        <v>#VALUE!</v>
      </c>
      <c r="BU185" s="245" t="e">
        <f t="shared" ca="1" si="178"/>
        <v>#VALUE!</v>
      </c>
      <c r="BV185" s="234" t="e">
        <f t="shared" ca="1" si="178"/>
        <v>#VALUE!</v>
      </c>
      <c r="BX185" s="171" t="s">
        <v>18</v>
      </c>
      <c r="BY185" s="244">
        <f t="shared" ref="BY185:CM185" ca="1" si="179">SUM(BY181:BY184)</f>
        <v>0</v>
      </c>
      <c r="BZ185" s="245">
        <f t="shared" ca="1" si="179"/>
        <v>0</v>
      </c>
      <c r="CA185" s="245">
        <f t="shared" ca="1" si="179"/>
        <v>0</v>
      </c>
      <c r="CB185" s="245">
        <f t="shared" ca="1" si="179"/>
        <v>0</v>
      </c>
      <c r="CC185" s="234">
        <f t="shared" ca="1" si="179"/>
        <v>0</v>
      </c>
      <c r="CD185" s="244" t="e">
        <f t="shared" ca="1" si="179"/>
        <v>#VALUE!</v>
      </c>
      <c r="CE185" s="245" t="e">
        <f t="shared" ca="1" si="179"/>
        <v>#VALUE!</v>
      </c>
      <c r="CF185" s="245" t="e">
        <f t="shared" ca="1" si="179"/>
        <v>#VALUE!</v>
      </c>
      <c r="CG185" s="245" t="e">
        <f t="shared" ca="1" si="179"/>
        <v>#VALUE!</v>
      </c>
      <c r="CH185" s="234" t="e">
        <f t="shared" ca="1" si="179"/>
        <v>#VALUE!</v>
      </c>
      <c r="CI185" s="245" t="e">
        <f t="shared" ca="1" si="179"/>
        <v>#VALUE!</v>
      </c>
      <c r="CJ185" s="245" t="e">
        <f t="shared" ca="1" si="179"/>
        <v>#VALUE!</v>
      </c>
      <c r="CK185" s="245" t="e">
        <f t="shared" ca="1" si="179"/>
        <v>#VALUE!</v>
      </c>
      <c r="CL185" s="245" t="e">
        <f t="shared" ca="1" si="179"/>
        <v>#VALUE!</v>
      </c>
      <c r="CM185" s="234" t="e">
        <f t="shared" ca="1" si="179"/>
        <v>#VALUE!</v>
      </c>
      <c r="CO185" s="246">
        <f ca="1">SUM(CO181:CO184)</f>
        <v>0</v>
      </c>
      <c r="CP185" s="247">
        <f ca="1">SUM(CP181:CP184)</f>
        <v>0</v>
      </c>
      <c r="CQ185" s="247">
        <f ca="1">SUM(CQ181:CQ184)</f>
        <v>0</v>
      </c>
      <c r="CR185" s="246">
        <f ca="1">SUM(CR181:CR184)</f>
        <v>0</v>
      </c>
      <c r="CS185" s="248">
        <f ca="1">SUM(CS181:CS184)</f>
        <v>0</v>
      </c>
      <c r="CT185" s="249">
        <f ca="1">SUM(CR185:CS185)</f>
        <v>0</v>
      </c>
      <c r="CU185" s="246">
        <f ca="1">SUM(CU181:CU184)</f>
        <v>0</v>
      </c>
      <c r="CV185" s="247">
        <f ca="1">SUM(CV181:CV184)</f>
        <v>0</v>
      </c>
      <c r="CW185" s="247">
        <f ca="1">SUM(CW181:CW184)</f>
        <v>0</v>
      </c>
    </row>
    <row r="186" spans="2:117" ht="15" thickBot="1" x14ac:dyDescent="0.4">
      <c r="BY186" s="195"/>
    </row>
    <row r="187" spans="2:117" ht="15" thickBot="1" x14ac:dyDescent="0.4">
      <c r="I187" s="21" t="s">
        <v>53</v>
      </c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3"/>
      <c r="Z187" s="24" t="s">
        <v>53</v>
      </c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6"/>
      <c r="AQ187" s="27" t="s">
        <v>53</v>
      </c>
      <c r="AR187" s="28"/>
      <c r="AS187" s="28"/>
      <c r="AT187" s="28"/>
      <c r="AU187" s="29"/>
      <c r="AV187" s="28"/>
      <c r="AW187" s="28"/>
      <c r="AX187" s="28"/>
      <c r="AY187" s="28"/>
      <c r="AZ187" s="28"/>
      <c r="BA187" s="28"/>
      <c r="BB187" s="28"/>
      <c r="BC187" s="28"/>
      <c r="BD187" s="28"/>
      <c r="BE187" s="30"/>
      <c r="BH187" s="31" t="s">
        <v>53</v>
      </c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3"/>
      <c r="BY187" s="34" t="s">
        <v>53</v>
      </c>
      <c r="BZ187" s="35"/>
      <c r="CA187" s="35"/>
      <c r="CB187" s="35"/>
      <c r="CC187" s="35"/>
      <c r="CD187" s="35"/>
      <c r="CE187" s="35"/>
      <c r="CF187" s="35"/>
      <c r="CG187" s="35"/>
      <c r="CH187" s="35"/>
      <c r="CI187" s="35"/>
      <c r="CJ187" s="35"/>
      <c r="CK187" s="35"/>
      <c r="CL187" s="35"/>
      <c r="CM187" s="36"/>
      <c r="CO187" s="196" t="str">
        <f>"Base Yr (B/G indicator of Medispan + Override) "&amp;IF(input_Annual="Yes", "Annualized", "")</f>
        <v>Base Yr (B/G indicator of Medispan + Override) Annualized</v>
      </c>
      <c r="CP187" s="197"/>
      <c r="CQ187" s="197"/>
      <c r="CR187" s="198"/>
      <c r="CS187" s="198"/>
      <c r="CT187" s="198"/>
      <c r="CU187" s="198"/>
      <c r="CV187" s="198"/>
      <c r="CW187" s="198"/>
      <c r="DC187" s="34" t="s">
        <v>53</v>
      </c>
      <c r="DD187" s="35"/>
      <c r="DE187" s="35"/>
      <c r="DF187" s="35"/>
      <c r="DG187" s="36"/>
      <c r="DI187" s="34" t="s">
        <v>58</v>
      </c>
      <c r="DJ187" s="35"/>
      <c r="DK187" s="35"/>
      <c r="DL187" s="35"/>
      <c r="DM187" s="36"/>
    </row>
    <row r="188" spans="2:117" ht="15" thickBot="1" x14ac:dyDescent="0.4">
      <c r="H188" s="37"/>
      <c r="I188" s="38" t="s">
        <v>59</v>
      </c>
      <c r="J188" s="39"/>
      <c r="K188" s="39"/>
      <c r="L188" s="39"/>
      <c r="M188" s="40"/>
      <c r="N188" s="38" t="s">
        <v>60</v>
      </c>
      <c r="O188" s="39"/>
      <c r="P188" s="39"/>
      <c r="Q188" s="39"/>
      <c r="R188" s="40"/>
      <c r="S188" s="38" t="s">
        <v>18</v>
      </c>
      <c r="T188" s="39"/>
      <c r="U188" s="39"/>
      <c r="V188" s="39"/>
      <c r="W188" s="40"/>
      <c r="Z188" s="41" t="s">
        <v>59</v>
      </c>
      <c r="AA188" s="42"/>
      <c r="AB188" s="42"/>
      <c r="AC188" s="42"/>
      <c r="AD188" s="43"/>
      <c r="AE188" s="41" t="s">
        <v>60</v>
      </c>
      <c r="AF188" s="42"/>
      <c r="AG188" s="42"/>
      <c r="AH188" s="42"/>
      <c r="AI188" s="43"/>
      <c r="AJ188" s="41" t="s">
        <v>18</v>
      </c>
      <c r="AK188" s="42"/>
      <c r="AL188" s="42"/>
      <c r="AM188" s="42"/>
      <c r="AN188" s="43"/>
      <c r="AQ188" s="44" t="s">
        <v>59</v>
      </c>
      <c r="AR188" s="45"/>
      <c r="AS188" s="45"/>
      <c r="AT188" s="45"/>
      <c r="AU188" s="46"/>
      <c r="AV188" s="44" t="s">
        <v>60</v>
      </c>
      <c r="AW188" s="45"/>
      <c r="AX188" s="45"/>
      <c r="AY188" s="45"/>
      <c r="AZ188" s="46"/>
      <c r="BA188" s="45" t="s">
        <v>18</v>
      </c>
      <c r="BB188" s="45"/>
      <c r="BC188" s="45"/>
      <c r="BD188" s="45"/>
      <c r="BE188" s="46"/>
      <c r="BH188" s="47" t="s">
        <v>59</v>
      </c>
      <c r="BI188" s="48"/>
      <c r="BJ188" s="48"/>
      <c r="BK188" s="48"/>
      <c r="BL188" s="49"/>
      <c r="BM188" s="47" t="s">
        <v>60</v>
      </c>
      <c r="BN188" s="48"/>
      <c r="BO188" s="48"/>
      <c r="BP188" s="48"/>
      <c r="BQ188" s="49"/>
      <c r="BR188" s="50" t="s">
        <v>18</v>
      </c>
      <c r="BS188" s="50"/>
      <c r="BT188" s="50"/>
      <c r="BU188" s="50"/>
      <c r="BV188" s="51"/>
      <c r="BY188" s="47" t="s">
        <v>59</v>
      </c>
      <c r="BZ188" s="48"/>
      <c r="CA188" s="48"/>
      <c r="CB188" s="48"/>
      <c r="CC188" s="49"/>
      <c r="CD188" s="47" t="s">
        <v>60</v>
      </c>
      <c r="CE188" s="48"/>
      <c r="CF188" s="48"/>
      <c r="CG188" s="48"/>
      <c r="CH188" s="49"/>
      <c r="CI188" s="50" t="s">
        <v>18</v>
      </c>
      <c r="CJ188" s="50"/>
      <c r="CK188" s="50"/>
      <c r="CL188" s="50"/>
      <c r="CM188" s="51"/>
      <c r="CO188" s="199" t="s">
        <v>23</v>
      </c>
      <c r="CP188" s="200"/>
      <c r="CQ188" s="201"/>
      <c r="CR188" s="199" t="s">
        <v>27</v>
      </c>
      <c r="CS188" s="200"/>
      <c r="CT188" s="201"/>
      <c r="CU188" s="200" t="s">
        <v>8</v>
      </c>
      <c r="CV188" s="200"/>
      <c r="CW188" s="201"/>
      <c r="DC188" s="52" t="s">
        <v>5</v>
      </c>
      <c r="DD188" s="50"/>
      <c r="DE188" s="50"/>
      <c r="DF188" s="50"/>
      <c r="DG188" s="51"/>
      <c r="DI188" s="52" t="s">
        <v>28</v>
      </c>
      <c r="DJ188" s="50"/>
      <c r="DK188" s="50"/>
      <c r="DL188" s="50"/>
      <c r="DM188" s="51"/>
    </row>
    <row r="189" spans="2:117" ht="15" thickBot="1" x14ac:dyDescent="0.4">
      <c r="H189" s="55"/>
      <c r="I189" s="56" t="str">
        <f>[1]Tables!$AA$4</f>
        <v>07/27 - 06/28</v>
      </c>
      <c r="J189" s="55" t="str">
        <f>[1]Tables!$AA$5</f>
        <v>07/28 - 06/29</v>
      </c>
      <c r="K189" s="55" t="str">
        <f>[1]Tables!$AA$6</f>
        <v>07/29 - 06/30</v>
      </c>
      <c r="L189" s="55" t="str">
        <f>[1]Tables!$AA$7</f>
        <v>07/30 - 06/31</v>
      </c>
      <c r="M189" s="57" t="str">
        <f>[1]Tables!$AA$8</f>
        <v>07/31 - 06/32</v>
      </c>
      <c r="N189" s="56" t="str">
        <f>[1]Tables!$AA$4</f>
        <v>07/27 - 06/28</v>
      </c>
      <c r="O189" s="55" t="str">
        <f>[1]Tables!$AA$5</f>
        <v>07/28 - 06/29</v>
      </c>
      <c r="P189" s="55" t="str">
        <f>[1]Tables!$AA$6</f>
        <v>07/29 - 06/30</v>
      </c>
      <c r="Q189" s="55" t="str">
        <f>[1]Tables!$AA$7</f>
        <v>07/30 - 06/31</v>
      </c>
      <c r="R189" s="57" t="str">
        <f>[1]Tables!$AA$8</f>
        <v>07/31 - 06/32</v>
      </c>
      <c r="S189" s="56" t="str">
        <f>[1]Tables!$AA$4</f>
        <v>07/27 - 06/28</v>
      </c>
      <c r="T189" s="55" t="str">
        <f>[1]Tables!$AA$5</f>
        <v>07/28 - 06/29</v>
      </c>
      <c r="U189" s="55" t="str">
        <f>[1]Tables!$AA$6</f>
        <v>07/29 - 06/30</v>
      </c>
      <c r="V189" s="55" t="str">
        <f>[1]Tables!$AA$7</f>
        <v>07/30 - 06/31</v>
      </c>
      <c r="W189" s="57" t="str">
        <f>[1]Tables!$AA$8</f>
        <v>07/31 - 06/32</v>
      </c>
      <c r="Y189" s="58"/>
      <c r="Z189" s="59" t="str">
        <f>[1]Tables!$AA$4</f>
        <v>07/27 - 06/28</v>
      </c>
      <c r="AA189" s="60" t="str">
        <f>[1]Tables!$AA$5</f>
        <v>07/28 - 06/29</v>
      </c>
      <c r="AB189" s="60" t="str">
        <f>[1]Tables!$AA$6</f>
        <v>07/29 - 06/30</v>
      </c>
      <c r="AC189" s="60" t="str">
        <f>[1]Tables!$AA$7</f>
        <v>07/30 - 06/31</v>
      </c>
      <c r="AD189" s="61" t="str">
        <f>[1]Tables!$AA$8</f>
        <v>07/31 - 06/32</v>
      </c>
      <c r="AE189" s="59" t="str">
        <f>[1]Tables!$AA$4</f>
        <v>07/27 - 06/28</v>
      </c>
      <c r="AF189" s="60" t="str">
        <f>[1]Tables!$AA$5</f>
        <v>07/28 - 06/29</v>
      </c>
      <c r="AG189" s="60" t="str">
        <f>[1]Tables!$AA$6</f>
        <v>07/29 - 06/30</v>
      </c>
      <c r="AH189" s="60" t="str">
        <f>[1]Tables!$AA$7</f>
        <v>07/30 - 06/31</v>
      </c>
      <c r="AI189" s="61" t="str">
        <f>[1]Tables!$AA$8</f>
        <v>07/31 - 06/32</v>
      </c>
      <c r="AJ189" s="59" t="str">
        <f>[1]Tables!$AA$4</f>
        <v>07/27 - 06/28</v>
      </c>
      <c r="AK189" s="60" t="str">
        <f>[1]Tables!$AA$5</f>
        <v>07/28 - 06/29</v>
      </c>
      <c r="AL189" s="60" t="str">
        <f>[1]Tables!$AA$6</f>
        <v>07/29 - 06/30</v>
      </c>
      <c r="AM189" s="60" t="str">
        <f>[1]Tables!$AA$7</f>
        <v>07/30 - 06/31</v>
      </c>
      <c r="AN189" s="61" t="str">
        <f>[1]Tables!$AA$8</f>
        <v>07/31 - 06/32</v>
      </c>
      <c r="AP189" s="58"/>
      <c r="AQ189" s="62" t="str">
        <f>[1]Tables!$AA$4</f>
        <v>07/27 - 06/28</v>
      </c>
      <c r="AR189" s="63" t="str">
        <f>[1]Tables!$AA$5</f>
        <v>07/28 - 06/29</v>
      </c>
      <c r="AS189" s="63" t="str">
        <f>[1]Tables!$AA$6</f>
        <v>07/29 - 06/30</v>
      </c>
      <c r="AT189" s="63" t="str">
        <f>[1]Tables!$AA$7</f>
        <v>07/30 - 06/31</v>
      </c>
      <c r="AU189" s="64" t="str">
        <f>[1]Tables!$AA$8</f>
        <v>07/31 - 06/32</v>
      </c>
      <c r="AV189" s="62" t="str">
        <f>[1]Tables!$AA$4</f>
        <v>07/27 - 06/28</v>
      </c>
      <c r="AW189" s="63" t="str">
        <f>[1]Tables!$AA$5</f>
        <v>07/28 - 06/29</v>
      </c>
      <c r="AX189" s="63" t="str">
        <f>[1]Tables!$AA$6</f>
        <v>07/29 - 06/30</v>
      </c>
      <c r="AY189" s="63" t="str">
        <f>[1]Tables!$AA$7</f>
        <v>07/30 - 06/31</v>
      </c>
      <c r="AZ189" s="64" t="str">
        <f>[1]Tables!$AA$8</f>
        <v>07/31 - 06/32</v>
      </c>
      <c r="BA189" s="63" t="str">
        <f>[1]Tables!$AA$4</f>
        <v>07/27 - 06/28</v>
      </c>
      <c r="BB189" s="63" t="str">
        <f>[1]Tables!$AA$5</f>
        <v>07/28 - 06/29</v>
      </c>
      <c r="BC189" s="63" t="str">
        <f>[1]Tables!$AA$6</f>
        <v>07/29 - 06/30</v>
      </c>
      <c r="BD189" s="63" t="str">
        <f>[1]Tables!$AA$7</f>
        <v>07/30 - 06/31</v>
      </c>
      <c r="BE189" s="64" t="str">
        <f>[1]Tables!$AA$8</f>
        <v>07/31 - 06/32</v>
      </c>
      <c r="BG189" s="58"/>
      <c r="BH189" s="65" t="str">
        <f>[1]Tables!$AA$4</f>
        <v>07/27 - 06/28</v>
      </c>
      <c r="BI189" s="66" t="str">
        <f>[1]Tables!$AA$5</f>
        <v>07/28 - 06/29</v>
      </c>
      <c r="BJ189" s="66" t="str">
        <f>[1]Tables!$AA$6</f>
        <v>07/29 - 06/30</v>
      </c>
      <c r="BK189" s="66" t="str">
        <f>[1]Tables!$AA$7</f>
        <v>07/30 - 06/31</v>
      </c>
      <c r="BL189" s="67" t="str">
        <f>[1]Tables!$AA$8</f>
        <v>07/31 - 06/32</v>
      </c>
      <c r="BM189" s="65" t="str">
        <f>[1]Tables!$AA$4</f>
        <v>07/27 - 06/28</v>
      </c>
      <c r="BN189" s="66" t="str">
        <f>[1]Tables!$AA$5</f>
        <v>07/28 - 06/29</v>
      </c>
      <c r="BO189" s="66" t="str">
        <f>[1]Tables!$AA$6</f>
        <v>07/29 - 06/30</v>
      </c>
      <c r="BP189" s="66" t="str">
        <f>[1]Tables!$AA$7</f>
        <v>07/30 - 06/31</v>
      </c>
      <c r="BQ189" s="67" t="str">
        <f>[1]Tables!$AA$8</f>
        <v>07/31 - 06/32</v>
      </c>
      <c r="BR189" s="66" t="str">
        <f>[1]Tables!$AA$4</f>
        <v>07/27 - 06/28</v>
      </c>
      <c r="BS189" s="66" t="str">
        <f>[1]Tables!$AA$5</f>
        <v>07/28 - 06/29</v>
      </c>
      <c r="BT189" s="66" t="str">
        <f>[1]Tables!$AA$6</f>
        <v>07/29 - 06/30</v>
      </c>
      <c r="BU189" s="66" t="str">
        <f>[1]Tables!$AA$7</f>
        <v>07/30 - 06/31</v>
      </c>
      <c r="BV189" s="67" t="str">
        <f>[1]Tables!$AA$8</f>
        <v>07/31 - 06/32</v>
      </c>
      <c r="BX189" s="58"/>
      <c r="BY189" s="65" t="str">
        <f>[1]Tables!$AA$4</f>
        <v>07/27 - 06/28</v>
      </c>
      <c r="BZ189" s="66" t="str">
        <f>[1]Tables!$AA$5</f>
        <v>07/28 - 06/29</v>
      </c>
      <c r="CA189" s="66" t="str">
        <f>[1]Tables!$AA$6</f>
        <v>07/29 - 06/30</v>
      </c>
      <c r="CB189" s="66" t="str">
        <f>[1]Tables!$AA$7</f>
        <v>07/30 - 06/31</v>
      </c>
      <c r="CC189" s="67" t="str">
        <f>[1]Tables!$AA$8</f>
        <v>07/31 - 06/32</v>
      </c>
      <c r="CD189" s="65" t="str">
        <f>[1]Tables!$AA$4</f>
        <v>07/27 - 06/28</v>
      </c>
      <c r="CE189" s="66" t="str">
        <f>[1]Tables!$AA$5</f>
        <v>07/28 - 06/29</v>
      </c>
      <c r="CF189" s="66" t="str">
        <f>[1]Tables!$AA$6</f>
        <v>07/29 - 06/30</v>
      </c>
      <c r="CG189" s="66" t="str">
        <f>[1]Tables!$AA$7</f>
        <v>07/30 - 06/31</v>
      </c>
      <c r="CH189" s="67" t="str">
        <f>[1]Tables!$AA$8</f>
        <v>07/31 - 06/32</v>
      </c>
      <c r="CI189" s="66" t="str">
        <f>[1]Tables!$AA$4</f>
        <v>07/27 - 06/28</v>
      </c>
      <c r="CJ189" s="66" t="str">
        <f>[1]Tables!$AA$5</f>
        <v>07/28 - 06/29</v>
      </c>
      <c r="CK189" s="66" t="str">
        <f>[1]Tables!$AA$6</f>
        <v>07/29 - 06/30</v>
      </c>
      <c r="CL189" s="66" t="str">
        <f>[1]Tables!$AA$7</f>
        <v>07/30 - 06/31</v>
      </c>
      <c r="CM189" s="67" t="str">
        <f>[1]Tables!$AA$8</f>
        <v>07/31 - 06/32</v>
      </c>
      <c r="CO189" s="65" t="s">
        <v>25</v>
      </c>
      <c r="CP189" s="66" t="s">
        <v>26</v>
      </c>
      <c r="CQ189" s="202" t="s">
        <v>18</v>
      </c>
      <c r="CR189" s="66" t="s">
        <v>25</v>
      </c>
      <c r="CS189" s="66" t="s">
        <v>26</v>
      </c>
      <c r="CT189" s="202" t="s">
        <v>18</v>
      </c>
      <c r="CU189" s="65" t="s">
        <v>25</v>
      </c>
      <c r="CV189" s="67" t="s">
        <v>26</v>
      </c>
      <c r="CW189" s="67" t="s">
        <v>18</v>
      </c>
      <c r="DC189" s="65" t="str">
        <f>[1]Tables!$AA$4</f>
        <v>07/27 - 06/28</v>
      </c>
      <c r="DD189" s="66" t="str">
        <f>[1]Tables!$AA$5</f>
        <v>07/28 - 06/29</v>
      </c>
      <c r="DE189" s="66" t="str">
        <f>[1]Tables!$AA$6</f>
        <v>07/29 - 06/30</v>
      </c>
      <c r="DF189" s="66" t="str">
        <f>[1]Tables!$AA$7</f>
        <v>07/30 - 06/31</v>
      </c>
      <c r="DG189" s="67" t="str">
        <f>[1]Tables!$AA$8</f>
        <v>07/31 - 06/32</v>
      </c>
      <c r="DI189" s="65" t="str">
        <f>[1]Tables!$AA$4</f>
        <v>07/27 - 06/28</v>
      </c>
      <c r="DJ189" s="66" t="str">
        <f>[1]Tables!$AA$5</f>
        <v>07/28 - 06/29</v>
      </c>
      <c r="DK189" s="66" t="str">
        <f>[1]Tables!$AA$6</f>
        <v>07/29 - 06/30</v>
      </c>
      <c r="DL189" s="66" t="str">
        <f>[1]Tables!$AA$7</f>
        <v>07/30 - 06/31</v>
      </c>
      <c r="DM189" s="67" t="str">
        <f>[1]Tables!$AA$8</f>
        <v>07/31 - 06/32</v>
      </c>
    </row>
    <row r="190" spans="2:117" x14ac:dyDescent="0.35">
      <c r="B190" s="68" t="s">
        <v>11</v>
      </c>
      <c r="C190" s="69">
        <v>30</v>
      </c>
      <c r="D190" s="69" t="s">
        <v>12</v>
      </c>
      <c r="E190" s="70" t="s">
        <v>12</v>
      </c>
      <c r="F190" s="106">
        <v>1</v>
      </c>
      <c r="H190" s="71" t="s">
        <v>14</v>
      </c>
      <c r="I190" s="203" t="e" cm="1">
        <f t="array" aca="1" ref="I190" ca="1">SUMIFS(rng_out_rx_pre_yr1, rng_out_GB_Medispan, "G", rng_out_mail_ind, $B190, rng_out_ds, $C190, rng_out_sel_sp_ind, $D190) - I294</f>
        <v>#VALUE!</v>
      </c>
      <c r="J190" s="195" t="e" cm="1">
        <f t="array" aca="1" ref="J190" ca="1">SUMIFS(rng_out_rx_pre_yr2, rng_out_GB_Medispan, "G", rng_out_mail_ind, $B190, rng_out_ds, $C190, rng_out_sel_sp_ind, $D190) - J294</f>
        <v>#VALUE!</v>
      </c>
      <c r="K190" s="195" t="e" cm="1">
        <f t="array" aca="1" ref="K190" ca="1">SUMIFS(rng_out_rx_pre_yr3, rng_out_GB_Medispan, "G", rng_out_mail_ind, $B190, rng_out_ds, $C190, rng_out_sel_sp_ind, $D190) - K294</f>
        <v>#VALUE!</v>
      </c>
      <c r="L190" s="195" t="e" cm="1">
        <f t="array" aca="1" ref="L190" ca="1">SUMIFS(rng_out_rx_pre_yr4, rng_out_GB_Medispan, "G", rng_out_mail_ind, $B190, rng_out_ds, $C190, rng_out_sel_sp_ind, $D190) - L294</f>
        <v>#VALUE!</v>
      </c>
      <c r="M190" s="204" t="e" cm="1">
        <f t="array" aca="1" ref="M190" ca="1">SUMIFS(rng_out_rx_pre_yr5, rng_out_GB_Medispan, "G", rng_out_mail_ind, $B190, rng_out_ds, $C190, rng_out_sel_sp_ind, $D190) - M294</f>
        <v>#VALUE!</v>
      </c>
      <c r="N190" s="203" t="e" cm="1">
        <f t="array" aca="1" ref="N190" ca="1">SUMIFS(rng_out_rx_pre_yr1, rng_out_GB_Medispan, "B", rng_out_mail_ind, $B190, rng_out_ds, $C190, rng_out_sel_sp_ind, $D190) - N294</f>
        <v>#VALUE!</v>
      </c>
      <c r="O190" s="195" t="e" cm="1">
        <f t="array" aca="1" ref="O190" ca="1">SUMIFS(rng_out_rx_pre_yr2, rng_out_GB_Medispan, "B", rng_out_mail_ind, $B190, rng_out_ds, $C190, rng_out_sel_sp_ind, $D190) - O294</f>
        <v>#VALUE!</v>
      </c>
      <c r="P190" s="195" t="e" cm="1">
        <f t="array" aca="1" ref="P190" ca="1">SUMIFS(rng_out_rx_pre_yr3, rng_out_GB_Medispan, "B", rng_out_mail_ind, $B190, rng_out_ds, $C190, rng_out_sel_sp_ind, $D190) - P294</f>
        <v>#VALUE!</v>
      </c>
      <c r="Q190" s="195" t="e" cm="1">
        <f t="array" aca="1" ref="Q190" ca="1">SUMIFS(rng_out_rx_pre_yr4, rng_out_GB_Medispan, "B", rng_out_mail_ind, $B190, rng_out_ds, $C190, rng_out_sel_sp_ind, $D190) - Q294</f>
        <v>#VALUE!</v>
      </c>
      <c r="R190" s="204" t="e" cm="1">
        <f t="array" aca="1" ref="R190" ca="1">SUMIFS(rng_out_rx_pre_yr5, rng_out_GB_Medispan, "B", rng_out_mail_ind, $B190, rng_out_ds, $C190, rng_out_sel_sp_ind, $D190) - R294</f>
        <v>#VALUE!</v>
      </c>
      <c r="S190" s="205" t="e">
        <f t="shared" ref="S190:W193" ca="1" si="180">I190+N190</f>
        <v>#VALUE!</v>
      </c>
      <c r="T190" s="206" t="e">
        <f t="shared" ca="1" si="180"/>
        <v>#VALUE!</v>
      </c>
      <c r="U190" s="206" t="e">
        <f t="shared" ca="1" si="180"/>
        <v>#VALUE!</v>
      </c>
      <c r="V190" s="206" t="e">
        <f t="shared" ca="1" si="180"/>
        <v>#VALUE!</v>
      </c>
      <c r="W190" s="207" t="e">
        <f t="shared" ca="1" si="180"/>
        <v>#VALUE!</v>
      </c>
      <c r="Y190" s="77" t="s">
        <v>14</v>
      </c>
      <c r="Z190" s="208">
        <f ca="1">IFERROR(I190/[1]Tables!$AT$4, 0)</f>
        <v>0</v>
      </c>
      <c r="AA190" s="206">
        <f ca="1">IFERROR(J190/[1]Tables!$AT$4, 0)</f>
        <v>0</v>
      </c>
      <c r="AB190" s="206">
        <f ca="1">IFERROR(K190/[1]Tables!$AT$4, 0)</f>
        <v>0</v>
      </c>
      <c r="AC190" s="206">
        <f ca="1">IFERROR(L190/[1]Tables!$AT$4, 0)</f>
        <v>0</v>
      </c>
      <c r="AD190" s="209">
        <f ca="1">IFERROR(M190/[1]Tables!$AT$4, 0)</f>
        <v>0</v>
      </c>
      <c r="AE190" s="208">
        <f ca="1">IFERROR(N190/[1]Tables!$AT$4, 0)</f>
        <v>0</v>
      </c>
      <c r="AF190" s="206">
        <f ca="1">IFERROR(O190/[1]Tables!$AT$4, 0)</f>
        <v>0</v>
      </c>
      <c r="AG190" s="206">
        <f ca="1">IFERROR(P190/[1]Tables!$AT$4, 0)</f>
        <v>0</v>
      </c>
      <c r="AH190" s="206">
        <f ca="1">IFERROR(Q190/[1]Tables!$AT$4, 0)</f>
        <v>0</v>
      </c>
      <c r="AI190" s="209">
        <f ca="1">IFERROR(R190/[1]Tables!$AT$4, 0)</f>
        <v>0</v>
      </c>
      <c r="AJ190" s="208">
        <f t="shared" ref="AJ190:AN193" ca="1" si="181">Z190+AE190</f>
        <v>0</v>
      </c>
      <c r="AK190" s="206">
        <f t="shared" ca="1" si="181"/>
        <v>0</v>
      </c>
      <c r="AL190" s="206">
        <f t="shared" ca="1" si="181"/>
        <v>0</v>
      </c>
      <c r="AM190" s="206">
        <f t="shared" ca="1" si="181"/>
        <v>0</v>
      </c>
      <c r="AN190" s="209">
        <f t="shared" ca="1" si="181"/>
        <v>0</v>
      </c>
      <c r="AP190" s="83" t="s">
        <v>14</v>
      </c>
      <c r="AQ190" s="210" cm="1">
        <f t="array" aca="1" ref="AQ190" ca="1">IFERROR(IF(OR(input_Shift="No", [1]Tables!$BN$4=1), 0, (SUMIFS(rng_out_rx_post_yr1, rng_out_mail_ind, $B190, rng_out_GB_Medispan,"B", rng_out_ds, $C190, rng_out_sel_sp_ind, $D190, rng_out_MSB_excl, $F190)/[1]Tables!$AT$4)/[1]Tables!$BN$4*(1-[1]Tables!$BN$4)), 0) - AQ294 + IFERROR(SUMIFS(rng_out_rx_post_yr1, rng_out_GB_Medispan, "G", rng_out_mail_ind, $B190, rng_out_ds, $C190, rng_out_sel_sp_ind, $D190)/[1]Tables!$AT$4, 0)</f>
        <v>0</v>
      </c>
      <c r="AR190" s="195" cm="1">
        <f t="array" aca="1" ref="AR190" ca="1">IFERROR(IF(OR(input_Shift="No", [1]Tables!$BN$4=1), 0, (SUMIFS(rng_out_rx_post_yr2, rng_out_mail_ind, $B190, rng_out_GB_Medispan,"B", rng_out_ds, $C190, rng_out_sel_sp_ind, $D190, rng_out_MSB_excl, $F190)/[1]Tables!$AT$4)/[1]Tables!$BN$4*(1-[1]Tables!$BN$4)), 0) - AR294 + IFERROR(SUMIFS(rng_out_rx_post_yr2, rng_out_GB_Medispan, "G", rng_out_mail_ind, $B190, rng_out_ds, $C190, rng_out_sel_sp_ind, $D190)/[1]Tables!$AT$4, 0)</f>
        <v>0</v>
      </c>
      <c r="AS190" s="195" cm="1">
        <f t="array" aca="1" ref="AS190" ca="1">IFERROR(IF(OR(input_Shift="No", [1]Tables!$BN$4=1), 0, (SUMIFS(rng_out_rx_post_yr3, rng_out_mail_ind, $B190, rng_out_GB_Medispan,"B", rng_out_ds, $C190, rng_out_sel_sp_ind, $D190, rng_out_MSB_excl, $F190)/[1]Tables!$AT$4)/[1]Tables!$BN$4*(1-[1]Tables!$BN$4)), 0) - AS294 + IFERROR(SUMIFS(rng_out_rx_post_yr3, rng_out_GB_Medispan, "G", rng_out_mail_ind, $B190, rng_out_ds, $C190, rng_out_sel_sp_ind, $D190)/[1]Tables!$AT$4, 0)</f>
        <v>0</v>
      </c>
      <c r="AT190" s="195" cm="1">
        <f t="array" aca="1" ref="AT190" ca="1">IFERROR(IF(OR(input_Shift="No", [1]Tables!$BN$4=1), 0, (SUMIFS(rng_out_rx_post_yr4, rng_out_mail_ind, $B190, rng_out_GB_Medispan,"B", rng_out_ds, $C190, rng_out_sel_sp_ind, $D190, rng_out_MSB_excl, $F190)/[1]Tables!$AT$4)/[1]Tables!$BN$4*(1-[1]Tables!$BN$4)), 0) - AT294 + IFERROR(SUMIFS(rng_out_rx_post_yr4, rng_out_GB_Medispan, "G", rng_out_mail_ind, $B190, rng_out_ds, $C190, rng_out_sel_sp_ind, $D190)/[1]Tables!$AT$4, 0)</f>
        <v>0</v>
      </c>
      <c r="AU190" s="211" cm="1">
        <f t="array" aca="1" ref="AU190" ca="1">IFERROR(IF(OR(input_Shift="No", [1]Tables!$BN$4=1), 0, (SUMIFS(rng_out_rx_post_yr5, rng_out_mail_ind, $B190, rng_out_GB_Medispan,"B", rng_out_ds, $C190, rng_out_sel_sp_ind, $D190, rng_out_MSB_excl, $F190)/[1]Tables!$AT$4)/[1]Tables!$BN$4*(1-[1]Tables!$BN$4)), 0) - AU294 + IFERROR(SUMIFS(rng_out_rx_post_yr5, rng_out_GB_Medispan, "G", rng_out_mail_ind, $B190, rng_out_ds, $C190, rng_out_sel_sp_ind, $D190)/[1]Tables!$AT$4, 0)</f>
        <v>0</v>
      </c>
      <c r="AV190" s="210" t="e" cm="1">
        <f t="array" aca="1" ref="AV190" ca="1">SUMIFS(rng_out_rx_post_yr1, rng_out_GB_Medispan, "B", rng_out_mail_ind, $B190, rng_out_ds, $C190, rng_out_sel_sp_ind, $D190)/[1]Tables!$AT$4 - AV294</f>
        <v>#VALUE!</v>
      </c>
      <c r="AW190" s="195" t="e" cm="1">
        <f t="array" aca="1" ref="AW190" ca="1">SUMIFS(rng_out_rx_post_yr2, rng_out_GB_Medispan, "B", rng_out_mail_ind, $B190, rng_out_ds, $C190, rng_out_sel_sp_ind, $D190)/[1]Tables!$AT$4 - AW294</f>
        <v>#VALUE!</v>
      </c>
      <c r="AX190" s="195" t="e" cm="1">
        <f t="array" aca="1" ref="AX190" ca="1">SUMIFS(rng_out_rx_post_yr3, rng_out_GB_Medispan, "B", rng_out_mail_ind, $B190, rng_out_ds, $C190, rng_out_sel_sp_ind, $D190)/[1]Tables!$AT$4 - AX294</f>
        <v>#VALUE!</v>
      </c>
      <c r="AY190" s="195" t="e" cm="1">
        <f t="array" aca="1" ref="AY190" ca="1">SUMIFS(rng_out_rx_post_yr4, rng_out_GB_Medispan, "B", rng_out_mail_ind, $B190, rng_out_ds, $C190, rng_out_sel_sp_ind, $D190)/[1]Tables!$AT$4 - AY294</f>
        <v>#VALUE!</v>
      </c>
      <c r="AZ190" s="211" t="e" cm="1">
        <f t="array" aca="1" ref="AZ190" ca="1">SUMIFS(rng_out_rx_post_yr5, rng_out_GB_Medispan, "B", rng_out_mail_ind, $B190, rng_out_ds, $C190, rng_out_sel_sp_ind, $D190)/[1]Tables!$AT$4 - AZ294</f>
        <v>#VALUE!</v>
      </c>
      <c r="BA190" s="206" t="e">
        <f t="shared" ref="BA190:BE193" ca="1" si="182">AQ190+AV190</f>
        <v>#VALUE!</v>
      </c>
      <c r="BB190" s="206" t="e">
        <f t="shared" ca="1" si="182"/>
        <v>#VALUE!</v>
      </c>
      <c r="BC190" s="206" t="e">
        <f t="shared" ca="1" si="182"/>
        <v>#VALUE!</v>
      </c>
      <c r="BD190" s="206" t="e">
        <f t="shared" ca="1" si="182"/>
        <v>#VALUE!</v>
      </c>
      <c r="BE190" s="212" t="e">
        <f t="shared" ca="1" si="182"/>
        <v>#VALUE!</v>
      </c>
      <c r="BG190" s="88" t="s">
        <v>14</v>
      </c>
      <c r="BH190" s="213">
        <f t="shared" ref="BH190:BQ193" ca="1" si="183">AQ190</f>
        <v>0</v>
      </c>
      <c r="BI190" s="206">
        <f t="shared" ca="1" si="183"/>
        <v>0</v>
      </c>
      <c r="BJ190" s="206">
        <f t="shared" ca="1" si="183"/>
        <v>0</v>
      </c>
      <c r="BK190" s="206">
        <f t="shared" ca="1" si="183"/>
        <v>0</v>
      </c>
      <c r="BL190" s="214">
        <f t="shared" ca="1" si="183"/>
        <v>0</v>
      </c>
      <c r="BM190" s="213" t="e">
        <f t="shared" ca="1" si="183"/>
        <v>#VALUE!</v>
      </c>
      <c r="BN190" s="206" t="e">
        <f t="shared" ca="1" si="183"/>
        <v>#VALUE!</v>
      </c>
      <c r="BO190" s="206" t="e">
        <f t="shared" ca="1" si="183"/>
        <v>#VALUE!</v>
      </c>
      <c r="BP190" s="206" t="e">
        <f t="shared" ca="1" si="183"/>
        <v>#VALUE!</v>
      </c>
      <c r="BQ190" s="214" t="e">
        <f t="shared" ca="1" si="183"/>
        <v>#VALUE!</v>
      </c>
      <c r="BR190" s="215" t="e">
        <f t="shared" ref="BR190:BV193" ca="1" si="184">BH190+BM190</f>
        <v>#VALUE!</v>
      </c>
      <c r="BS190" s="216" t="e">
        <f t="shared" ca="1" si="184"/>
        <v>#VALUE!</v>
      </c>
      <c r="BT190" s="216" t="e">
        <f t="shared" ca="1" si="184"/>
        <v>#VALUE!</v>
      </c>
      <c r="BU190" s="216" t="e">
        <f t="shared" ca="1" si="184"/>
        <v>#VALUE!</v>
      </c>
      <c r="BV190" s="217" t="e">
        <f t="shared" ca="1" si="184"/>
        <v>#VALUE!</v>
      </c>
      <c r="BX190" s="88" t="s">
        <v>14</v>
      </c>
      <c r="BY190" s="213" t="e">
        <f t="shared" ref="BY190:CC193" ca="1" si="185">BH208</f>
        <v>#VALUE!</v>
      </c>
      <c r="BZ190" s="206" t="e">
        <f t="shared" ca="1" si="185"/>
        <v>#VALUE!</v>
      </c>
      <c r="CA190" s="206" t="e">
        <f t="shared" ca="1" si="185"/>
        <v>#VALUE!</v>
      </c>
      <c r="CB190" s="206" t="e">
        <f t="shared" ca="1" si="185"/>
        <v>#VALUE!</v>
      </c>
      <c r="CC190" s="214" t="e">
        <f t="shared" ca="1" si="185"/>
        <v>#VALUE!</v>
      </c>
      <c r="CD190" s="213" t="e">
        <f t="shared" ref="CD190:CH193" ca="1" si="186">BR199 - DC190</f>
        <v>#VALUE!</v>
      </c>
      <c r="CE190" s="206" t="e">
        <f t="shared" ca="1" si="186"/>
        <v>#VALUE!</v>
      </c>
      <c r="CF190" s="206" t="e">
        <f t="shared" ca="1" si="186"/>
        <v>#VALUE!</v>
      </c>
      <c r="CG190" s="206" t="e">
        <f t="shared" ca="1" si="186"/>
        <v>#VALUE!</v>
      </c>
      <c r="CH190" s="214" t="e">
        <f t="shared" ca="1" si="186"/>
        <v>#VALUE!</v>
      </c>
      <c r="CI190" s="215" t="e">
        <f t="shared" ref="CI190:CM193" ca="1" si="187">BY190+CD190</f>
        <v>#VALUE!</v>
      </c>
      <c r="CJ190" s="216" t="e">
        <f t="shared" ca="1" si="187"/>
        <v>#VALUE!</v>
      </c>
      <c r="CK190" s="216" t="e">
        <f t="shared" ca="1" si="187"/>
        <v>#VALUE!</v>
      </c>
      <c r="CL190" s="216" t="e">
        <f t="shared" ca="1" si="187"/>
        <v>#VALUE!</v>
      </c>
      <c r="CM190" s="217" t="e">
        <f t="shared" ca="1" si="187"/>
        <v>#VALUE!</v>
      </c>
      <c r="CO190" s="215" cm="1">
        <f t="array" aca="1" ref="CO190" ca="1">_xlfn.SINGLE(IFERROR(SUMIFS(rng_out_rx_base, rng_out_GB_Medispan, "G", rng_out_mail_ind, $B190, rng_out_ds, $C190, rng_out_sel_sp_ind, $D190, rng_out_sel_excl_ind,$E190)/[1]Tables!$AT$4, 0))</f>
        <v>0</v>
      </c>
      <c r="CP190" s="217" cm="1">
        <f t="array" aca="1" ref="CP190" ca="1">_xlfn.SINGLE(IFERROR(SUMIFS(rng_out_rx_base, rng_out_GB_Medispan, "B", rng_out_mail_ind, $B190, rng_out_ds, $C190, rng_out_sel_sp_ind, $D190, rng_out_sel_excl_ind,$E190)/[1]Tables!$AT$4, 0))</f>
        <v>0</v>
      </c>
      <c r="CQ190" s="218">
        <f ca="1">SUM(CO190:CP190)</f>
        <v>0</v>
      </c>
      <c r="CR190" s="215" cm="1">
        <f t="array" aca="1" ref="CR190" ca="1">_xlfn.SINGLE(IFERROR(SUMIFS(rng_out_qty_base, rng_out_GB_Medispan, "G", rng_out_mail_ind, $B190, rng_out_ds, $C190, rng_out_sel_sp_ind, $D190, rng_out_sel_excl_ind,$E190)/[1]Tables!$AT$4, 0))</f>
        <v>0</v>
      </c>
      <c r="CS190" s="216" cm="1">
        <f t="array" aca="1" ref="CS190" ca="1">_xlfn.SINGLE(IFERROR(SUMIFS(rng_out_qty_base, rng_out_GB_Medispan, "B", rng_out_mail_ind, $B190, rng_out_ds, $C190, rng_out_sel_sp_ind, $D190, rng_out_sel_excl_ind,$E190)/[1]Tables!$AT$4, 0))</f>
        <v>0</v>
      </c>
      <c r="CT190" s="219">
        <f ca="1">SUM(CR190:CS190)</f>
        <v>0</v>
      </c>
      <c r="CU190" s="215" cm="1">
        <f t="array" aca="1" ref="CU190" ca="1">_xlfn.SINGLE(IFERROR(SUMIFS(rng_out_ds_base, rng_out_GB_Medispan, "G", rng_out_mail_ind, $B190, rng_out_ds, $C190, rng_out_sel_sp_ind, $D190, rng_out_sel_excl_ind,$E190)/[1]Tables!$AT$4, 0))</f>
        <v>0</v>
      </c>
      <c r="CV190" s="217" cm="1">
        <f t="array" aca="1" ref="CV190" ca="1">_xlfn.SINGLE(IFERROR(SUMIFS(rng_out_ds_base, rng_out_GB_Medispan, "B", rng_out_mail_ind, $B190, rng_out_ds, $C190, rng_out_sel_sp_ind, $D190, rng_out_sel_excl_ind,$E190)/[1]Tables!$AT$4, 0))</f>
        <v>0</v>
      </c>
      <c r="CW190" s="218">
        <f ca="1">SUM(CU190:CV190)</f>
        <v>0</v>
      </c>
      <c r="DC190" s="99" t="e" cm="1">
        <f t="array" aca="1" ref="DC190" ca="1">INDEX([1]Tables!$EA$4:$EE$60,MATCH([1]Tables!$C$22&amp;$BX190, [1]Tables!$EA$4:$EA$60, 0), [1]Tables!$ED$1) * BR199 * IFERROR(BY199/BM190, 0) +  BR199 * DI190</f>
        <v>#VALUE!</v>
      </c>
      <c r="DD190" s="100" t="e" cm="1">
        <f t="array" aca="1" ref="DD190" ca="1">INDEX([1]Tables!$EA$4:$EE$60,MATCH([1]Tables!$C$22&amp;$BX190, [1]Tables!$EA$4:$EA$60, 0), [1]Tables!$ED$1) * BS199 * IFERROR(BZ199/BN190, 0) +  BS199 * DJ190</f>
        <v>#VALUE!</v>
      </c>
      <c r="DE190" s="100" t="e" cm="1">
        <f t="array" aca="1" ref="DE190" ca="1">INDEX([1]Tables!$EA$4:$EE$60,MATCH([1]Tables!$C$22&amp;$BX190, [1]Tables!$EA$4:$EA$60, 0), [1]Tables!$ED$1) * BT199 * IFERROR(CA199/BO190, 0) +  BT199 * DK190</f>
        <v>#VALUE!</v>
      </c>
      <c r="DF190" s="100" t="e" cm="1">
        <f t="array" aca="1" ref="DF190" ca="1">INDEX([1]Tables!$EA$4:$EE$60,MATCH([1]Tables!$C$22&amp;$BX190, [1]Tables!$EA$4:$EA$60, 0), [1]Tables!$ED$1) * BU199 * IFERROR(CB199/BP190, 0) +  BU199 * DL190</f>
        <v>#VALUE!</v>
      </c>
      <c r="DG190" s="101" t="e" cm="1">
        <f t="array" aca="1" ref="DG190" ca="1">INDEX([1]Tables!$EA$4:$EE$60,MATCH([1]Tables!$C$22&amp;$BX190, [1]Tables!$EA$4:$EA$60, 0), [1]Tables!$ED$1) * BV199 * IFERROR(CC199/BQ190, 0) +  BV199 * DM190</f>
        <v>#VALUE!</v>
      </c>
      <c r="DI190" s="102" cm="1">
        <f t="array" aca="1" ref="DI190" ca="1">IFERROR((SUMPRODUCT((rng_out_GB_Medispan = "B") * (rng_out_mail_ind = $B190) * (rng_out_ds = $C190) * (rng_out_sel_sp_ind = $D190) * (rng_out_sel_excl_ind = $E190) * (rng_out_post_reb_ind_yr1 = 1) * (rng_out_rx_post_yr1*rng_out_340B))/[1]Tables!$AT$4)/AV190, 0)</f>
        <v>0</v>
      </c>
      <c r="DJ190" s="103" cm="1">
        <f t="array" aca="1" ref="DJ190" ca="1">IFERROR((SUMPRODUCT((rng_out_GB_Medispan = "B") * (rng_out_mail_ind = $B190) * (rng_out_ds = $C190) * (rng_out_sel_sp_ind = $D190) * (rng_out_sel_excl_ind = $E190) * (rng_out_post_reb_ind_yr2 = 1) * (rng_out_rx_post_yr2*rng_out_340B))/[1]Tables!$AT$4)/AW190, 0)</f>
        <v>0</v>
      </c>
      <c r="DK190" s="103" cm="1">
        <f t="array" aca="1" ref="DK190" ca="1">IFERROR((SUMPRODUCT((rng_out_GB_Medispan = "B") * (rng_out_mail_ind = $B190) * (rng_out_ds = $C190) * (rng_out_sel_sp_ind = $D190) * (rng_out_sel_excl_ind = $E190) * (rng_out_post_reb_ind_yr3 = 1) * (rng_out_rx_post_yr3*rng_out_340B))/[1]Tables!$AT$4)/AX190, 0)</f>
        <v>0</v>
      </c>
      <c r="DL190" s="103" cm="1">
        <f t="array" aca="1" ref="DL190" ca="1">IFERROR((SUMPRODUCT((rng_out_GB_Medispan = "B") * (rng_out_mail_ind = $B190) * (rng_out_ds = $C190) * (rng_out_sel_sp_ind = $D190) * (rng_out_sel_excl_ind = $E190) * (rng_out_post_reb_ind_yr4 = 1) * (rng_out_rx_post_yr4*rng_out_340B))/[1]Tables!$AT$4)/AY190, 0)</f>
        <v>0</v>
      </c>
      <c r="DM190" s="104" cm="1">
        <f t="array" aca="1" ref="DM190" ca="1">IFERROR((SUMPRODUCT((rng_out_GB_Medispan = "B") * (rng_out_mail_ind = $B190) * (rng_out_ds = $C190) * (rng_out_sel_sp_ind = $D190) * (rng_out_sel_excl_ind = $E190) * (rng_out_post_reb_ind_yr5 = 1) * (rng_out_rx_post_yr5*rng_out_340B))/[1]Tables!$AT$4)/AZ190, 0)</f>
        <v>0</v>
      </c>
    </row>
    <row r="191" spans="2:117" x14ac:dyDescent="0.35">
      <c r="B191" s="105" t="s">
        <v>11</v>
      </c>
      <c r="C191" s="106">
        <v>90</v>
      </c>
      <c r="D191" s="106" t="s">
        <v>12</v>
      </c>
      <c r="E191" s="107" t="s">
        <v>12</v>
      </c>
      <c r="F191" s="106">
        <v>1</v>
      </c>
      <c r="H191" s="108" t="s">
        <v>15</v>
      </c>
      <c r="I191" s="203" t="e" cm="1">
        <f t="array" aca="1" ref="I191" ca="1">SUMIFS(rng_out_rx_pre_yr1, rng_out_GB_Medispan, "G", rng_out_mail_ind, $B191, rng_out_ds, $C191, rng_out_sel_sp_ind, $D191) - I295</f>
        <v>#VALUE!</v>
      </c>
      <c r="J191" s="195" t="e" cm="1">
        <f t="array" aca="1" ref="J191" ca="1">SUMIFS(rng_out_rx_pre_yr2, rng_out_GB_Medispan, "G", rng_out_mail_ind, $B191, rng_out_ds, $C191, rng_out_sel_sp_ind, $D191) - J295</f>
        <v>#VALUE!</v>
      </c>
      <c r="K191" s="195" t="e" cm="1">
        <f t="array" aca="1" ref="K191" ca="1">SUMIFS(rng_out_rx_pre_yr3, rng_out_GB_Medispan, "G", rng_out_mail_ind, $B191, rng_out_ds, $C191, rng_out_sel_sp_ind, $D191) - K295</f>
        <v>#VALUE!</v>
      </c>
      <c r="L191" s="195" t="e" cm="1">
        <f t="array" aca="1" ref="L191" ca="1">SUMIFS(rng_out_rx_pre_yr4, rng_out_GB_Medispan, "G", rng_out_mail_ind, $B191, rng_out_ds, $C191, rng_out_sel_sp_ind, $D191) - L295</f>
        <v>#VALUE!</v>
      </c>
      <c r="M191" s="204" t="e" cm="1">
        <f t="array" aca="1" ref="M191" ca="1">SUMIFS(rng_out_rx_pre_yr5, rng_out_GB_Medispan, "G", rng_out_mail_ind, $B191, rng_out_ds, $C191, rng_out_sel_sp_ind, $D191) - M295</f>
        <v>#VALUE!</v>
      </c>
      <c r="N191" s="203" t="e" cm="1">
        <f t="array" aca="1" ref="N191" ca="1">SUMIFS(rng_out_rx_pre_yr1, rng_out_GB_Medispan, "B", rng_out_mail_ind, $B191, rng_out_ds, $C191, rng_out_sel_sp_ind, $D191) - N295</f>
        <v>#VALUE!</v>
      </c>
      <c r="O191" s="195" t="e" cm="1">
        <f t="array" aca="1" ref="O191" ca="1">SUMIFS(rng_out_rx_pre_yr2, rng_out_GB_Medispan, "B", rng_out_mail_ind, $B191, rng_out_ds, $C191, rng_out_sel_sp_ind, $D191) - O295</f>
        <v>#VALUE!</v>
      </c>
      <c r="P191" s="195" t="e" cm="1">
        <f t="array" aca="1" ref="P191" ca="1">SUMIFS(rng_out_rx_pre_yr3, rng_out_GB_Medispan, "B", rng_out_mail_ind, $B191, rng_out_ds, $C191, rng_out_sel_sp_ind, $D191) - P295</f>
        <v>#VALUE!</v>
      </c>
      <c r="Q191" s="195" t="e" cm="1">
        <f t="array" aca="1" ref="Q191" ca="1">SUMIFS(rng_out_rx_pre_yr4, rng_out_GB_Medispan, "B", rng_out_mail_ind, $B191, rng_out_ds, $C191, rng_out_sel_sp_ind, $D191) - Q295</f>
        <v>#VALUE!</v>
      </c>
      <c r="R191" s="204" t="e" cm="1">
        <f t="array" aca="1" ref="R191" ca="1">SUMIFS(rng_out_rx_pre_yr5, rng_out_GB_Medispan, "B", rng_out_mail_ind, $B191, rng_out_ds, $C191, rng_out_sel_sp_ind, $D191) - R295</f>
        <v>#VALUE!</v>
      </c>
      <c r="S191" s="205" t="e">
        <f t="shared" ca="1" si="180"/>
        <v>#VALUE!</v>
      </c>
      <c r="T191" s="206" t="e">
        <f t="shared" ca="1" si="180"/>
        <v>#VALUE!</v>
      </c>
      <c r="U191" s="206" t="e">
        <f t="shared" ca="1" si="180"/>
        <v>#VALUE!</v>
      </c>
      <c r="V191" s="206" t="e">
        <f t="shared" ca="1" si="180"/>
        <v>#VALUE!</v>
      </c>
      <c r="W191" s="207" t="e">
        <f t="shared" ca="1" si="180"/>
        <v>#VALUE!</v>
      </c>
      <c r="Y191" s="109" t="s">
        <v>15</v>
      </c>
      <c r="Z191" s="208">
        <f ca="1">IFERROR(I191/[1]Tables!$AT$4, 0)</f>
        <v>0</v>
      </c>
      <c r="AA191" s="206">
        <f ca="1">IFERROR(J191/[1]Tables!$AT$4, 0)</f>
        <v>0</v>
      </c>
      <c r="AB191" s="206">
        <f ca="1">IFERROR(K191/[1]Tables!$AT$4, 0)</f>
        <v>0</v>
      </c>
      <c r="AC191" s="206">
        <f ca="1">IFERROR(L191/[1]Tables!$AT$4, 0)</f>
        <v>0</v>
      </c>
      <c r="AD191" s="209">
        <f ca="1">IFERROR(M191/[1]Tables!$AT$4, 0)</f>
        <v>0</v>
      </c>
      <c r="AE191" s="208">
        <f ca="1">IFERROR(N191/[1]Tables!$AT$4, 0)</f>
        <v>0</v>
      </c>
      <c r="AF191" s="206">
        <f ca="1">IFERROR(O191/[1]Tables!$AT$4, 0)</f>
        <v>0</v>
      </c>
      <c r="AG191" s="206">
        <f ca="1">IFERROR(P191/[1]Tables!$AT$4, 0)</f>
        <v>0</v>
      </c>
      <c r="AH191" s="206">
        <f ca="1">IFERROR(Q191/[1]Tables!$AT$4, 0)</f>
        <v>0</v>
      </c>
      <c r="AI191" s="209">
        <f ca="1">IFERROR(R191/[1]Tables!$AT$4, 0)</f>
        <v>0</v>
      </c>
      <c r="AJ191" s="208">
        <f t="shared" ca="1" si="181"/>
        <v>0</v>
      </c>
      <c r="AK191" s="206">
        <f t="shared" ca="1" si="181"/>
        <v>0</v>
      </c>
      <c r="AL191" s="206">
        <f t="shared" ca="1" si="181"/>
        <v>0</v>
      </c>
      <c r="AM191" s="206">
        <f t="shared" ca="1" si="181"/>
        <v>0</v>
      </c>
      <c r="AN191" s="209">
        <f t="shared" ca="1" si="181"/>
        <v>0</v>
      </c>
      <c r="AP191" s="110" t="s">
        <v>15</v>
      </c>
      <c r="AQ191" s="210" cm="1">
        <f t="array" aca="1" ref="AQ191" ca="1">IFERROR(IF(OR(input_Shift="No", [1]Tables!$BN$4=1), 0, (SUMIFS(rng_out_rx_post_yr1, rng_out_mail_ind, $B191, rng_out_GB_Medispan,"B", rng_out_ds, $C191, rng_out_sel_sp_ind, $D191, rng_out_MSB_excl, $F191)/[1]Tables!$AT$4)/[1]Tables!$BN$4*(1-[1]Tables!$BN$4)), 0) - AQ295 + IFERROR(SUMIFS(rng_out_rx_post_yr1, rng_out_GB_Medispan, "G", rng_out_mail_ind, $B191, rng_out_ds, $C191, rng_out_sel_sp_ind, $D191)/[1]Tables!$AT$4, 0)</f>
        <v>0</v>
      </c>
      <c r="AR191" s="195" cm="1">
        <f t="array" aca="1" ref="AR191" ca="1">IFERROR(IF(OR(input_Shift="No", [1]Tables!$BN$4=1), 0, (SUMIFS(rng_out_rx_post_yr2, rng_out_mail_ind, $B191, rng_out_GB_Medispan,"B", rng_out_ds, $C191, rng_out_sel_sp_ind, $D191, rng_out_MSB_excl, $F191)/[1]Tables!$AT$4)/[1]Tables!$BN$4*(1-[1]Tables!$BN$4)), 0) - AR295 + IFERROR(SUMIFS(rng_out_rx_post_yr2, rng_out_GB_Medispan, "G", rng_out_mail_ind, $B191, rng_out_ds, $C191, rng_out_sel_sp_ind, $D191)/[1]Tables!$AT$4, 0)</f>
        <v>0</v>
      </c>
      <c r="AS191" s="195" cm="1">
        <f t="array" aca="1" ref="AS191" ca="1">IFERROR(IF(OR(input_Shift="No", [1]Tables!$BN$4=1), 0, (SUMIFS(rng_out_rx_post_yr3, rng_out_mail_ind, $B191, rng_out_GB_Medispan,"B", rng_out_ds, $C191, rng_out_sel_sp_ind, $D191, rng_out_MSB_excl, $F191)/[1]Tables!$AT$4)/[1]Tables!$BN$4*(1-[1]Tables!$BN$4)), 0) - AS295 + IFERROR(SUMIFS(rng_out_rx_post_yr3, rng_out_GB_Medispan, "G", rng_out_mail_ind, $B191, rng_out_ds, $C191, rng_out_sel_sp_ind, $D191)/[1]Tables!$AT$4, 0)</f>
        <v>0</v>
      </c>
      <c r="AT191" s="195" cm="1">
        <f t="array" aca="1" ref="AT191" ca="1">IFERROR(IF(OR(input_Shift="No", [1]Tables!$BN$4=1), 0, (SUMIFS(rng_out_rx_post_yr4, rng_out_mail_ind, $B191, rng_out_GB_Medispan,"B", rng_out_ds, $C191, rng_out_sel_sp_ind, $D191, rng_out_MSB_excl, $F191)/[1]Tables!$AT$4)/[1]Tables!$BN$4*(1-[1]Tables!$BN$4)), 0) - AT295 + IFERROR(SUMIFS(rng_out_rx_post_yr4, rng_out_GB_Medispan, "G", rng_out_mail_ind, $B191, rng_out_ds, $C191, rng_out_sel_sp_ind, $D191)/[1]Tables!$AT$4, 0)</f>
        <v>0</v>
      </c>
      <c r="AU191" s="211" cm="1">
        <f t="array" aca="1" ref="AU191" ca="1">IFERROR(IF(OR(input_Shift="No", [1]Tables!$BN$4=1), 0, (SUMIFS(rng_out_rx_post_yr5, rng_out_mail_ind, $B191, rng_out_GB_Medispan,"B", rng_out_ds, $C191, rng_out_sel_sp_ind, $D191, rng_out_MSB_excl, $F191)/[1]Tables!$AT$4)/[1]Tables!$BN$4*(1-[1]Tables!$BN$4)), 0) - AU295 + IFERROR(SUMIFS(rng_out_rx_post_yr5, rng_out_GB_Medispan, "G", rng_out_mail_ind, $B191, rng_out_ds, $C191, rng_out_sel_sp_ind, $D191)/[1]Tables!$AT$4, 0)</f>
        <v>0</v>
      </c>
      <c r="AV191" s="210" t="e" cm="1">
        <f t="array" aca="1" ref="AV191" ca="1">SUMIFS(rng_out_rx_post_yr1, rng_out_GB_Medispan, "B", rng_out_mail_ind, $B191, rng_out_ds, $C191, rng_out_sel_sp_ind, $D191)/[1]Tables!$AT$4 - AV295</f>
        <v>#VALUE!</v>
      </c>
      <c r="AW191" s="195" t="e" cm="1">
        <f t="array" aca="1" ref="AW191" ca="1">SUMIFS(rng_out_rx_post_yr2, rng_out_GB_Medispan, "B", rng_out_mail_ind, $B191, rng_out_ds, $C191, rng_out_sel_sp_ind, $D191)/[1]Tables!$AT$4 - AW295</f>
        <v>#VALUE!</v>
      </c>
      <c r="AX191" s="195" t="e" cm="1">
        <f t="array" aca="1" ref="AX191" ca="1">SUMIFS(rng_out_rx_post_yr3, rng_out_GB_Medispan, "B", rng_out_mail_ind, $B191, rng_out_ds, $C191, rng_out_sel_sp_ind, $D191)/[1]Tables!$AT$4 - AX295</f>
        <v>#VALUE!</v>
      </c>
      <c r="AY191" s="195" t="e" cm="1">
        <f t="array" aca="1" ref="AY191" ca="1">SUMIFS(rng_out_rx_post_yr4, rng_out_GB_Medispan, "B", rng_out_mail_ind, $B191, rng_out_ds, $C191, rng_out_sel_sp_ind, $D191)/[1]Tables!$AT$4 - AY295</f>
        <v>#VALUE!</v>
      </c>
      <c r="AZ191" s="211" t="e" cm="1">
        <f t="array" aca="1" ref="AZ191" ca="1">SUMIFS(rng_out_rx_post_yr5, rng_out_GB_Medispan, "B", rng_out_mail_ind, $B191, rng_out_ds, $C191, rng_out_sel_sp_ind, $D191)/[1]Tables!$AT$4 - AZ295</f>
        <v>#VALUE!</v>
      </c>
      <c r="BA191" s="206" t="e">
        <f t="shared" ca="1" si="182"/>
        <v>#VALUE!</v>
      </c>
      <c r="BB191" s="206" t="e">
        <f t="shared" ca="1" si="182"/>
        <v>#VALUE!</v>
      </c>
      <c r="BC191" s="206" t="e">
        <f t="shared" ca="1" si="182"/>
        <v>#VALUE!</v>
      </c>
      <c r="BD191" s="206" t="e">
        <f t="shared" ca="1" si="182"/>
        <v>#VALUE!</v>
      </c>
      <c r="BE191" s="212" t="e">
        <f t="shared" ca="1" si="182"/>
        <v>#VALUE!</v>
      </c>
      <c r="BG191" s="111" t="s">
        <v>15</v>
      </c>
      <c r="BH191" s="213">
        <f t="shared" ca="1" si="183"/>
        <v>0</v>
      </c>
      <c r="BI191" s="206">
        <f t="shared" ca="1" si="183"/>
        <v>0</v>
      </c>
      <c r="BJ191" s="206">
        <f t="shared" ca="1" si="183"/>
        <v>0</v>
      </c>
      <c r="BK191" s="206">
        <f t="shared" ca="1" si="183"/>
        <v>0</v>
      </c>
      <c r="BL191" s="214">
        <f t="shared" ca="1" si="183"/>
        <v>0</v>
      </c>
      <c r="BM191" s="213" t="e">
        <f t="shared" ca="1" si="183"/>
        <v>#VALUE!</v>
      </c>
      <c r="BN191" s="206" t="e">
        <f t="shared" ca="1" si="183"/>
        <v>#VALUE!</v>
      </c>
      <c r="BO191" s="206" t="e">
        <f t="shared" ca="1" si="183"/>
        <v>#VALUE!</v>
      </c>
      <c r="BP191" s="206" t="e">
        <f t="shared" ca="1" si="183"/>
        <v>#VALUE!</v>
      </c>
      <c r="BQ191" s="214" t="e">
        <f t="shared" ca="1" si="183"/>
        <v>#VALUE!</v>
      </c>
      <c r="BR191" s="213" t="e">
        <f t="shared" ca="1" si="184"/>
        <v>#VALUE!</v>
      </c>
      <c r="BS191" s="206" t="e">
        <f t="shared" ca="1" si="184"/>
        <v>#VALUE!</v>
      </c>
      <c r="BT191" s="206" t="e">
        <f t="shared" ca="1" si="184"/>
        <v>#VALUE!</v>
      </c>
      <c r="BU191" s="206" t="e">
        <f t="shared" ca="1" si="184"/>
        <v>#VALUE!</v>
      </c>
      <c r="BV191" s="214" t="e">
        <f t="shared" ca="1" si="184"/>
        <v>#VALUE!</v>
      </c>
      <c r="BX191" s="111" t="s">
        <v>15</v>
      </c>
      <c r="BY191" s="213" t="e">
        <f t="shared" ca="1" si="185"/>
        <v>#VALUE!</v>
      </c>
      <c r="BZ191" s="206" t="e">
        <f t="shared" ca="1" si="185"/>
        <v>#VALUE!</v>
      </c>
      <c r="CA191" s="206" t="e">
        <f t="shared" ca="1" si="185"/>
        <v>#VALUE!</v>
      </c>
      <c r="CB191" s="206" t="e">
        <f t="shared" ca="1" si="185"/>
        <v>#VALUE!</v>
      </c>
      <c r="CC191" s="214" t="e">
        <f t="shared" ca="1" si="185"/>
        <v>#VALUE!</v>
      </c>
      <c r="CD191" s="213" t="e">
        <f t="shared" ca="1" si="186"/>
        <v>#VALUE!</v>
      </c>
      <c r="CE191" s="206" t="e">
        <f t="shared" ca="1" si="186"/>
        <v>#VALUE!</v>
      </c>
      <c r="CF191" s="206" t="e">
        <f t="shared" ca="1" si="186"/>
        <v>#VALUE!</v>
      </c>
      <c r="CG191" s="206" t="e">
        <f t="shared" ca="1" si="186"/>
        <v>#VALUE!</v>
      </c>
      <c r="CH191" s="214" t="e">
        <f t="shared" ca="1" si="186"/>
        <v>#VALUE!</v>
      </c>
      <c r="CI191" s="213" t="e">
        <f t="shared" ca="1" si="187"/>
        <v>#VALUE!</v>
      </c>
      <c r="CJ191" s="206" t="e">
        <f t="shared" ca="1" si="187"/>
        <v>#VALUE!</v>
      </c>
      <c r="CK191" s="206" t="e">
        <f t="shared" ca="1" si="187"/>
        <v>#VALUE!</v>
      </c>
      <c r="CL191" s="206" t="e">
        <f t="shared" ca="1" si="187"/>
        <v>#VALUE!</v>
      </c>
      <c r="CM191" s="214" t="e">
        <f t="shared" ca="1" si="187"/>
        <v>#VALUE!</v>
      </c>
      <c r="CO191" s="213" cm="1">
        <f t="array" aca="1" ref="CO191" ca="1">_xlfn.SINGLE(IFERROR(SUMIFS(rng_out_rx_base, rng_out_GB_Medispan, "G", rng_out_mail_ind, $B191, rng_out_ds, $C191, rng_out_sel_sp_ind, $D191, rng_out_sel_excl_ind,$E191)/[1]Tables!$AT$4, 0))</f>
        <v>0</v>
      </c>
      <c r="CP191" s="214" cm="1">
        <f t="array" aca="1" ref="CP191" ca="1">_xlfn.SINGLE(IFERROR(SUMIFS(rng_out_rx_base, rng_out_GB_Medispan, "B", rng_out_mail_ind, $B191, rng_out_ds, $C191, rng_out_sel_sp_ind, $D191, rng_out_sel_excl_ind,$E191)/[1]Tables!$AT$4, 0))</f>
        <v>0</v>
      </c>
      <c r="CQ191" s="220">
        <f ca="1">SUM(CO191:CP191)</f>
        <v>0</v>
      </c>
      <c r="CR191" s="213" cm="1">
        <f t="array" aca="1" ref="CR191" ca="1">_xlfn.SINGLE(IFERROR(SUMIFS(rng_out_qty_base, rng_out_GB_Medispan, "G", rng_out_mail_ind, $B191, rng_out_ds, $C191, rng_out_sel_sp_ind, $D191, rng_out_sel_excl_ind,$E191)/[1]Tables!$AT$4, 0))</f>
        <v>0</v>
      </c>
      <c r="CS191" s="206" cm="1">
        <f t="array" aca="1" ref="CS191" ca="1">_xlfn.SINGLE(IFERROR(SUMIFS(rng_out_qty_base, rng_out_GB_Medispan, "B", rng_out_mail_ind, $B191, rng_out_ds, $C191, rng_out_sel_sp_ind, $D191, rng_out_sel_excl_ind,$E191)/[1]Tables!$AT$4, 0))</f>
        <v>0</v>
      </c>
      <c r="CT191" s="221">
        <f ca="1">SUM(CR191:CS191)</f>
        <v>0</v>
      </c>
      <c r="CU191" s="213" cm="1">
        <f t="array" aca="1" ref="CU191" ca="1">_xlfn.SINGLE(IFERROR(SUMIFS(rng_out_ds_base, rng_out_GB_Medispan, "G", rng_out_mail_ind, $B191, rng_out_ds, $C191, rng_out_sel_sp_ind, $D191, rng_out_sel_excl_ind,$E191)/[1]Tables!$AT$4, 0))</f>
        <v>0</v>
      </c>
      <c r="CV191" s="214" cm="1">
        <f t="array" aca="1" ref="CV191" ca="1">_xlfn.SINGLE(IFERROR(SUMIFS(rng_out_ds_base, rng_out_GB_Medispan, "B", rng_out_mail_ind, $B191, rng_out_ds, $C191, rng_out_sel_sp_ind, $D191, rng_out_sel_excl_ind,$E191)/[1]Tables!$AT$4, 0))</f>
        <v>0</v>
      </c>
      <c r="CW191" s="220">
        <f ca="1">SUM(CU191:CV191)</f>
        <v>0</v>
      </c>
      <c r="DC191" s="112" t="e" cm="1">
        <f t="array" aca="1" ref="DC191" ca="1">INDEX([1]Tables!$EA$4:$EE$60,MATCH([1]Tables!$C$22&amp;$BX191, [1]Tables!$EA$4:$EA$60, 0), [1]Tables!$ED$1) * BR200 * IFERROR(BY200/BM191, 0) +  BR200 * DI191</f>
        <v>#VALUE!</v>
      </c>
      <c r="DD191" s="113" t="e" cm="1">
        <f t="array" aca="1" ref="DD191" ca="1">INDEX([1]Tables!$EA$4:$EE$60,MATCH([1]Tables!$C$22&amp;$BX191, [1]Tables!$EA$4:$EA$60, 0), [1]Tables!$ED$1) * BS200 * IFERROR(BZ200/BN191, 0) +  BS200 * DJ191</f>
        <v>#VALUE!</v>
      </c>
      <c r="DE191" s="113" t="e" cm="1">
        <f t="array" aca="1" ref="DE191" ca="1">INDEX([1]Tables!$EA$4:$EE$60,MATCH([1]Tables!$C$22&amp;$BX191, [1]Tables!$EA$4:$EA$60, 0), [1]Tables!$ED$1) * BT200 * IFERROR(CA200/BO191, 0) +  BT200 * DK191</f>
        <v>#VALUE!</v>
      </c>
      <c r="DF191" s="113" t="e" cm="1">
        <f t="array" aca="1" ref="DF191" ca="1">INDEX([1]Tables!$EA$4:$EE$60,MATCH([1]Tables!$C$22&amp;$BX191, [1]Tables!$EA$4:$EA$60, 0), [1]Tables!$ED$1) * BU200 * IFERROR(CB200/BP191, 0) +  BU200 * DL191</f>
        <v>#VALUE!</v>
      </c>
      <c r="DG191" s="114" t="e" cm="1">
        <f t="array" aca="1" ref="DG191" ca="1">INDEX([1]Tables!$EA$4:$EE$60,MATCH([1]Tables!$C$22&amp;$BX191, [1]Tables!$EA$4:$EA$60, 0), [1]Tables!$ED$1) * BV200 * IFERROR(CC200/BQ191, 0) +  BV200 * DM191</f>
        <v>#VALUE!</v>
      </c>
      <c r="DI191" s="115" cm="1">
        <f t="array" aca="1" ref="DI191" ca="1">IFERROR((SUMPRODUCT((rng_out_GB_Medispan = "B") * (rng_out_mail_ind = $B191) * (rng_out_ds = $C191) * (rng_out_sel_sp_ind = $D191) * (rng_out_sel_excl_ind = $E191) * (rng_out_post_reb_ind_yr1 = 1) * (rng_out_rx_post_yr1*rng_out_340B))/[1]Tables!$AT$4)/AV191, 0)</f>
        <v>0</v>
      </c>
      <c r="DJ191" s="116" cm="1">
        <f t="array" aca="1" ref="DJ191" ca="1">IFERROR((SUMPRODUCT((rng_out_GB_Medispan = "B") * (rng_out_mail_ind = $B191) * (rng_out_ds = $C191) * (rng_out_sel_sp_ind = $D191) * (rng_out_sel_excl_ind = $E191) * (rng_out_post_reb_ind_yr2 = 1) * (rng_out_rx_post_yr2*rng_out_340B))/[1]Tables!$AT$4)/AW191, 0)</f>
        <v>0</v>
      </c>
      <c r="DK191" s="116" cm="1">
        <f t="array" aca="1" ref="DK191" ca="1">IFERROR((SUMPRODUCT((rng_out_GB_Medispan = "B") * (rng_out_mail_ind = $B191) * (rng_out_ds = $C191) * (rng_out_sel_sp_ind = $D191) * (rng_out_sel_excl_ind = $E191) * (rng_out_post_reb_ind_yr3 = 1) * (rng_out_rx_post_yr3*rng_out_340B))/[1]Tables!$AT$4)/AX191, 0)</f>
        <v>0</v>
      </c>
      <c r="DL191" s="116" cm="1">
        <f t="array" aca="1" ref="DL191" ca="1">IFERROR((SUMPRODUCT((rng_out_GB_Medispan = "B") * (rng_out_mail_ind = $B191) * (rng_out_ds = $C191) * (rng_out_sel_sp_ind = $D191) * (rng_out_sel_excl_ind = $E191) * (rng_out_post_reb_ind_yr4 = 1) * (rng_out_rx_post_yr4*rng_out_340B))/[1]Tables!$AT$4)/AY191, 0)</f>
        <v>0</v>
      </c>
      <c r="DM191" s="117" cm="1">
        <f t="array" aca="1" ref="DM191" ca="1">IFERROR((SUMPRODUCT((rng_out_GB_Medispan = "B") * (rng_out_mail_ind = $B191) * (rng_out_ds = $C191) * (rng_out_sel_sp_ind = $D191) * (rng_out_sel_excl_ind = $E191) * (rng_out_post_reb_ind_yr5 = 1) * (rng_out_rx_post_yr5*rng_out_340B))/[1]Tables!$AT$4)/AZ191, 0)</f>
        <v>0</v>
      </c>
    </row>
    <row r="192" spans="2:117" x14ac:dyDescent="0.35">
      <c r="B192" s="105" t="s">
        <v>16</v>
      </c>
      <c r="C192" s="106"/>
      <c r="D192" s="106" t="s">
        <v>12</v>
      </c>
      <c r="E192" s="107" t="s">
        <v>12</v>
      </c>
      <c r="F192" s="106">
        <v>1</v>
      </c>
      <c r="H192" s="118" t="s">
        <v>7</v>
      </c>
      <c r="I192" s="203" t="e" cm="1">
        <f t="array" aca="1" ref="I192" ca="1">SUMIFS(rng_out_rx_pre_yr1, rng_out_GB_Medispan, "G", rng_out_mail_ind, $B192, rng_out_sel_sp_ind, $D192) - I296</f>
        <v>#VALUE!</v>
      </c>
      <c r="J192" s="195" t="e" cm="1">
        <f t="array" aca="1" ref="J192" ca="1">SUMIFS(rng_out_rx_pre_yr2, rng_out_GB_Medispan, "G", rng_out_mail_ind, $B192, rng_out_sel_sp_ind, $D192) - J296</f>
        <v>#VALUE!</v>
      </c>
      <c r="K192" s="195" t="e" cm="1">
        <f t="array" aca="1" ref="K192" ca="1">SUMIFS(rng_out_rx_pre_yr3, rng_out_GB_Medispan, "G", rng_out_mail_ind, $B192, rng_out_sel_sp_ind, $D192) - K296</f>
        <v>#VALUE!</v>
      </c>
      <c r="L192" s="195" t="e" cm="1">
        <f t="array" aca="1" ref="L192" ca="1">SUMIFS(rng_out_rx_pre_yr4, rng_out_GB_Medispan, "G", rng_out_mail_ind, $B192, rng_out_sel_sp_ind, $D192) - L296</f>
        <v>#VALUE!</v>
      </c>
      <c r="M192" s="204" t="e" cm="1">
        <f t="array" aca="1" ref="M192" ca="1">SUMIFS(rng_out_rx_pre_yr5, rng_out_GB_Medispan, "G", rng_out_mail_ind, $B192, rng_out_sel_sp_ind, $D192) - M296</f>
        <v>#VALUE!</v>
      </c>
      <c r="N192" s="203" t="e" cm="1">
        <f t="array" aca="1" ref="N192" ca="1">SUMIFS(rng_out_rx_pre_yr1, rng_out_GB_Medispan, "B", rng_out_mail_ind, $B192, rng_out_sel_sp_ind, $D192) - N296</f>
        <v>#VALUE!</v>
      </c>
      <c r="O192" s="195" t="e" cm="1">
        <f t="array" aca="1" ref="O192" ca="1">SUMIFS(rng_out_rx_pre_yr2, rng_out_GB_Medispan, "B", rng_out_mail_ind, $B192, rng_out_sel_sp_ind, $D192) - O296</f>
        <v>#VALUE!</v>
      </c>
      <c r="P192" s="195" t="e" cm="1">
        <f t="array" aca="1" ref="P192" ca="1">SUMIFS(rng_out_rx_pre_yr3, rng_out_GB_Medispan, "B", rng_out_mail_ind, $B192, rng_out_sel_sp_ind, $D192) - P296</f>
        <v>#VALUE!</v>
      </c>
      <c r="Q192" s="195" t="e" cm="1">
        <f t="array" aca="1" ref="Q192" ca="1">SUMIFS(rng_out_rx_pre_yr4, rng_out_GB_Medispan, "B", rng_out_mail_ind, $B192, rng_out_sel_sp_ind, $D192) - Q296</f>
        <v>#VALUE!</v>
      </c>
      <c r="R192" s="204" t="e" cm="1">
        <f t="array" aca="1" ref="R192" ca="1">SUMIFS(rng_out_rx_pre_yr5, rng_out_GB_Medispan, "B", rng_out_mail_ind, $B192, rng_out_sel_sp_ind, $D192) - R296</f>
        <v>#VALUE!</v>
      </c>
      <c r="S192" s="205" t="e">
        <f t="shared" ca="1" si="180"/>
        <v>#VALUE!</v>
      </c>
      <c r="T192" s="206" t="e">
        <f t="shared" ca="1" si="180"/>
        <v>#VALUE!</v>
      </c>
      <c r="U192" s="206" t="e">
        <f t="shared" ca="1" si="180"/>
        <v>#VALUE!</v>
      </c>
      <c r="V192" s="206" t="e">
        <f t="shared" ca="1" si="180"/>
        <v>#VALUE!</v>
      </c>
      <c r="W192" s="207" t="e">
        <f t="shared" ca="1" si="180"/>
        <v>#VALUE!</v>
      </c>
      <c r="Y192" s="119" t="s">
        <v>7</v>
      </c>
      <c r="Z192" s="208">
        <f ca="1">IFERROR(I192/[1]Tables!$AT$4, 0)</f>
        <v>0</v>
      </c>
      <c r="AA192" s="206">
        <f ca="1">IFERROR(J192/[1]Tables!$AT$4, 0)</f>
        <v>0</v>
      </c>
      <c r="AB192" s="206">
        <f ca="1">IFERROR(K192/[1]Tables!$AT$4, 0)</f>
        <v>0</v>
      </c>
      <c r="AC192" s="206">
        <f ca="1">IFERROR(L192/[1]Tables!$AT$4, 0)</f>
        <v>0</v>
      </c>
      <c r="AD192" s="209">
        <f ca="1">IFERROR(M192/[1]Tables!$AT$4, 0)</f>
        <v>0</v>
      </c>
      <c r="AE192" s="208">
        <f ca="1">IFERROR(N192/[1]Tables!$AT$4, 0)</f>
        <v>0</v>
      </c>
      <c r="AF192" s="206">
        <f ca="1">IFERROR(O192/[1]Tables!$AT$4, 0)</f>
        <v>0</v>
      </c>
      <c r="AG192" s="206">
        <f ca="1">IFERROR(P192/[1]Tables!$AT$4, 0)</f>
        <v>0</v>
      </c>
      <c r="AH192" s="206">
        <f ca="1">IFERROR(Q192/[1]Tables!$AT$4, 0)</f>
        <v>0</v>
      </c>
      <c r="AI192" s="209">
        <f ca="1">IFERROR(R192/[1]Tables!$AT$4, 0)</f>
        <v>0</v>
      </c>
      <c r="AJ192" s="208">
        <f t="shared" ca="1" si="181"/>
        <v>0</v>
      </c>
      <c r="AK192" s="206">
        <f t="shared" ca="1" si="181"/>
        <v>0</v>
      </c>
      <c r="AL192" s="206">
        <f t="shared" ca="1" si="181"/>
        <v>0</v>
      </c>
      <c r="AM192" s="206">
        <f t="shared" ca="1" si="181"/>
        <v>0</v>
      </c>
      <c r="AN192" s="209">
        <f t="shared" ca="1" si="181"/>
        <v>0</v>
      </c>
      <c r="AP192" s="120" t="s">
        <v>7</v>
      </c>
      <c r="AQ192" s="210" cm="1">
        <f t="array" aca="1" ref="AQ192" ca="1">IFERROR(IF(OR(input_Shift="No", [1]Tables!$BN$4=1), 0, (SUMIFS(rng_out_rx_post_yr1, rng_out_mail_ind, $B192, rng_out_GB_Medispan,"B", rng_out_sel_sp_ind, $D192, rng_out_MSB_excl, $F192)/[1]Tables!$AT$4)/[1]Tables!$BN$4*(1-[1]Tables!$BN$4)), 0) - AQ296 + IFERROR(SUMIFS(rng_out_rx_post_yr1, rng_out_GB_Medispan, "G", rng_out_mail_ind, $B192, rng_out_sel_sp_ind, $D192)/[1]Tables!$AT$4, 0)</f>
        <v>0</v>
      </c>
      <c r="AR192" s="195" cm="1">
        <f t="array" aca="1" ref="AR192" ca="1">IFERROR(IF(OR(input_Shift="No", [1]Tables!$BN$4=1), 0, (SUMIFS(rng_out_rx_post_yr2, rng_out_mail_ind, $B192, rng_out_GB_Medispan,"B", rng_out_sel_sp_ind, $D192, rng_out_MSB_excl, $F192)/[1]Tables!$AT$4)/[1]Tables!$BN$4*(1-[1]Tables!$BN$4)), 0) - AR296 + IFERROR(SUMIFS(rng_out_rx_post_yr2, rng_out_GB_Medispan, "G", rng_out_mail_ind, $B192, rng_out_sel_sp_ind, $D192)/[1]Tables!$AT$4, 0)</f>
        <v>0</v>
      </c>
      <c r="AS192" s="195" cm="1">
        <f t="array" aca="1" ref="AS192" ca="1">IFERROR(IF(OR(input_Shift="No", [1]Tables!$BN$4=1), 0, (SUMIFS(rng_out_rx_post_yr3, rng_out_mail_ind, $B192, rng_out_GB_Medispan,"B", rng_out_sel_sp_ind, $D192, rng_out_MSB_excl, $F192)/[1]Tables!$AT$4)/[1]Tables!$BN$4*(1-[1]Tables!$BN$4)), 0) - AS296 + IFERROR(SUMIFS(rng_out_rx_post_yr3, rng_out_GB_Medispan, "G", rng_out_mail_ind, $B192, rng_out_sel_sp_ind, $D192)/[1]Tables!$AT$4, 0)</f>
        <v>0</v>
      </c>
      <c r="AT192" s="195" cm="1">
        <f t="array" aca="1" ref="AT192" ca="1">IFERROR(IF(OR(input_Shift="No", [1]Tables!$BN$4=1), 0, (SUMIFS(rng_out_rx_post_yr4, rng_out_mail_ind, $B192, rng_out_GB_Medispan,"B", rng_out_sel_sp_ind, $D192, rng_out_MSB_excl, $F192)/[1]Tables!$AT$4)/[1]Tables!$BN$4*(1-[1]Tables!$BN$4)), 0) - AT296 + IFERROR(SUMIFS(rng_out_rx_post_yr4, rng_out_GB_Medispan, "G", rng_out_mail_ind, $B192, rng_out_sel_sp_ind, $D192)/[1]Tables!$AT$4, 0)</f>
        <v>0</v>
      </c>
      <c r="AU192" s="211" cm="1">
        <f t="array" aca="1" ref="AU192" ca="1">IFERROR(IF(OR(input_Shift="No", [1]Tables!$BN$4=1), 0, (SUMIFS(rng_out_rx_post_yr5, rng_out_mail_ind, $B192, rng_out_GB_Medispan,"B", rng_out_sel_sp_ind, $D192, rng_out_MSB_excl, $F192)/[1]Tables!$AT$4)/[1]Tables!$BN$4*(1-[1]Tables!$BN$4)), 0) - AU296 + IFERROR(SUMIFS(rng_out_rx_post_yr5, rng_out_GB_Medispan, "G", rng_out_mail_ind, $B192, rng_out_sel_sp_ind, $D192)/[1]Tables!$AT$4, 0)</f>
        <v>0</v>
      </c>
      <c r="AV192" s="210" t="e" cm="1">
        <f t="array" aca="1" ref="AV192" ca="1">SUMIFS(rng_out_rx_post_yr1, rng_out_GB_Medispan, "B", rng_out_mail_ind, $B192, rng_out_sel_sp_ind, $D192)/[1]Tables!$AT$4 - AV296</f>
        <v>#VALUE!</v>
      </c>
      <c r="AW192" s="195" t="e" cm="1">
        <f t="array" aca="1" ref="AW192" ca="1">SUMIFS(rng_out_rx_post_yr2, rng_out_GB_Medispan, "B", rng_out_mail_ind, $B192, rng_out_sel_sp_ind, $D192)/[1]Tables!$AT$4 - AW296</f>
        <v>#VALUE!</v>
      </c>
      <c r="AX192" s="195" t="e" cm="1">
        <f t="array" aca="1" ref="AX192" ca="1">SUMIFS(rng_out_rx_post_yr3, rng_out_GB_Medispan, "B", rng_out_mail_ind, $B192, rng_out_sel_sp_ind, $D192)/[1]Tables!$AT$4 - AX296</f>
        <v>#VALUE!</v>
      </c>
      <c r="AY192" s="195" t="e" cm="1">
        <f t="array" aca="1" ref="AY192" ca="1">SUMIFS(rng_out_rx_post_yr4, rng_out_GB_Medispan, "B", rng_out_mail_ind, $B192, rng_out_sel_sp_ind, $D192)/[1]Tables!$AT$4 - AY296</f>
        <v>#VALUE!</v>
      </c>
      <c r="AZ192" s="211" t="e" cm="1">
        <f t="array" aca="1" ref="AZ192" ca="1">SUMIFS(rng_out_rx_post_yr5, rng_out_GB_Medispan, "B", rng_out_mail_ind, $B192, rng_out_sel_sp_ind, $D192)/[1]Tables!$AT$4 - AZ296</f>
        <v>#VALUE!</v>
      </c>
      <c r="BA192" s="206" t="e">
        <f t="shared" ca="1" si="182"/>
        <v>#VALUE!</v>
      </c>
      <c r="BB192" s="206" t="e">
        <f t="shared" ca="1" si="182"/>
        <v>#VALUE!</v>
      </c>
      <c r="BC192" s="206" t="e">
        <f t="shared" ca="1" si="182"/>
        <v>#VALUE!</v>
      </c>
      <c r="BD192" s="206" t="e">
        <f t="shared" ca="1" si="182"/>
        <v>#VALUE!</v>
      </c>
      <c r="BE192" s="212" t="e">
        <f t="shared" ca="1" si="182"/>
        <v>#VALUE!</v>
      </c>
      <c r="BG192" s="121" t="s">
        <v>7</v>
      </c>
      <c r="BH192" s="213">
        <f t="shared" ca="1" si="183"/>
        <v>0</v>
      </c>
      <c r="BI192" s="206">
        <f t="shared" ca="1" si="183"/>
        <v>0</v>
      </c>
      <c r="BJ192" s="206">
        <f t="shared" ca="1" si="183"/>
        <v>0</v>
      </c>
      <c r="BK192" s="206">
        <f t="shared" ca="1" si="183"/>
        <v>0</v>
      </c>
      <c r="BL192" s="214">
        <f t="shared" ca="1" si="183"/>
        <v>0</v>
      </c>
      <c r="BM192" s="213" t="e">
        <f t="shared" ca="1" si="183"/>
        <v>#VALUE!</v>
      </c>
      <c r="BN192" s="206" t="e">
        <f t="shared" ca="1" si="183"/>
        <v>#VALUE!</v>
      </c>
      <c r="BO192" s="206" t="e">
        <f t="shared" ca="1" si="183"/>
        <v>#VALUE!</v>
      </c>
      <c r="BP192" s="206" t="e">
        <f t="shared" ca="1" si="183"/>
        <v>#VALUE!</v>
      </c>
      <c r="BQ192" s="214" t="e">
        <f t="shared" ca="1" si="183"/>
        <v>#VALUE!</v>
      </c>
      <c r="BR192" s="213" t="e">
        <f t="shared" ca="1" si="184"/>
        <v>#VALUE!</v>
      </c>
      <c r="BS192" s="206" t="e">
        <f t="shared" ca="1" si="184"/>
        <v>#VALUE!</v>
      </c>
      <c r="BT192" s="206" t="e">
        <f t="shared" ca="1" si="184"/>
        <v>#VALUE!</v>
      </c>
      <c r="BU192" s="206" t="e">
        <f t="shared" ca="1" si="184"/>
        <v>#VALUE!</v>
      </c>
      <c r="BV192" s="214" t="e">
        <f t="shared" ca="1" si="184"/>
        <v>#VALUE!</v>
      </c>
      <c r="BX192" s="121" t="s">
        <v>7</v>
      </c>
      <c r="BY192" s="213" t="e">
        <f t="shared" ca="1" si="185"/>
        <v>#VALUE!</v>
      </c>
      <c r="BZ192" s="206" t="e">
        <f t="shared" ca="1" si="185"/>
        <v>#VALUE!</v>
      </c>
      <c r="CA192" s="206" t="e">
        <f t="shared" ca="1" si="185"/>
        <v>#VALUE!</v>
      </c>
      <c r="CB192" s="206" t="e">
        <f t="shared" ca="1" si="185"/>
        <v>#VALUE!</v>
      </c>
      <c r="CC192" s="214" t="e">
        <f t="shared" ca="1" si="185"/>
        <v>#VALUE!</v>
      </c>
      <c r="CD192" s="213" t="e">
        <f t="shared" ca="1" si="186"/>
        <v>#VALUE!</v>
      </c>
      <c r="CE192" s="206" t="e">
        <f t="shared" ca="1" si="186"/>
        <v>#VALUE!</v>
      </c>
      <c r="CF192" s="206" t="e">
        <f t="shared" ca="1" si="186"/>
        <v>#VALUE!</v>
      </c>
      <c r="CG192" s="206" t="e">
        <f t="shared" ca="1" si="186"/>
        <v>#VALUE!</v>
      </c>
      <c r="CH192" s="214" t="e">
        <f t="shared" ca="1" si="186"/>
        <v>#VALUE!</v>
      </c>
      <c r="CI192" s="213" t="e">
        <f t="shared" ca="1" si="187"/>
        <v>#VALUE!</v>
      </c>
      <c r="CJ192" s="206" t="e">
        <f t="shared" ca="1" si="187"/>
        <v>#VALUE!</v>
      </c>
      <c r="CK192" s="206" t="e">
        <f t="shared" ca="1" si="187"/>
        <v>#VALUE!</v>
      </c>
      <c r="CL192" s="206" t="e">
        <f t="shared" ca="1" si="187"/>
        <v>#VALUE!</v>
      </c>
      <c r="CM192" s="214" t="e">
        <f t="shared" ca="1" si="187"/>
        <v>#VALUE!</v>
      </c>
      <c r="CO192" s="213" cm="1">
        <f t="array" aca="1" ref="CO192" ca="1">_xlfn.SINGLE(IFERROR(SUMIFS(rng_out_rx_base, rng_out_GB_Medispan, "G", rng_out_mail_ind, $B192, rng_out_sel_sp_ind, $D192, rng_out_sel_excl_ind,$E192)/[1]Tables!$AT$4, 0))</f>
        <v>0</v>
      </c>
      <c r="CP192" s="214" cm="1">
        <f t="array" aca="1" ref="CP192" ca="1">_xlfn.SINGLE(IFERROR(SUMIFS(rng_out_rx_base, rng_out_GB_Medispan, "B", rng_out_mail_ind, $B192, rng_out_sel_sp_ind, $D192, rng_out_sel_excl_ind,$E192)/[1]Tables!$AT$4, 0))</f>
        <v>0</v>
      </c>
      <c r="CQ192" s="220">
        <f ca="1">SUM(CO192:CP192)</f>
        <v>0</v>
      </c>
      <c r="CR192" s="213" cm="1">
        <f t="array" aca="1" ref="CR192" ca="1">_xlfn.SINGLE(IFERROR(SUMIFS(rng_out_qty_base, rng_out_GB_Medispan, "G", rng_out_mail_ind, $B192, rng_out_sel_sp_ind, $D192, rng_out_sel_excl_ind,$E192)/[1]Tables!$AT$4, 0))</f>
        <v>0</v>
      </c>
      <c r="CS192" s="206" cm="1">
        <f t="array" aca="1" ref="CS192" ca="1">_xlfn.SINGLE(IFERROR(SUMIFS(rng_out_qty_base, rng_out_GB_Medispan, "B", rng_out_mail_ind, $B192, rng_out_sel_sp_ind, $D192, rng_out_sel_excl_ind,$E192)/[1]Tables!$AT$4, 0))</f>
        <v>0</v>
      </c>
      <c r="CT192" s="221">
        <f ca="1">SUM(CR192:CS192)</f>
        <v>0</v>
      </c>
      <c r="CU192" s="213" cm="1">
        <f t="array" aca="1" ref="CU192" ca="1">_xlfn.SINGLE(IFERROR(SUMIFS(rng_out_ds_base, rng_out_GB_Medispan, "G", rng_out_mail_ind, $B192, rng_out_sel_sp_ind, $D192, rng_out_sel_excl_ind,$E192)/[1]Tables!$AT$4, 0))</f>
        <v>0</v>
      </c>
      <c r="CV192" s="214" cm="1">
        <f t="array" aca="1" ref="CV192" ca="1">_xlfn.SINGLE(IFERROR(SUMIFS(rng_out_ds_base, rng_out_GB_Medispan, "B", rng_out_mail_ind, $B192, rng_out_sel_sp_ind, $D192, rng_out_sel_excl_ind,$E192)/[1]Tables!$AT$4, 0))</f>
        <v>0</v>
      </c>
      <c r="CW192" s="220">
        <f ca="1">SUM(CU192:CV192)</f>
        <v>0</v>
      </c>
      <c r="DC192" s="112" t="e" cm="1">
        <f t="array" aca="1" ref="DC192" ca="1">INDEX([1]Tables!$EA$4:$EE$60,MATCH([1]Tables!$C$22&amp;$BX192, [1]Tables!$EA$4:$EA$60, 0), [1]Tables!$ED$1) * BR201 * IFERROR(BY201/BM192, 0) +  BR201 * DI192</f>
        <v>#VALUE!</v>
      </c>
      <c r="DD192" s="113" t="e" cm="1">
        <f t="array" aca="1" ref="DD192" ca="1">INDEX([1]Tables!$EA$4:$EE$60,MATCH([1]Tables!$C$22&amp;$BX192, [1]Tables!$EA$4:$EA$60, 0), [1]Tables!$ED$1) * BS201 * IFERROR(BZ201/BN192, 0) +  BS201 * DJ192</f>
        <v>#VALUE!</v>
      </c>
      <c r="DE192" s="113" t="e" cm="1">
        <f t="array" aca="1" ref="DE192" ca="1">INDEX([1]Tables!$EA$4:$EE$60,MATCH([1]Tables!$C$22&amp;$BX192, [1]Tables!$EA$4:$EA$60, 0), [1]Tables!$ED$1) * BT201 * IFERROR(CA201/BO192, 0) +  BT201 * DK192</f>
        <v>#VALUE!</v>
      </c>
      <c r="DF192" s="113" t="e" cm="1">
        <f t="array" aca="1" ref="DF192" ca="1">INDEX([1]Tables!$EA$4:$EE$60,MATCH([1]Tables!$C$22&amp;$BX192, [1]Tables!$EA$4:$EA$60, 0), [1]Tables!$ED$1) * BU201 * IFERROR(CB201/BP192, 0) +  BU201 * DL192</f>
        <v>#VALUE!</v>
      </c>
      <c r="DG192" s="114" t="e" cm="1">
        <f t="array" aca="1" ref="DG192" ca="1">INDEX([1]Tables!$EA$4:$EE$60,MATCH([1]Tables!$C$22&amp;$BX192, [1]Tables!$EA$4:$EA$60, 0), [1]Tables!$ED$1) * BV201 * IFERROR(CC201/BQ192, 0) +  BV201 * DM192</f>
        <v>#VALUE!</v>
      </c>
      <c r="DI192" s="115" cm="1">
        <f t="array" aca="1" ref="DI192" ca="1">IFERROR((SUMPRODUCT((rng_out_GB_Medispan = "B") * (rng_out_mail_ind = $B192) * (rng_out_sel_sp_ind = $D192) * (rng_out_sel_excl_ind = $E192) * (rng_out_post_reb_ind_yr1 = 1) * (rng_out_rx_post_yr1*rng_out_340B))/[1]Tables!$AT$4)/AV192, 0)</f>
        <v>0</v>
      </c>
      <c r="DJ192" s="116" cm="1">
        <f t="array" aca="1" ref="DJ192" ca="1">IFERROR((SUMPRODUCT((rng_out_GB_Medispan = "B") * (rng_out_mail_ind = $B192) * (rng_out_sel_sp_ind = $D192) * (rng_out_sel_excl_ind = $E192) * (rng_out_post_reb_ind_yr2 = 1) * (rng_out_rx_post_yr2*rng_out_340B))/[1]Tables!$AT$4)/AW192, 0)</f>
        <v>0</v>
      </c>
      <c r="DK192" s="116" cm="1">
        <f t="array" aca="1" ref="DK192" ca="1">IFERROR((SUMPRODUCT((rng_out_GB_Medispan = "B") * (rng_out_mail_ind = $B192) * (rng_out_sel_sp_ind = $D192) * (rng_out_sel_excl_ind = $E192) * (rng_out_post_reb_ind_yr3 = 1) * (rng_out_rx_post_yr3*rng_out_340B))/[1]Tables!$AT$4)/AX192, 0)</f>
        <v>0</v>
      </c>
      <c r="DL192" s="116" cm="1">
        <f t="array" aca="1" ref="DL192" ca="1">IFERROR((SUMPRODUCT((rng_out_GB_Medispan = "B") * (rng_out_mail_ind = $B192) * (rng_out_sel_sp_ind = $D192) * (rng_out_sel_excl_ind = $E192) * (rng_out_post_reb_ind_yr4 = 1) * (rng_out_rx_post_yr4*rng_out_340B))/[1]Tables!$AT$4)/AY192, 0)</f>
        <v>0</v>
      </c>
      <c r="DM192" s="117" cm="1">
        <f t="array" aca="1" ref="DM192" ca="1">IFERROR((SUMPRODUCT((rng_out_GB_Medispan = "B") * (rng_out_mail_ind = $B192) * (rng_out_sel_sp_ind = $D192) * (rng_out_sel_excl_ind = $E192) * (rng_out_post_reb_ind_yr5 = 1) * (rng_out_rx_post_yr5*rng_out_340B))/[1]Tables!$AT$4)/AZ192, 0)</f>
        <v>0</v>
      </c>
    </row>
    <row r="193" spans="2:117" ht="15" thickBot="1" x14ac:dyDescent="0.4">
      <c r="B193" s="122"/>
      <c r="C193" s="123"/>
      <c r="D193" s="123" t="s">
        <v>13</v>
      </c>
      <c r="E193" s="124" t="s">
        <v>12</v>
      </c>
      <c r="F193" s="106">
        <v>1</v>
      </c>
      <c r="H193" s="118" t="s">
        <v>17</v>
      </c>
      <c r="I193" s="203" t="e" cm="1">
        <f t="array" aca="1" ref="I193" ca="1">SUMIFS(rng_out_rx_pre_yr1, rng_out_GB_Medispan, "G", rng_out_sel_sp_ind, $D193) - I297</f>
        <v>#VALUE!</v>
      </c>
      <c r="J193" s="195" t="e" cm="1">
        <f t="array" aca="1" ref="J193" ca="1">SUMIFS(rng_out_rx_pre_yr2, rng_out_GB_Medispan, "G", rng_out_sel_sp_ind, $D193) - J297</f>
        <v>#VALUE!</v>
      </c>
      <c r="K193" s="195" t="e" cm="1">
        <f t="array" aca="1" ref="K193" ca="1">SUMIFS(rng_out_rx_pre_yr3, rng_out_GB_Medispan, "G", rng_out_sel_sp_ind, $D193) - K297</f>
        <v>#VALUE!</v>
      </c>
      <c r="L193" s="195" t="e" cm="1">
        <f t="array" aca="1" ref="L193" ca="1">SUMIFS(rng_out_rx_pre_yr4, rng_out_GB_Medispan, "G", rng_out_sel_sp_ind, $D193) - L297</f>
        <v>#VALUE!</v>
      </c>
      <c r="M193" s="222" t="e" cm="1">
        <f t="array" aca="1" ref="M193" ca="1">SUMIFS(rng_out_rx_pre_yr5, rng_out_GB_Medispan, "G", rng_out_sel_sp_ind, $D193) - M297</f>
        <v>#VALUE!</v>
      </c>
      <c r="N193" s="203" t="e" cm="1">
        <f t="array" aca="1" ref="N193" ca="1">SUMIFS(rng_out_rx_pre_yr1, rng_out_GB_Medispan, "B", rng_out_sel_sp_ind, $D193) - N297</f>
        <v>#VALUE!</v>
      </c>
      <c r="O193" s="195" t="e" cm="1">
        <f t="array" aca="1" ref="O193" ca="1">SUMIFS(rng_out_rx_pre_yr2, rng_out_GB_Medispan, "B", rng_out_sel_sp_ind, $D193) - O297</f>
        <v>#VALUE!</v>
      </c>
      <c r="P193" s="195" t="e" cm="1">
        <f t="array" aca="1" ref="P193" ca="1">SUMIFS(rng_out_rx_pre_yr3, rng_out_GB_Medispan, "B", rng_out_sel_sp_ind, $D193) - P297</f>
        <v>#VALUE!</v>
      </c>
      <c r="Q193" s="195" t="e" cm="1">
        <f t="array" aca="1" ref="Q193" ca="1">SUMIFS(rng_out_rx_pre_yr4, rng_out_GB_Medispan, "B", rng_out_sel_sp_ind, $D193) - Q297</f>
        <v>#VALUE!</v>
      </c>
      <c r="R193" s="222" t="e" cm="1">
        <f t="array" aca="1" ref="R193" ca="1">SUMIFS(rng_out_rx_pre_yr5, rng_out_GB_Medispan, "B", rng_out_sel_sp_ind, $D193) - R297</f>
        <v>#VALUE!</v>
      </c>
      <c r="S193" s="206" t="e">
        <f t="shared" ca="1" si="180"/>
        <v>#VALUE!</v>
      </c>
      <c r="T193" s="206" t="e">
        <f t="shared" ca="1" si="180"/>
        <v>#VALUE!</v>
      </c>
      <c r="U193" s="206" t="e">
        <f t="shared" ca="1" si="180"/>
        <v>#VALUE!</v>
      </c>
      <c r="V193" s="206" t="e">
        <f t="shared" ca="1" si="180"/>
        <v>#VALUE!</v>
      </c>
      <c r="W193" s="207" t="e">
        <f t="shared" ca="1" si="180"/>
        <v>#VALUE!</v>
      </c>
      <c r="Y193" s="119" t="s">
        <v>17</v>
      </c>
      <c r="Z193" s="223">
        <f ca="1">IFERROR(I193/[1]Tables!$AT$4, 0)</f>
        <v>0</v>
      </c>
      <c r="AA193" s="224">
        <f ca="1">IFERROR(J193/[1]Tables!$AT$4, 0)</f>
        <v>0</v>
      </c>
      <c r="AB193" s="224">
        <f ca="1">IFERROR(K193/[1]Tables!$AT$4, 0)</f>
        <v>0</v>
      </c>
      <c r="AC193" s="224">
        <f ca="1">IFERROR(L193/[1]Tables!$AT$4, 0)</f>
        <v>0</v>
      </c>
      <c r="AD193" s="225">
        <f ca="1">IFERROR(M193/[1]Tables!$AT$4, 0)</f>
        <v>0</v>
      </c>
      <c r="AE193" s="223">
        <f ca="1">IFERROR(N193/[1]Tables!$AT$4, 0)</f>
        <v>0</v>
      </c>
      <c r="AF193" s="224">
        <f ca="1">IFERROR(O193/[1]Tables!$AT$4, 0)</f>
        <v>0</v>
      </c>
      <c r="AG193" s="224">
        <f ca="1">IFERROR(P193/[1]Tables!$AT$4, 0)</f>
        <v>0</v>
      </c>
      <c r="AH193" s="224">
        <f ca="1">IFERROR(Q193/[1]Tables!$AT$4, 0)</f>
        <v>0</v>
      </c>
      <c r="AI193" s="225">
        <f ca="1">IFERROR(R193/[1]Tables!$AT$4, 0)</f>
        <v>0</v>
      </c>
      <c r="AJ193" s="224">
        <f t="shared" ca="1" si="181"/>
        <v>0</v>
      </c>
      <c r="AK193" s="224">
        <f t="shared" ca="1" si="181"/>
        <v>0</v>
      </c>
      <c r="AL193" s="224">
        <f t="shared" ca="1" si="181"/>
        <v>0</v>
      </c>
      <c r="AM193" s="224">
        <f t="shared" ca="1" si="181"/>
        <v>0</v>
      </c>
      <c r="AN193" s="225">
        <f t="shared" ca="1" si="181"/>
        <v>0</v>
      </c>
      <c r="AP193" s="120" t="s">
        <v>17</v>
      </c>
      <c r="AQ193" s="226" cm="1">
        <f t="array" aca="1" ref="AQ193" ca="1">IFERROR(IF(OR(input_Shift="No", [1]Tables!$BN$4=1), 0, (SUMIFS(rng_out_rx_post_yr1, rng_out_GB_Medispan,"B", rng_out_sel_sp_ind, $D193, rng_out_MSB_excl, $F193)/[1]Tables!$AT$4)/[1]Tables!$BN$4*(1-[1]Tables!$BN$4)), 0) - AQ297 + IFERROR(SUMIFS(rng_out_rx_post_yr1, rng_out_GB_Medispan, "G", rng_out_sel_sp_ind, $D193)/[1]Tables!$AT$4, 0)</f>
        <v>0</v>
      </c>
      <c r="AR193" s="227" cm="1">
        <f t="array" aca="1" ref="AR193" ca="1">IFERROR(IF(OR(input_Shift="No", [1]Tables!$BN$4=1), 0, (SUMIFS(rng_out_rx_post_yr2, rng_out_GB_Medispan,"B", rng_out_sel_sp_ind, $D193, rng_out_MSB_excl, $F193)/[1]Tables!$AT$4)/[1]Tables!$BN$4*(1-[1]Tables!$BN$4)), 0) - AR297 + IFERROR(SUMIFS(rng_out_rx_post_yr2, rng_out_GB_Medispan, "G", rng_out_sel_sp_ind, $D193)/[1]Tables!$AT$4, 0)</f>
        <v>0</v>
      </c>
      <c r="AS193" s="227" cm="1">
        <f t="array" aca="1" ref="AS193" ca="1">IFERROR(IF(OR(input_Shift="No", [1]Tables!$BN$4=1), 0, (SUMIFS(rng_out_rx_post_yr3, rng_out_GB_Medispan,"B", rng_out_sel_sp_ind, $D193, rng_out_MSB_excl, $F193)/[1]Tables!$AT$4)/[1]Tables!$BN$4*(1-[1]Tables!$BN$4)), 0) - AS297 + IFERROR(SUMIFS(rng_out_rx_post_yr3, rng_out_GB_Medispan, "G", rng_out_sel_sp_ind, $D193)/[1]Tables!$AT$4, 0)</f>
        <v>0</v>
      </c>
      <c r="AT193" s="227" cm="1">
        <f t="array" aca="1" ref="AT193" ca="1">IFERROR(IF(OR(input_Shift="No", [1]Tables!$BN$4=1), 0, (SUMIFS(rng_out_rx_post_yr4, rng_out_GB_Medispan,"B", rng_out_sel_sp_ind, $D193, rng_out_MSB_excl, $F193)/[1]Tables!$AT$4)/[1]Tables!$BN$4*(1-[1]Tables!$BN$4)), 0) - AT297 + IFERROR(SUMIFS(rng_out_rx_post_yr4, rng_out_GB_Medispan, "G", rng_out_sel_sp_ind, $D193)/[1]Tables!$AT$4, 0)</f>
        <v>0</v>
      </c>
      <c r="AU193" s="228" cm="1">
        <f t="array" aca="1" ref="AU193" ca="1">IFERROR(IF(OR(input_Shift="No", [1]Tables!$BN$4=1), 0, (SUMIFS(rng_out_rx_post_yr5, rng_out_GB_Medispan,"B", rng_out_sel_sp_ind, $D193, rng_out_MSB_excl, $F193)/[1]Tables!$AT$4)/[1]Tables!$BN$4*(1-[1]Tables!$BN$4)), 0) - AU297 + IFERROR(SUMIFS(rng_out_rx_post_yr5, rng_out_GB_Medispan, "G", rng_out_sel_sp_ind, $D193)/[1]Tables!$AT$4, 0)</f>
        <v>0</v>
      </c>
      <c r="AV193" s="226" t="e" cm="1">
        <f t="array" aca="1" ref="AV193" ca="1">SUMIFS(rng_out_rx_post_yr1, rng_out_GB_Medispan, "B", rng_out_sel_sp_ind, $D193)/[1]Tables!$AT$4 - AV297</f>
        <v>#VALUE!</v>
      </c>
      <c r="AW193" s="227" t="e" cm="1">
        <f t="array" aca="1" ref="AW193" ca="1">SUMIFS(rng_out_rx_post_yr2, rng_out_GB_Medispan, "B", rng_out_sel_sp_ind, $D193)/[1]Tables!$AT$4 - AW297</f>
        <v>#VALUE!</v>
      </c>
      <c r="AX193" s="227" t="e" cm="1">
        <f t="array" aca="1" ref="AX193" ca="1">SUMIFS(rng_out_rx_post_yr3, rng_out_GB_Medispan, "B", rng_out_sel_sp_ind, $D193)/[1]Tables!$AT$4 - AX297</f>
        <v>#VALUE!</v>
      </c>
      <c r="AY193" s="227" t="e" cm="1">
        <f t="array" aca="1" ref="AY193" ca="1">SUMIFS(rng_out_rx_post_yr4, rng_out_GB_Medispan, "B", rng_out_sel_sp_ind, $D193)/[1]Tables!$AT$4 - AY297</f>
        <v>#VALUE!</v>
      </c>
      <c r="AZ193" s="228" t="e" cm="1">
        <f t="array" aca="1" ref="AZ193" ca="1">SUMIFS(rng_out_rx_post_yr5, rng_out_GB_Medispan, "B", rng_out_sel_sp_ind, $D193)/[1]Tables!$AT$4 - AZ297</f>
        <v>#VALUE!</v>
      </c>
      <c r="BA193" s="229" t="e">
        <f t="shared" ca="1" si="182"/>
        <v>#VALUE!</v>
      </c>
      <c r="BB193" s="229" t="e">
        <f t="shared" ca="1" si="182"/>
        <v>#VALUE!</v>
      </c>
      <c r="BC193" s="229" t="e">
        <f t="shared" ca="1" si="182"/>
        <v>#VALUE!</v>
      </c>
      <c r="BD193" s="229" t="e">
        <f t="shared" ca="1" si="182"/>
        <v>#VALUE!</v>
      </c>
      <c r="BE193" s="230" t="e">
        <f t="shared" ca="1" si="182"/>
        <v>#VALUE!</v>
      </c>
      <c r="BG193" s="121" t="s">
        <v>17</v>
      </c>
      <c r="BH193" s="231">
        <f t="shared" ca="1" si="183"/>
        <v>0</v>
      </c>
      <c r="BI193" s="232">
        <f t="shared" ca="1" si="183"/>
        <v>0</v>
      </c>
      <c r="BJ193" s="232">
        <f t="shared" ca="1" si="183"/>
        <v>0</v>
      </c>
      <c r="BK193" s="232">
        <f t="shared" ca="1" si="183"/>
        <v>0</v>
      </c>
      <c r="BL193" s="233">
        <f t="shared" ca="1" si="183"/>
        <v>0</v>
      </c>
      <c r="BM193" s="231" t="e">
        <f t="shared" ca="1" si="183"/>
        <v>#VALUE!</v>
      </c>
      <c r="BN193" s="232" t="e">
        <f t="shared" ca="1" si="183"/>
        <v>#VALUE!</v>
      </c>
      <c r="BO193" s="232" t="e">
        <f t="shared" ca="1" si="183"/>
        <v>#VALUE!</v>
      </c>
      <c r="BP193" s="232" t="e">
        <f t="shared" ca="1" si="183"/>
        <v>#VALUE!</v>
      </c>
      <c r="BQ193" s="233" t="e">
        <f t="shared" ca="1" si="183"/>
        <v>#VALUE!</v>
      </c>
      <c r="BR193" s="232" t="e">
        <f t="shared" ca="1" si="184"/>
        <v>#VALUE!</v>
      </c>
      <c r="BS193" s="232" t="e">
        <f t="shared" ca="1" si="184"/>
        <v>#VALUE!</v>
      </c>
      <c r="BT193" s="232" t="e">
        <f t="shared" ca="1" si="184"/>
        <v>#VALUE!</v>
      </c>
      <c r="BU193" s="232" t="e">
        <f t="shared" ca="1" si="184"/>
        <v>#VALUE!</v>
      </c>
      <c r="BV193" s="233" t="e">
        <f t="shared" ca="1" si="184"/>
        <v>#VALUE!</v>
      </c>
      <c r="BX193" s="121" t="s">
        <v>17</v>
      </c>
      <c r="BY193" s="231" t="e">
        <f t="shared" ca="1" si="185"/>
        <v>#VALUE!</v>
      </c>
      <c r="BZ193" s="232" t="e">
        <f t="shared" ca="1" si="185"/>
        <v>#VALUE!</v>
      </c>
      <c r="CA193" s="232" t="e">
        <f t="shared" ca="1" si="185"/>
        <v>#VALUE!</v>
      </c>
      <c r="CB193" s="232" t="e">
        <f t="shared" ca="1" si="185"/>
        <v>#VALUE!</v>
      </c>
      <c r="CC193" s="233" t="e">
        <f t="shared" ca="1" si="185"/>
        <v>#VALUE!</v>
      </c>
      <c r="CD193" s="231" t="e">
        <f t="shared" ca="1" si="186"/>
        <v>#VALUE!</v>
      </c>
      <c r="CE193" s="232" t="e">
        <f t="shared" ca="1" si="186"/>
        <v>#VALUE!</v>
      </c>
      <c r="CF193" s="232" t="e">
        <f t="shared" ca="1" si="186"/>
        <v>#VALUE!</v>
      </c>
      <c r="CG193" s="232" t="e">
        <f t="shared" ca="1" si="186"/>
        <v>#VALUE!</v>
      </c>
      <c r="CH193" s="233" t="e">
        <f t="shared" ca="1" si="186"/>
        <v>#VALUE!</v>
      </c>
      <c r="CI193" s="232" t="e">
        <f t="shared" ca="1" si="187"/>
        <v>#VALUE!</v>
      </c>
      <c r="CJ193" s="232" t="e">
        <f t="shared" ca="1" si="187"/>
        <v>#VALUE!</v>
      </c>
      <c r="CK193" s="232" t="e">
        <f t="shared" ca="1" si="187"/>
        <v>#VALUE!</v>
      </c>
      <c r="CL193" s="232" t="e">
        <f t="shared" ca="1" si="187"/>
        <v>#VALUE!</v>
      </c>
      <c r="CM193" s="233" t="e">
        <f t="shared" ca="1" si="187"/>
        <v>#VALUE!</v>
      </c>
      <c r="CO193" s="231" cm="1">
        <f t="array" aca="1" ref="CO193" ca="1">_xlfn.SINGLE(IFERROR(SUMIFS(rng_out_rx_base, rng_out_GB_Medispan, "G",rng_out_sel_sp_ind, $D193, rng_out_sel_excl_ind,$E193)/[1]Tables!$AT$4, 0))</f>
        <v>0</v>
      </c>
      <c r="CP193" s="233" cm="1">
        <f t="array" aca="1" ref="CP193" ca="1">_xlfn.SINGLE(IFERROR(SUMIFS(rng_out_rx_base, rng_out_GB_Medispan, "B",rng_out_sel_sp_ind, $D193, rng_out_sel_excl_ind,$E193)/[1]Tables!$AT$4, 0))</f>
        <v>0</v>
      </c>
      <c r="CQ193" s="234">
        <f ca="1">SUM(CO193:CP193)</f>
        <v>0</v>
      </c>
      <c r="CR193" s="231" cm="1">
        <f t="array" aca="1" ref="CR193" ca="1">_xlfn.SINGLE(IFERROR(SUMIFS(rng_out_qty_base, rng_out_GB_Medispan, "G", rng_out_sel_sp_ind, $D193, rng_out_sel_excl_ind,$E193)/[1]Tables!$AT$4, 0))</f>
        <v>0</v>
      </c>
      <c r="CS193" s="232" cm="1">
        <f t="array" aca="1" ref="CS193" ca="1">_xlfn.SINGLE(IFERROR(SUMIFS(rng_out_qty_base, rng_out_GB_Medispan, "B", rng_out_sel_sp_ind, $D193, rng_out_sel_excl_ind,$E193)/[1]Tables!$AT$4, 0))</f>
        <v>0</v>
      </c>
      <c r="CT193" s="235">
        <f ca="1">SUM(CR193:CS193)</f>
        <v>0</v>
      </c>
      <c r="CU193" s="231" cm="1">
        <f t="array" aca="1" ref="CU193" ca="1">_xlfn.SINGLE(IFERROR(SUMIFS(rng_out_ds_base, rng_out_GB_Medispan, "G", rng_out_sel_sp_ind, $D193, rng_out_sel_excl_ind,$E193)/[1]Tables!$AT$4, 0))</f>
        <v>0</v>
      </c>
      <c r="CV193" s="233" cm="1">
        <f t="array" aca="1" ref="CV193" ca="1">_xlfn.SINGLE(IFERROR(SUMIFS(rng_out_ds_base, rng_out_GB_Medispan, "B", rng_out_sel_sp_ind, $D193, rng_out_sel_excl_ind,$E193)/[1]Tables!$AT$4, 0))</f>
        <v>0</v>
      </c>
      <c r="CW193" s="234">
        <f ca="1">SUM(CU193:CV193)</f>
        <v>0</v>
      </c>
      <c r="DC193" s="148" t="e" cm="1">
        <f t="array" aca="1" ref="DC193" ca="1">INDEX([1]Tables!$EA$4:$EE$60,MATCH([1]Tables!$C$22&amp;$BX193, [1]Tables!$EA$4:$EA$60, 0), [1]Tables!$ED$1) * BR202 * IFERROR(BY202/BM193, 0) +  BR202 * DI193</f>
        <v>#VALUE!</v>
      </c>
      <c r="DD193" s="149" t="e" cm="1">
        <f t="array" aca="1" ref="DD193" ca="1">INDEX([1]Tables!$EA$4:$EE$60,MATCH([1]Tables!$C$22&amp;$BX193, [1]Tables!$EA$4:$EA$60, 0), [1]Tables!$ED$1) * BS202 * IFERROR(BZ202/BN193, 0) +  BS202 * DJ193</f>
        <v>#VALUE!</v>
      </c>
      <c r="DE193" s="149" t="e" cm="1">
        <f t="array" aca="1" ref="DE193" ca="1">INDEX([1]Tables!$EA$4:$EE$60,MATCH([1]Tables!$C$22&amp;$BX193, [1]Tables!$EA$4:$EA$60, 0), [1]Tables!$ED$1) * BT202 * IFERROR(CA202/BO193, 0) +  BT202 * DK193</f>
        <v>#VALUE!</v>
      </c>
      <c r="DF193" s="149" t="e" cm="1">
        <f t="array" aca="1" ref="DF193" ca="1">INDEX([1]Tables!$EA$4:$EE$60,MATCH([1]Tables!$C$22&amp;$BX193, [1]Tables!$EA$4:$EA$60, 0), [1]Tables!$ED$1) * BU202 * IFERROR(CB202/BP193, 0) +  BU202 * DL193</f>
        <v>#VALUE!</v>
      </c>
      <c r="DG193" s="150" t="e" cm="1">
        <f t="array" aca="1" ref="DG193" ca="1">INDEX([1]Tables!$EA$4:$EE$60,MATCH([1]Tables!$C$22&amp;$BX193, [1]Tables!$EA$4:$EA$60, 0), [1]Tables!$ED$1) * BV202 * IFERROR(CC202/BQ193, 0) +  BV202 * DM193</f>
        <v>#VALUE!</v>
      </c>
      <c r="DI193" s="151" cm="1">
        <f t="array" aca="1" ref="DI193" ca="1">IFERROR((SUMPRODUCT((rng_out_GB_Medispan = "B") * (rng_out_sel_sp_ind = $D193) * (rng_out_sel_excl_ind = $E193) * (rng_out_post_reb_ind_yr1 = 1) * (rng_out_rx_post_yr1*rng_out_340B))/[1]Tables!$AT$4)/AV193, 0)</f>
        <v>0</v>
      </c>
      <c r="DJ193" s="152" cm="1">
        <f t="array" aca="1" ref="DJ193" ca="1">IFERROR((SUMPRODUCT((rng_out_GB_Medispan = "B") * (rng_out_sel_sp_ind = $D193) * (rng_out_sel_excl_ind = $E193) * (rng_out_post_reb_ind_yr2 = 1) * (rng_out_rx_post_yr2*rng_out_340B))/[1]Tables!$AT$4)/AW193, 0)</f>
        <v>0</v>
      </c>
      <c r="DK193" s="152" cm="1">
        <f t="array" aca="1" ref="DK193" ca="1">IFERROR((SUMPRODUCT((rng_out_GB_Medispan = "B") * (rng_out_sel_sp_ind = $D193) * (rng_out_sel_excl_ind = $E193) * (rng_out_post_reb_ind_yr3 = 1) * (rng_out_rx_post_yr3*rng_out_340B))/[1]Tables!$AT$4)/AX193, 0)</f>
        <v>0</v>
      </c>
      <c r="DL193" s="152" cm="1">
        <f t="array" aca="1" ref="DL193" ca="1">IFERROR((SUMPRODUCT((rng_out_GB_Medispan = "B") * (rng_out_sel_sp_ind = $D193) * (rng_out_sel_excl_ind = $E193) * (rng_out_post_reb_ind_yr4 = 1) * (rng_out_rx_post_yr4*rng_out_340B))/[1]Tables!$AT$4)/AY193, 0)</f>
        <v>0</v>
      </c>
      <c r="DM193" s="153" cm="1">
        <f t="array" aca="1" ref="DM193" ca="1">IFERROR((SUMPRODUCT((rng_out_GB_Medispan = "B") * (rng_out_sel_sp_ind = $D193) * (rng_out_sel_excl_ind = $E193) * (rng_out_post_reb_ind_yr5 = 1) * (rng_out_rx_post_yr5*rng_out_340B))/[1]Tables!$AT$4)/AZ193, 0)</f>
        <v>0</v>
      </c>
    </row>
    <row r="194" spans="2:117" ht="15" thickBot="1" x14ac:dyDescent="0.4">
      <c r="B194" s="106"/>
      <c r="C194" s="236"/>
      <c r="D194" s="236" t="s">
        <v>29</v>
      </c>
      <c r="E194" s="237" t="str">
        <f>IF(sel_excl_nonRebatable=1, "Y", "N")</f>
        <v>N</v>
      </c>
      <c r="H194" s="154" t="s">
        <v>18</v>
      </c>
      <c r="I194" s="238" t="e">
        <f t="shared" ref="I194:W194" ca="1" si="188">SUM(I190:I193)</f>
        <v>#VALUE!</v>
      </c>
      <c r="J194" s="238" t="e">
        <f t="shared" ca="1" si="188"/>
        <v>#VALUE!</v>
      </c>
      <c r="K194" s="238" t="e">
        <f t="shared" ca="1" si="188"/>
        <v>#VALUE!</v>
      </c>
      <c r="L194" s="238" t="e">
        <f t="shared" ca="1" si="188"/>
        <v>#VALUE!</v>
      </c>
      <c r="M194" s="239" t="e">
        <f t="shared" ca="1" si="188"/>
        <v>#VALUE!</v>
      </c>
      <c r="N194" s="238" t="e">
        <f t="shared" ca="1" si="188"/>
        <v>#VALUE!</v>
      </c>
      <c r="O194" s="238" t="e">
        <f t="shared" ca="1" si="188"/>
        <v>#VALUE!</v>
      </c>
      <c r="P194" s="238" t="e">
        <f t="shared" ca="1" si="188"/>
        <v>#VALUE!</v>
      </c>
      <c r="Q194" s="238" t="e">
        <f t="shared" ca="1" si="188"/>
        <v>#VALUE!</v>
      </c>
      <c r="R194" s="239" t="e">
        <f t="shared" ca="1" si="188"/>
        <v>#VALUE!</v>
      </c>
      <c r="S194" s="238" t="e">
        <f t="shared" ca="1" si="188"/>
        <v>#VALUE!</v>
      </c>
      <c r="T194" s="238" t="e">
        <f t="shared" ca="1" si="188"/>
        <v>#VALUE!</v>
      </c>
      <c r="U194" s="238" t="e">
        <f t="shared" ca="1" si="188"/>
        <v>#VALUE!</v>
      </c>
      <c r="V194" s="238" t="e">
        <f t="shared" ca="1" si="188"/>
        <v>#VALUE!</v>
      </c>
      <c r="W194" s="239" t="e">
        <f t="shared" ca="1" si="188"/>
        <v>#VALUE!</v>
      </c>
      <c r="Y194" s="159" t="s">
        <v>18</v>
      </c>
      <c r="Z194" s="240">
        <f t="shared" ref="Z194:AN194" ca="1" si="189">SUM(Z190:Z193)</f>
        <v>0</v>
      </c>
      <c r="AA194" s="241">
        <f t="shared" ca="1" si="189"/>
        <v>0</v>
      </c>
      <c r="AB194" s="241">
        <f t="shared" ca="1" si="189"/>
        <v>0</v>
      </c>
      <c r="AC194" s="241">
        <f t="shared" ca="1" si="189"/>
        <v>0</v>
      </c>
      <c r="AD194" s="242">
        <f t="shared" ca="1" si="189"/>
        <v>0</v>
      </c>
      <c r="AE194" s="240">
        <f t="shared" ca="1" si="189"/>
        <v>0</v>
      </c>
      <c r="AF194" s="241">
        <f t="shared" ca="1" si="189"/>
        <v>0</v>
      </c>
      <c r="AG194" s="241">
        <f t="shared" ca="1" si="189"/>
        <v>0</v>
      </c>
      <c r="AH194" s="241">
        <f t="shared" ca="1" si="189"/>
        <v>0</v>
      </c>
      <c r="AI194" s="242">
        <f t="shared" ca="1" si="189"/>
        <v>0</v>
      </c>
      <c r="AJ194" s="241">
        <f t="shared" ca="1" si="189"/>
        <v>0</v>
      </c>
      <c r="AK194" s="241">
        <f t="shared" ca="1" si="189"/>
        <v>0</v>
      </c>
      <c r="AL194" s="241">
        <f t="shared" ca="1" si="189"/>
        <v>0</v>
      </c>
      <c r="AM194" s="241">
        <f t="shared" ca="1" si="189"/>
        <v>0</v>
      </c>
      <c r="AN194" s="242">
        <f t="shared" ca="1" si="189"/>
        <v>0</v>
      </c>
      <c r="AP194" s="166" t="s">
        <v>18</v>
      </c>
      <c r="AQ194" s="243">
        <f ca="1">SUM(AQ190:AQ193)</f>
        <v>0</v>
      </c>
      <c r="AR194" s="229">
        <f ca="1">SUM(AR190:AR193)</f>
        <v>0</v>
      </c>
      <c r="AS194" s="229">
        <f ca="1">SUM(AS190:AS193)</f>
        <v>0</v>
      </c>
      <c r="AT194" s="229">
        <f ca="1">SUM(AT190:AT193)</f>
        <v>0</v>
      </c>
      <c r="AU194" s="230">
        <f ca="1">SUM(AU190:AU193)</f>
        <v>0</v>
      </c>
      <c r="AV194" s="226" t="e">
        <f t="shared" ref="AV194:BE194" ca="1" si="190">SUM(AV190:AV193)</f>
        <v>#VALUE!</v>
      </c>
      <c r="AW194" s="227" t="e">
        <f t="shared" ca="1" si="190"/>
        <v>#VALUE!</v>
      </c>
      <c r="AX194" s="227" t="e">
        <f t="shared" ca="1" si="190"/>
        <v>#VALUE!</v>
      </c>
      <c r="AY194" s="227" t="e">
        <f t="shared" ca="1" si="190"/>
        <v>#VALUE!</v>
      </c>
      <c r="AZ194" s="228" t="e">
        <f t="shared" ca="1" si="190"/>
        <v>#VALUE!</v>
      </c>
      <c r="BA194" s="227" t="e">
        <f t="shared" ca="1" si="190"/>
        <v>#VALUE!</v>
      </c>
      <c r="BB194" s="227" t="e">
        <f t="shared" ca="1" si="190"/>
        <v>#VALUE!</v>
      </c>
      <c r="BC194" s="227" t="e">
        <f t="shared" ca="1" si="190"/>
        <v>#VALUE!</v>
      </c>
      <c r="BD194" s="227" t="e">
        <f t="shared" ca="1" si="190"/>
        <v>#VALUE!</v>
      </c>
      <c r="BE194" s="228" t="e">
        <f t="shared" ca="1" si="190"/>
        <v>#VALUE!</v>
      </c>
      <c r="BG194" s="171" t="s">
        <v>18</v>
      </c>
      <c r="BH194" s="244">
        <f t="shared" ref="BH194:BV194" ca="1" si="191">SUM(BH190:BH193)</f>
        <v>0</v>
      </c>
      <c r="BI194" s="245">
        <f t="shared" ca="1" si="191"/>
        <v>0</v>
      </c>
      <c r="BJ194" s="245">
        <f t="shared" ca="1" si="191"/>
        <v>0</v>
      </c>
      <c r="BK194" s="245">
        <f t="shared" ca="1" si="191"/>
        <v>0</v>
      </c>
      <c r="BL194" s="234">
        <f t="shared" ca="1" si="191"/>
        <v>0</v>
      </c>
      <c r="BM194" s="244" t="e">
        <f t="shared" ca="1" si="191"/>
        <v>#VALUE!</v>
      </c>
      <c r="BN194" s="245" t="e">
        <f t="shared" ca="1" si="191"/>
        <v>#VALUE!</v>
      </c>
      <c r="BO194" s="245" t="e">
        <f t="shared" ca="1" si="191"/>
        <v>#VALUE!</v>
      </c>
      <c r="BP194" s="245" t="e">
        <f t="shared" ca="1" si="191"/>
        <v>#VALUE!</v>
      </c>
      <c r="BQ194" s="234" t="e">
        <f t="shared" ca="1" si="191"/>
        <v>#VALUE!</v>
      </c>
      <c r="BR194" s="245" t="e">
        <f t="shared" ca="1" si="191"/>
        <v>#VALUE!</v>
      </c>
      <c r="BS194" s="245" t="e">
        <f t="shared" ca="1" si="191"/>
        <v>#VALUE!</v>
      </c>
      <c r="BT194" s="245" t="e">
        <f t="shared" ca="1" si="191"/>
        <v>#VALUE!</v>
      </c>
      <c r="BU194" s="245" t="e">
        <f t="shared" ca="1" si="191"/>
        <v>#VALUE!</v>
      </c>
      <c r="BV194" s="234" t="e">
        <f t="shared" ca="1" si="191"/>
        <v>#VALUE!</v>
      </c>
      <c r="BX194" s="171" t="s">
        <v>18</v>
      </c>
      <c r="BY194" s="244" t="e">
        <f t="shared" ref="BY194:CM194" ca="1" si="192">SUM(BY190:BY193)</f>
        <v>#VALUE!</v>
      </c>
      <c r="BZ194" s="245" t="e">
        <f t="shared" ca="1" si="192"/>
        <v>#VALUE!</v>
      </c>
      <c r="CA194" s="245" t="e">
        <f t="shared" ca="1" si="192"/>
        <v>#VALUE!</v>
      </c>
      <c r="CB194" s="245" t="e">
        <f t="shared" ca="1" si="192"/>
        <v>#VALUE!</v>
      </c>
      <c r="CC194" s="234" t="e">
        <f t="shared" ca="1" si="192"/>
        <v>#VALUE!</v>
      </c>
      <c r="CD194" s="244" t="e">
        <f t="shared" ca="1" si="192"/>
        <v>#VALUE!</v>
      </c>
      <c r="CE194" s="245" t="e">
        <f t="shared" ca="1" si="192"/>
        <v>#VALUE!</v>
      </c>
      <c r="CF194" s="245" t="e">
        <f t="shared" ca="1" si="192"/>
        <v>#VALUE!</v>
      </c>
      <c r="CG194" s="245" t="e">
        <f t="shared" ca="1" si="192"/>
        <v>#VALUE!</v>
      </c>
      <c r="CH194" s="234" t="e">
        <f t="shared" ca="1" si="192"/>
        <v>#VALUE!</v>
      </c>
      <c r="CI194" s="245" t="e">
        <f t="shared" ca="1" si="192"/>
        <v>#VALUE!</v>
      </c>
      <c r="CJ194" s="245" t="e">
        <f t="shared" ca="1" si="192"/>
        <v>#VALUE!</v>
      </c>
      <c r="CK194" s="245" t="e">
        <f t="shared" ca="1" si="192"/>
        <v>#VALUE!</v>
      </c>
      <c r="CL194" s="245" t="e">
        <f t="shared" ca="1" si="192"/>
        <v>#VALUE!</v>
      </c>
      <c r="CM194" s="234" t="e">
        <f t="shared" ca="1" si="192"/>
        <v>#VALUE!</v>
      </c>
      <c r="CO194" s="246">
        <f ca="1">SUM(CO190:CO193)</f>
        <v>0</v>
      </c>
      <c r="CP194" s="247">
        <f ca="1">SUM(CP190:CP193)</f>
        <v>0</v>
      </c>
      <c r="CQ194" s="247">
        <f ca="1">SUM(CQ190:CQ193)</f>
        <v>0</v>
      </c>
      <c r="CR194" s="246">
        <f ca="1">SUM(CR190:CR193)</f>
        <v>0</v>
      </c>
      <c r="CS194" s="248">
        <f ca="1">SUM(CS190:CS193)</f>
        <v>0</v>
      </c>
      <c r="CT194" s="249">
        <f ca="1">SUM(CR194:CS194)</f>
        <v>0</v>
      </c>
      <c r="CU194" s="246">
        <f ca="1">SUM(CU190:CU193)</f>
        <v>0</v>
      </c>
      <c r="CV194" s="247">
        <f ca="1">SUM(CV190:CV193)</f>
        <v>0</v>
      </c>
      <c r="CW194" s="247">
        <f ca="1">SUM(CW190:CW193)</f>
        <v>0</v>
      </c>
      <c r="DC194" s="148" t="e">
        <f ca="1">SUM(DC190:DC193)</f>
        <v>#VALUE!</v>
      </c>
      <c r="DD194" s="149" t="e">
        <f ca="1">SUM(DD190:DD193)</f>
        <v>#VALUE!</v>
      </c>
      <c r="DE194" s="149" t="e">
        <f ca="1">SUM(DE190:DE193)</f>
        <v>#VALUE!</v>
      </c>
      <c r="DF194" s="149" t="e">
        <f ca="1">SUM(DF190:DF193)</f>
        <v>#VALUE!</v>
      </c>
      <c r="DG194" s="150" t="e">
        <f ca="1">SUM(DG190:DG193)</f>
        <v>#VALUE!</v>
      </c>
    </row>
    <row r="195" spans="2:117" ht="15" thickBot="1" x14ac:dyDescent="0.4">
      <c r="J195" s="250"/>
      <c r="K195" s="250"/>
      <c r="L195" s="250"/>
      <c r="M195" s="250"/>
      <c r="N195" s="250"/>
      <c r="O195" s="250"/>
      <c r="P195" s="250"/>
      <c r="Q195" s="250"/>
      <c r="R195" s="250"/>
      <c r="S195" s="250"/>
      <c r="T195" s="251"/>
      <c r="U195" s="251"/>
      <c r="V195" s="251"/>
      <c r="W195" s="251"/>
      <c r="CO195" s="252"/>
      <c r="CP195" s="252"/>
      <c r="CQ195" s="252"/>
      <c r="CR195" s="252"/>
      <c r="CS195" s="252"/>
      <c r="CT195" s="252"/>
      <c r="CU195" s="252"/>
      <c r="CV195" s="252"/>
      <c r="CW195" s="252"/>
    </row>
    <row r="196" spans="2:117" ht="15" thickBot="1" x14ac:dyDescent="0.4">
      <c r="I196" s="21" t="s">
        <v>53</v>
      </c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3"/>
      <c r="Z196" s="24" t="s">
        <v>53</v>
      </c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6"/>
      <c r="AQ196" s="27" t="s">
        <v>53</v>
      </c>
      <c r="AR196" s="28"/>
      <c r="AS196" s="28"/>
      <c r="AT196" s="28"/>
      <c r="AU196" s="29"/>
      <c r="AV196" s="28"/>
      <c r="AW196" s="28"/>
      <c r="AX196" s="28"/>
      <c r="AY196" s="28"/>
      <c r="AZ196" s="28"/>
      <c r="BA196" s="28"/>
      <c r="BB196" s="28"/>
      <c r="BC196" s="28"/>
      <c r="BD196" s="28"/>
      <c r="BE196" s="30"/>
      <c r="BH196" s="31" t="s">
        <v>53</v>
      </c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3"/>
      <c r="BY196" s="34" t="s">
        <v>53</v>
      </c>
      <c r="BZ196" s="35"/>
      <c r="CA196" s="35"/>
      <c r="CB196" s="35"/>
      <c r="CC196" s="35"/>
      <c r="CD196" s="35"/>
      <c r="CE196" s="35"/>
      <c r="CF196" s="35"/>
      <c r="CG196" s="35"/>
      <c r="CH196" s="35"/>
      <c r="CI196" s="35"/>
      <c r="CJ196" s="35"/>
      <c r="CK196" s="35"/>
      <c r="CL196" s="35"/>
      <c r="CM196" s="36"/>
      <c r="CO196" s="34" t="s">
        <v>53</v>
      </c>
      <c r="CP196" s="35"/>
      <c r="CQ196" s="35"/>
      <c r="CR196" s="35"/>
      <c r="CS196" s="35"/>
      <c r="CT196" s="35"/>
      <c r="CU196" s="35"/>
      <c r="CV196" s="35"/>
      <c r="CW196" s="35"/>
      <c r="CX196" s="36"/>
      <c r="CZ196" s="34" t="s">
        <v>53</v>
      </c>
      <c r="DA196" s="35"/>
      <c r="DB196" s="35"/>
      <c r="DC196" s="35"/>
      <c r="DD196" s="35"/>
      <c r="DE196" s="35"/>
      <c r="DF196" s="35"/>
      <c r="DG196" s="35"/>
      <c r="DH196" s="35"/>
      <c r="DI196" s="36"/>
    </row>
    <row r="197" spans="2:117" ht="29.5" thickBot="1" x14ac:dyDescent="0.4">
      <c r="H197" s="37"/>
      <c r="I197" s="38" t="s">
        <v>30</v>
      </c>
      <c r="J197" s="39"/>
      <c r="K197" s="39"/>
      <c r="L197" s="39"/>
      <c r="M197" s="40"/>
      <c r="N197" s="38" t="s">
        <v>31</v>
      </c>
      <c r="O197" s="39"/>
      <c r="P197" s="39"/>
      <c r="Q197" s="39"/>
      <c r="R197" s="40"/>
      <c r="S197" s="38" t="s">
        <v>32</v>
      </c>
      <c r="T197" s="39"/>
      <c r="U197" s="39"/>
      <c r="V197" s="39"/>
      <c r="W197" s="40"/>
      <c r="Z197" s="41" t="s">
        <v>30</v>
      </c>
      <c r="AA197" s="42"/>
      <c r="AB197" s="42"/>
      <c r="AC197" s="42"/>
      <c r="AD197" s="43"/>
      <c r="AE197" s="41" t="s">
        <v>31</v>
      </c>
      <c r="AF197" s="42"/>
      <c r="AG197" s="42"/>
      <c r="AH197" s="42"/>
      <c r="AI197" s="43"/>
      <c r="AJ197" s="41" t="s">
        <v>32</v>
      </c>
      <c r="AK197" s="42"/>
      <c r="AL197" s="42"/>
      <c r="AM197" s="42"/>
      <c r="AN197" s="43"/>
      <c r="AQ197" s="44" t="s">
        <v>30</v>
      </c>
      <c r="AR197" s="45"/>
      <c r="AS197" s="45"/>
      <c r="AT197" s="45"/>
      <c r="AU197" s="46"/>
      <c r="AV197" s="44" t="s">
        <v>31</v>
      </c>
      <c r="AW197" s="45"/>
      <c r="AX197" s="45"/>
      <c r="AY197" s="45"/>
      <c r="AZ197" s="46"/>
      <c r="BA197" s="45" t="s">
        <v>32</v>
      </c>
      <c r="BB197" s="45"/>
      <c r="BC197" s="45"/>
      <c r="BD197" s="45"/>
      <c r="BE197" s="46"/>
      <c r="BH197" s="47" t="s">
        <v>30</v>
      </c>
      <c r="BI197" s="48"/>
      <c r="BJ197" s="48"/>
      <c r="BK197" s="48"/>
      <c r="BL197" s="49"/>
      <c r="BM197" s="47" t="s">
        <v>31</v>
      </c>
      <c r="BN197" s="48"/>
      <c r="BO197" s="48"/>
      <c r="BP197" s="48"/>
      <c r="BQ197" s="49"/>
      <c r="BR197" s="50" t="s">
        <v>32</v>
      </c>
      <c r="BS197" s="50"/>
      <c r="BT197" s="50"/>
      <c r="BU197" s="50"/>
      <c r="BV197" s="51"/>
      <c r="BY197" s="47" t="s">
        <v>30</v>
      </c>
      <c r="BZ197" s="48"/>
      <c r="CA197" s="48"/>
      <c r="CB197" s="48"/>
      <c r="CC197" s="49"/>
      <c r="CD197" s="47" t="s">
        <v>33</v>
      </c>
      <c r="CE197" s="48"/>
      <c r="CF197" s="48"/>
      <c r="CG197" s="48"/>
      <c r="CH197" s="49"/>
      <c r="CI197" s="50" t="s">
        <v>34</v>
      </c>
      <c r="CJ197" s="50"/>
      <c r="CK197" s="50"/>
      <c r="CL197" s="50"/>
      <c r="CM197" s="51"/>
      <c r="CO197" s="65" t="str">
        <f>[1]Tables!$AA$4</f>
        <v>07/27 - 06/28</v>
      </c>
      <c r="CP197" s="66" t="str">
        <f>[1]Tables!$AA$5</f>
        <v>07/28 - 06/29</v>
      </c>
      <c r="CQ197" s="66" t="str">
        <f>[1]Tables!$AA$6</f>
        <v>07/29 - 06/30</v>
      </c>
      <c r="CR197" s="66" t="str">
        <f>[1]Tables!$AA$7</f>
        <v>07/30 - 06/31</v>
      </c>
      <c r="CS197" s="67" t="str">
        <f>[1]Tables!$AA$8</f>
        <v>07/31 - 06/32</v>
      </c>
      <c r="CT197" s="65" t="str">
        <f>[1]Tables!$AA$4</f>
        <v>07/27 - 06/28</v>
      </c>
      <c r="CU197" s="66" t="str">
        <f>[1]Tables!$AA$5</f>
        <v>07/28 - 06/29</v>
      </c>
      <c r="CV197" s="66" t="str">
        <f>[1]Tables!$AA$6</f>
        <v>07/29 - 06/30</v>
      </c>
      <c r="CW197" s="66" t="str">
        <f>[1]Tables!$AA$7</f>
        <v>07/30 - 06/31</v>
      </c>
      <c r="CX197" s="67" t="str">
        <f>[1]Tables!$AA$8</f>
        <v>07/31 - 06/32</v>
      </c>
      <c r="CZ197" s="65" t="str">
        <f>[1]Tables!$AA$4</f>
        <v>07/27 - 06/28</v>
      </c>
      <c r="DA197" s="66" t="str">
        <f>[1]Tables!$AA$5</f>
        <v>07/28 - 06/29</v>
      </c>
      <c r="DB197" s="66" t="str">
        <f>[1]Tables!$AA$6</f>
        <v>07/29 - 06/30</v>
      </c>
      <c r="DC197" s="66" t="str">
        <f>[1]Tables!$AA$7</f>
        <v>07/30 - 06/31</v>
      </c>
      <c r="DD197" s="67" t="str">
        <f>[1]Tables!$AA$8</f>
        <v>07/31 - 06/32</v>
      </c>
      <c r="DE197" s="65" t="str">
        <f>[1]Tables!$AA$4</f>
        <v>07/27 - 06/28</v>
      </c>
      <c r="DF197" s="66" t="str">
        <f>[1]Tables!$AA$5</f>
        <v>07/28 - 06/29</v>
      </c>
      <c r="DG197" s="66" t="str">
        <f>[1]Tables!$AA$6</f>
        <v>07/29 - 06/30</v>
      </c>
      <c r="DH197" s="66" t="str">
        <f>[1]Tables!$AA$7</f>
        <v>07/30 - 06/31</v>
      </c>
      <c r="DI197" s="67" t="str">
        <f>[1]Tables!$AA$8</f>
        <v>07/31 - 06/32</v>
      </c>
    </row>
    <row r="198" spans="2:117" ht="15" thickBot="1" x14ac:dyDescent="0.4">
      <c r="H198" s="55"/>
      <c r="I198" s="56" t="str">
        <f>[1]Tables!$AA$4</f>
        <v>07/27 - 06/28</v>
      </c>
      <c r="J198" s="55" t="str">
        <f>[1]Tables!$AA$5</f>
        <v>07/28 - 06/29</v>
      </c>
      <c r="K198" s="55" t="str">
        <f>[1]Tables!$AA$6</f>
        <v>07/29 - 06/30</v>
      </c>
      <c r="L198" s="55" t="str">
        <f>[1]Tables!$AA$7</f>
        <v>07/30 - 06/31</v>
      </c>
      <c r="M198" s="57" t="str">
        <f>[1]Tables!$AA$8</f>
        <v>07/31 - 06/32</v>
      </c>
      <c r="N198" s="56" t="str">
        <f>[1]Tables!$AA$4</f>
        <v>07/27 - 06/28</v>
      </c>
      <c r="O198" s="55" t="str">
        <f>[1]Tables!$AA$5</f>
        <v>07/28 - 06/29</v>
      </c>
      <c r="P198" s="55" t="str">
        <f>[1]Tables!$AA$6</f>
        <v>07/29 - 06/30</v>
      </c>
      <c r="Q198" s="55" t="str">
        <f>[1]Tables!$AA$7</f>
        <v>07/30 - 06/31</v>
      </c>
      <c r="R198" s="57" t="str">
        <f>[1]Tables!$AA$8</f>
        <v>07/31 - 06/32</v>
      </c>
      <c r="S198" s="56" t="str">
        <f>[1]Tables!$AA$4</f>
        <v>07/27 - 06/28</v>
      </c>
      <c r="T198" s="55" t="str">
        <f>[1]Tables!$AA$5</f>
        <v>07/28 - 06/29</v>
      </c>
      <c r="U198" s="55" t="str">
        <f>[1]Tables!$AA$6</f>
        <v>07/29 - 06/30</v>
      </c>
      <c r="V198" s="55" t="str">
        <f>[1]Tables!$AA$7</f>
        <v>07/30 - 06/31</v>
      </c>
      <c r="W198" s="57" t="str">
        <f>[1]Tables!$AA$8</f>
        <v>07/31 - 06/32</v>
      </c>
      <c r="Y198" s="58"/>
      <c r="Z198" s="59" t="str">
        <f>[1]Tables!$AA$4</f>
        <v>07/27 - 06/28</v>
      </c>
      <c r="AA198" s="60" t="str">
        <f>[1]Tables!$AA$5</f>
        <v>07/28 - 06/29</v>
      </c>
      <c r="AB198" s="60" t="str">
        <f>[1]Tables!$AA$6</f>
        <v>07/29 - 06/30</v>
      </c>
      <c r="AC198" s="60" t="str">
        <f>[1]Tables!$AA$7</f>
        <v>07/30 - 06/31</v>
      </c>
      <c r="AD198" s="61" t="str">
        <f>[1]Tables!$AA$8</f>
        <v>07/31 - 06/32</v>
      </c>
      <c r="AE198" s="59" t="str">
        <f>[1]Tables!$AA$4</f>
        <v>07/27 - 06/28</v>
      </c>
      <c r="AF198" s="60" t="str">
        <f>[1]Tables!$AA$5</f>
        <v>07/28 - 06/29</v>
      </c>
      <c r="AG198" s="60" t="str">
        <f>[1]Tables!$AA$6</f>
        <v>07/29 - 06/30</v>
      </c>
      <c r="AH198" s="60" t="str">
        <f>[1]Tables!$AA$7</f>
        <v>07/30 - 06/31</v>
      </c>
      <c r="AI198" s="61" t="str">
        <f>[1]Tables!$AA$8</f>
        <v>07/31 - 06/32</v>
      </c>
      <c r="AJ198" s="59" t="str">
        <f>[1]Tables!$AA$4</f>
        <v>07/27 - 06/28</v>
      </c>
      <c r="AK198" s="60" t="str">
        <f>[1]Tables!$AA$5</f>
        <v>07/28 - 06/29</v>
      </c>
      <c r="AL198" s="60" t="str">
        <f>[1]Tables!$AA$6</f>
        <v>07/29 - 06/30</v>
      </c>
      <c r="AM198" s="60" t="str">
        <f>[1]Tables!$AA$7</f>
        <v>07/30 - 06/31</v>
      </c>
      <c r="AN198" s="61" t="str">
        <f>[1]Tables!$AA$8</f>
        <v>07/31 - 06/32</v>
      </c>
      <c r="AP198" s="58"/>
      <c r="AQ198" s="62" t="str">
        <f>[1]Tables!$AA$4</f>
        <v>07/27 - 06/28</v>
      </c>
      <c r="AR198" s="63" t="str">
        <f>[1]Tables!$AA$5</f>
        <v>07/28 - 06/29</v>
      </c>
      <c r="AS198" s="63" t="str">
        <f>[1]Tables!$AA$6</f>
        <v>07/29 - 06/30</v>
      </c>
      <c r="AT198" s="63" t="str">
        <f>[1]Tables!$AA$7</f>
        <v>07/30 - 06/31</v>
      </c>
      <c r="AU198" s="64" t="str">
        <f>[1]Tables!$AA$8</f>
        <v>07/31 - 06/32</v>
      </c>
      <c r="AV198" s="62" t="str">
        <f>[1]Tables!$AA$4</f>
        <v>07/27 - 06/28</v>
      </c>
      <c r="AW198" s="63" t="str">
        <f>[1]Tables!$AA$5</f>
        <v>07/28 - 06/29</v>
      </c>
      <c r="AX198" s="63" t="str">
        <f>[1]Tables!$AA$6</f>
        <v>07/29 - 06/30</v>
      </c>
      <c r="AY198" s="63" t="str">
        <f>[1]Tables!$AA$7</f>
        <v>07/30 - 06/31</v>
      </c>
      <c r="AZ198" s="64" t="str">
        <f>[1]Tables!$AA$8</f>
        <v>07/31 - 06/32</v>
      </c>
      <c r="BA198" s="63" t="str">
        <f>[1]Tables!$AA$4</f>
        <v>07/27 - 06/28</v>
      </c>
      <c r="BB198" s="63" t="str">
        <f>[1]Tables!$AA$5</f>
        <v>07/28 - 06/29</v>
      </c>
      <c r="BC198" s="63" t="str">
        <f>[1]Tables!$AA$6</f>
        <v>07/29 - 06/30</v>
      </c>
      <c r="BD198" s="63" t="str">
        <f>[1]Tables!$AA$7</f>
        <v>07/30 - 06/31</v>
      </c>
      <c r="BE198" s="64" t="str">
        <f>[1]Tables!$AA$8</f>
        <v>07/31 - 06/32</v>
      </c>
      <c r="BG198" s="58"/>
      <c r="BH198" s="65" t="str">
        <f>[1]Tables!$AA$4</f>
        <v>07/27 - 06/28</v>
      </c>
      <c r="BI198" s="66" t="str">
        <f>[1]Tables!$AA$5</f>
        <v>07/28 - 06/29</v>
      </c>
      <c r="BJ198" s="66" t="str">
        <f>[1]Tables!$AA$6</f>
        <v>07/29 - 06/30</v>
      </c>
      <c r="BK198" s="66" t="str">
        <f>[1]Tables!$AA$7</f>
        <v>07/30 - 06/31</v>
      </c>
      <c r="BL198" s="67" t="str">
        <f>[1]Tables!$AA$8</f>
        <v>07/31 - 06/32</v>
      </c>
      <c r="BM198" s="65" t="str">
        <f>[1]Tables!$AA$4</f>
        <v>07/27 - 06/28</v>
      </c>
      <c r="BN198" s="66" t="str">
        <f>[1]Tables!$AA$5</f>
        <v>07/28 - 06/29</v>
      </c>
      <c r="BO198" s="66" t="str">
        <f>[1]Tables!$AA$6</f>
        <v>07/29 - 06/30</v>
      </c>
      <c r="BP198" s="66" t="str">
        <f>[1]Tables!$AA$7</f>
        <v>07/30 - 06/31</v>
      </c>
      <c r="BQ198" s="67" t="str">
        <f>[1]Tables!$AA$8</f>
        <v>07/31 - 06/32</v>
      </c>
      <c r="BR198" s="66" t="str">
        <f>[1]Tables!$AA$4</f>
        <v>07/27 - 06/28</v>
      </c>
      <c r="BS198" s="66" t="str">
        <f>[1]Tables!$AA$5</f>
        <v>07/28 - 06/29</v>
      </c>
      <c r="BT198" s="66" t="str">
        <f>[1]Tables!$AA$6</f>
        <v>07/29 - 06/30</v>
      </c>
      <c r="BU198" s="66" t="str">
        <f>[1]Tables!$AA$7</f>
        <v>07/30 - 06/31</v>
      </c>
      <c r="BV198" s="67" t="str">
        <f>[1]Tables!$AA$8</f>
        <v>07/31 - 06/32</v>
      </c>
      <c r="BX198" s="58"/>
      <c r="BY198" s="65" t="str">
        <f>[1]Tables!$AA$4</f>
        <v>07/27 - 06/28</v>
      </c>
      <c r="BZ198" s="66" t="str">
        <f>[1]Tables!$AA$5</f>
        <v>07/28 - 06/29</v>
      </c>
      <c r="CA198" s="66" t="str">
        <f>[1]Tables!$AA$6</f>
        <v>07/29 - 06/30</v>
      </c>
      <c r="CB198" s="66" t="str">
        <f>[1]Tables!$AA$7</f>
        <v>07/30 - 06/31</v>
      </c>
      <c r="CC198" s="67" t="str">
        <f>[1]Tables!$AA$8</f>
        <v>07/31 - 06/32</v>
      </c>
      <c r="CD198" s="65" t="str">
        <f>[1]Tables!$AA$4</f>
        <v>07/27 - 06/28</v>
      </c>
      <c r="CE198" s="66" t="str">
        <f>[1]Tables!$AA$5</f>
        <v>07/28 - 06/29</v>
      </c>
      <c r="CF198" s="66" t="str">
        <f>[1]Tables!$AA$6</f>
        <v>07/29 - 06/30</v>
      </c>
      <c r="CG198" s="66" t="str">
        <f>[1]Tables!$AA$7</f>
        <v>07/30 - 06/31</v>
      </c>
      <c r="CH198" s="67" t="str">
        <f>[1]Tables!$AA$8</f>
        <v>07/31 - 06/32</v>
      </c>
      <c r="CI198" s="66" t="str">
        <f>[1]Tables!$AA$4</f>
        <v>07/27 - 06/28</v>
      </c>
      <c r="CJ198" s="66" t="str">
        <f>[1]Tables!$AA$5</f>
        <v>07/28 - 06/29</v>
      </c>
      <c r="CK198" s="66" t="str">
        <f>[1]Tables!$AA$6</f>
        <v>07/29 - 06/30</v>
      </c>
      <c r="CL198" s="66" t="str">
        <f>[1]Tables!$AA$7</f>
        <v>07/30 - 06/31</v>
      </c>
      <c r="CM198" s="67" t="str">
        <f>[1]Tables!$AA$8</f>
        <v>07/31 - 06/32</v>
      </c>
      <c r="CO198" s="115">
        <f t="shared" ref="CO198:CS201" ca="1" si="193">IFERROR(((BY58-(BY172+CD181))+BY172)/BY172, 1)</f>
        <v>1</v>
      </c>
      <c r="CP198" s="116">
        <f t="shared" ca="1" si="193"/>
        <v>1</v>
      </c>
      <c r="CQ198" s="116">
        <f t="shared" ca="1" si="193"/>
        <v>1</v>
      </c>
      <c r="CR198" s="116">
        <f t="shared" ca="1" si="193"/>
        <v>1</v>
      </c>
      <c r="CS198" s="117">
        <f t="shared" ca="1" si="193"/>
        <v>1</v>
      </c>
      <c r="CT198" s="115">
        <f t="shared" ref="CT198:CX201" ca="1" si="194">IFERROR(((CD58-(CD172+BY181))+CD172)/CD172, 1)</f>
        <v>1</v>
      </c>
      <c r="CU198" s="116">
        <f t="shared" ca="1" si="194"/>
        <v>1</v>
      </c>
      <c r="CV198" s="116">
        <f t="shared" ca="1" si="194"/>
        <v>1</v>
      </c>
      <c r="CW198" s="116">
        <f t="shared" ca="1" si="194"/>
        <v>1</v>
      </c>
      <c r="CX198" s="117">
        <f t="shared" ca="1" si="194"/>
        <v>1</v>
      </c>
      <c r="CY198" s="269"/>
      <c r="CZ198" s="115">
        <f t="shared" ref="CZ198:DD201" ca="1" si="195">IFERROR((((BY58+BY108)-(BY172+BY276+CD181+CD285))+(BY172+BY276))/(BY172+BY276), 1)</f>
        <v>1</v>
      </c>
      <c r="DA198" s="116">
        <f t="shared" ca="1" si="195"/>
        <v>1</v>
      </c>
      <c r="DB198" s="116">
        <f t="shared" ca="1" si="195"/>
        <v>1</v>
      </c>
      <c r="DC198" s="116">
        <f t="shared" ca="1" si="195"/>
        <v>1</v>
      </c>
      <c r="DD198" s="117">
        <f t="shared" ca="1" si="195"/>
        <v>1</v>
      </c>
      <c r="DE198" s="115">
        <f t="shared" ref="DE198:DI201" ca="1" si="196">IFERROR((((CD58+CD108)-(CD172+CD276+BY181+BY285))+CD172+CD276)/(CD172+CD276), 1)</f>
        <v>1</v>
      </c>
      <c r="DF198" s="116">
        <f t="shared" ca="1" si="196"/>
        <v>1</v>
      </c>
      <c r="DG198" s="116">
        <f t="shared" ca="1" si="196"/>
        <v>1</v>
      </c>
      <c r="DH198" s="116">
        <f t="shared" ca="1" si="196"/>
        <v>1</v>
      </c>
      <c r="DI198" s="117">
        <f t="shared" ca="1" si="196"/>
        <v>1</v>
      </c>
    </row>
    <row r="199" spans="2:117" x14ac:dyDescent="0.35">
      <c r="B199" s="68" t="s">
        <v>11</v>
      </c>
      <c r="C199" s="69">
        <v>30</v>
      </c>
      <c r="D199" s="69" t="s">
        <v>12</v>
      </c>
      <c r="E199" s="70" t="s">
        <v>12</v>
      </c>
      <c r="F199" s="106">
        <v>1</v>
      </c>
      <c r="H199" s="71" t="s">
        <v>14</v>
      </c>
      <c r="I199" s="253">
        <f ca="1">MIN([1]Tables!$AV$4*[1]Tables!$AX$4, N208)</f>
        <v>0</v>
      </c>
      <c r="J199" s="254">
        <f ca="1">MIN([1]Tables!$AV$4+I199, O208)</f>
        <v>0</v>
      </c>
      <c r="K199" s="254">
        <f ca="1">MIN([1]Tables!$AV$4+J199, P208)</f>
        <v>0</v>
      </c>
      <c r="L199" s="254">
        <f ca="1">MIN([1]Tables!$AV$4+K199, Q208)</f>
        <v>0</v>
      </c>
      <c r="M199" s="255">
        <f ca="1">MIN([1]Tables!$AV$4+L199, R208)</f>
        <v>0</v>
      </c>
      <c r="N199" s="205" t="e">
        <f t="shared" ref="N199:R202" ca="1" si="197">I199*S190</f>
        <v>#VALUE!</v>
      </c>
      <c r="O199" s="206" t="e">
        <f t="shared" ca="1" si="197"/>
        <v>#VALUE!</v>
      </c>
      <c r="P199" s="206" t="e">
        <f t="shared" ca="1" si="197"/>
        <v>#VALUE!</v>
      </c>
      <c r="Q199" s="206" t="e">
        <f t="shared" ca="1" si="197"/>
        <v>#VALUE!</v>
      </c>
      <c r="R199" s="207" t="e">
        <f t="shared" ca="1" si="197"/>
        <v>#VALUE!</v>
      </c>
      <c r="S199" s="205" t="e">
        <f t="shared" ref="S199:W202" ca="1" si="198">N199+N190</f>
        <v>#VALUE!</v>
      </c>
      <c r="T199" s="206" t="e">
        <f t="shared" ca="1" si="198"/>
        <v>#VALUE!</v>
      </c>
      <c r="U199" s="206" t="e">
        <f t="shared" ca="1" si="198"/>
        <v>#VALUE!</v>
      </c>
      <c r="V199" s="206" t="e">
        <f t="shared" ca="1" si="198"/>
        <v>#VALUE!</v>
      </c>
      <c r="W199" s="207" t="e">
        <f t="shared" ca="1" si="198"/>
        <v>#VALUE!</v>
      </c>
      <c r="Y199" s="77" t="s">
        <v>14</v>
      </c>
      <c r="Z199" s="256">
        <f t="shared" ref="Z199:AD202" ca="1" si="199">I199</f>
        <v>0</v>
      </c>
      <c r="AA199" s="254">
        <f t="shared" ca="1" si="199"/>
        <v>0</v>
      </c>
      <c r="AB199" s="254">
        <f t="shared" ca="1" si="199"/>
        <v>0</v>
      </c>
      <c r="AC199" s="254">
        <f t="shared" ca="1" si="199"/>
        <v>0</v>
      </c>
      <c r="AD199" s="257">
        <f t="shared" ca="1" si="199"/>
        <v>0</v>
      </c>
      <c r="AE199" s="208">
        <f t="shared" ref="AE199:AI202" ca="1" si="200">Z199*AJ190</f>
        <v>0</v>
      </c>
      <c r="AF199" s="206">
        <f t="shared" ca="1" si="200"/>
        <v>0</v>
      </c>
      <c r="AG199" s="206">
        <f t="shared" ca="1" si="200"/>
        <v>0</v>
      </c>
      <c r="AH199" s="206">
        <f t="shared" ca="1" si="200"/>
        <v>0</v>
      </c>
      <c r="AI199" s="209">
        <f t="shared" ca="1" si="200"/>
        <v>0</v>
      </c>
      <c r="AJ199" s="208">
        <f t="shared" ref="AJ199:AN202" ca="1" si="201">AE199+AE190</f>
        <v>0</v>
      </c>
      <c r="AK199" s="206">
        <f t="shared" ca="1" si="201"/>
        <v>0</v>
      </c>
      <c r="AL199" s="206">
        <f t="shared" ca="1" si="201"/>
        <v>0</v>
      </c>
      <c r="AM199" s="206">
        <f t="shared" ca="1" si="201"/>
        <v>0</v>
      </c>
      <c r="AN199" s="209">
        <f t="shared" ca="1" si="201"/>
        <v>0</v>
      </c>
      <c r="AP199" s="83" t="s">
        <v>14</v>
      </c>
      <c r="AQ199" s="258">
        <f t="shared" ref="AQ199:AU202" ca="1" si="202">MIN(I199, AV208)</f>
        <v>0</v>
      </c>
      <c r="AR199" s="254">
        <f t="shared" ca="1" si="202"/>
        <v>0</v>
      </c>
      <c r="AS199" s="254">
        <f t="shared" ca="1" si="202"/>
        <v>0</v>
      </c>
      <c r="AT199" s="254">
        <f t="shared" ca="1" si="202"/>
        <v>0</v>
      </c>
      <c r="AU199" s="259">
        <f t="shared" ca="1" si="202"/>
        <v>0</v>
      </c>
      <c r="AV199" s="260" t="e">
        <f t="shared" ref="AV199:AZ202" ca="1" si="203">AQ199*BA190</f>
        <v>#VALUE!</v>
      </c>
      <c r="AW199" s="206" t="e">
        <f t="shared" ca="1" si="203"/>
        <v>#VALUE!</v>
      </c>
      <c r="AX199" s="206" t="e">
        <f t="shared" ca="1" si="203"/>
        <v>#VALUE!</v>
      </c>
      <c r="AY199" s="206" t="e">
        <f t="shared" ca="1" si="203"/>
        <v>#VALUE!</v>
      </c>
      <c r="AZ199" s="212" t="e">
        <f t="shared" ca="1" si="203"/>
        <v>#VALUE!</v>
      </c>
      <c r="BA199" s="206" t="e">
        <f t="shared" ref="BA199:BE202" ca="1" si="204">AV199+AV190</f>
        <v>#VALUE!</v>
      </c>
      <c r="BB199" s="206" t="e">
        <f t="shared" ca="1" si="204"/>
        <v>#VALUE!</v>
      </c>
      <c r="BC199" s="206" t="e">
        <f t="shared" ca="1" si="204"/>
        <v>#VALUE!</v>
      </c>
      <c r="BD199" s="206" t="e">
        <f t="shared" ca="1" si="204"/>
        <v>#VALUE!</v>
      </c>
      <c r="BE199" s="212" t="e">
        <f t="shared" ca="1" si="204"/>
        <v>#VALUE!</v>
      </c>
      <c r="BG199" s="88" t="s">
        <v>14</v>
      </c>
      <c r="BH199" s="261">
        <f t="shared" ref="BH199:BL202" ca="1" si="205">AQ199</f>
        <v>0</v>
      </c>
      <c r="BI199" s="254">
        <f t="shared" ca="1" si="205"/>
        <v>0</v>
      </c>
      <c r="BJ199" s="254">
        <f t="shared" ca="1" si="205"/>
        <v>0</v>
      </c>
      <c r="BK199" s="254">
        <f t="shared" ca="1" si="205"/>
        <v>0</v>
      </c>
      <c r="BL199" s="262">
        <f t="shared" ca="1" si="205"/>
        <v>0</v>
      </c>
      <c r="BM199" s="213" t="e">
        <f t="shared" ref="BM199:BQ202" ca="1" si="206">BH199*BR190</f>
        <v>#VALUE!</v>
      </c>
      <c r="BN199" s="206" t="e">
        <f t="shared" ca="1" si="206"/>
        <v>#VALUE!</v>
      </c>
      <c r="BO199" s="206" t="e">
        <f t="shared" ca="1" si="206"/>
        <v>#VALUE!</v>
      </c>
      <c r="BP199" s="206" t="e">
        <f t="shared" ca="1" si="206"/>
        <v>#VALUE!</v>
      </c>
      <c r="BQ199" s="214" t="e">
        <f t="shared" ca="1" si="206"/>
        <v>#VALUE!</v>
      </c>
      <c r="BR199" s="215" t="e">
        <f t="shared" ref="BR199:BV202" ca="1" si="207">BM199+BM190</f>
        <v>#VALUE!</v>
      </c>
      <c r="BS199" s="216" t="e">
        <f t="shared" ca="1" si="207"/>
        <v>#VALUE!</v>
      </c>
      <c r="BT199" s="216" t="e">
        <f t="shared" ca="1" si="207"/>
        <v>#VALUE!</v>
      </c>
      <c r="BU199" s="216" t="e">
        <f t="shared" ca="1" si="207"/>
        <v>#VALUE!</v>
      </c>
      <c r="BV199" s="217" t="e">
        <f t="shared" ca="1" si="207"/>
        <v>#VALUE!</v>
      </c>
      <c r="BX199" s="88" t="s">
        <v>14</v>
      </c>
      <c r="BY199" s="378" cm="1">
        <f t="array" aca="1" ref="BY199" ca="1">_xlfn.SINGLE(IFERROR(SUMIFS(rng_out_rx_post_yr1, rng_out_GB_Medispan, "B", rng_out_mail_ind, $B199, rng_out_ds, $C199, rng_out_sel_sp_ind, $D199, rng_out_sel_excl_ind,$E199, rng_out_post_reb_ind_yr1, 1)/[1]Tables!$AT$4, 0))</f>
        <v>0</v>
      </c>
      <c r="BZ199" s="379" cm="1">
        <f t="array" aca="1" ref="BZ199" ca="1">_xlfn.SINGLE(IFERROR(SUMIFS(rng_out_rx_post_yr2, rng_out_GB_Medispan, "B", rng_out_mail_ind, $B199, rng_out_ds, $C199, rng_out_sel_sp_ind, $D199, rng_out_sel_excl_ind,$E199, rng_out_post_reb_ind_yr2, 1)/[1]Tables!$AT$4, 0))</f>
        <v>0</v>
      </c>
      <c r="CA199" s="379" cm="1">
        <f t="array" aca="1" ref="CA199" ca="1">_xlfn.SINGLE(IFERROR(SUMIFS(rng_out_rx_post_yr3, rng_out_GB_Medispan, "B", rng_out_mail_ind, $B199, rng_out_ds, $C199, rng_out_sel_sp_ind, $D199, rng_out_sel_excl_ind,$E199, rng_out_post_reb_ind_yr3, 1)/[1]Tables!$AT$4, 0))</f>
        <v>0</v>
      </c>
      <c r="CB199" s="379" cm="1">
        <f t="array" aca="1" ref="CB199" ca="1">_xlfn.SINGLE(IFERROR(SUMIFS(rng_out_rx_post_yr4, rng_out_GB_Medispan, "B", rng_out_mail_ind, $B199, rng_out_ds, $C199, rng_out_sel_sp_ind, $D199, rng_out_sel_excl_ind,$E199, rng_out_post_reb_ind_yr4, 1)/[1]Tables!$AT$4, 0))</f>
        <v>0</v>
      </c>
      <c r="CC199" s="380" cm="1">
        <f t="array" aca="1" ref="CC199" ca="1">_xlfn.SINGLE(IFERROR(SUMIFS(rng_out_rx_post_yr5, rng_out_GB_Medispan, "B", rng_out_mail_ind, $B199, rng_out_ds, $C199, rng_out_sel_sp_ind, $D199, rng_out_sel_excl_ind,$E199, rng_out_post_reb_ind_yr5, 1)/[1]Tables!$AT$4, 0))</f>
        <v>0</v>
      </c>
      <c r="CD199" s="266">
        <f t="shared" ref="CD199:CH202" ca="1" si="208">IFERROR((BR199 * (BY199/BM190) - DC190) / (BR199 - DC190), 0)</f>
        <v>0</v>
      </c>
      <c r="CE199" s="267">
        <f t="shared" ca="1" si="208"/>
        <v>0</v>
      </c>
      <c r="CF199" s="267">
        <f t="shared" ca="1" si="208"/>
        <v>0</v>
      </c>
      <c r="CG199" s="267">
        <f t="shared" ca="1" si="208"/>
        <v>0</v>
      </c>
      <c r="CH199" s="268">
        <f t="shared" ca="1" si="208"/>
        <v>0</v>
      </c>
      <c r="CI199" s="215" t="e">
        <f t="shared" ref="CI199:CM202" ca="1" si="209">CD190*CD199</f>
        <v>#VALUE!</v>
      </c>
      <c r="CJ199" s="216" t="e">
        <f t="shared" ca="1" si="209"/>
        <v>#VALUE!</v>
      </c>
      <c r="CK199" s="216" t="e">
        <f t="shared" ca="1" si="209"/>
        <v>#VALUE!</v>
      </c>
      <c r="CL199" s="216" t="e">
        <f t="shared" ca="1" si="209"/>
        <v>#VALUE!</v>
      </c>
      <c r="CM199" s="217" t="e">
        <f t="shared" ca="1" si="209"/>
        <v>#VALUE!</v>
      </c>
      <c r="CO199" s="115">
        <f t="shared" ca="1" si="193"/>
        <v>1</v>
      </c>
      <c r="CP199" s="116">
        <f t="shared" ca="1" si="193"/>
        <v>1</v>
      </c>
      <c r="CQ199" s="116">
        <f t="shared" ca="1" si="193"/>
        <v>1</v>
      </c>
      <c r="CR199" s="116">
        <f t="shared" ca="1" si="193"/>
        <v>1</v>
      </c>
      <c r="CS199" s="117">
        <f t="shared" ca="1" si="193"/>
        <v>1</v>
      </c>
      <c r="CT199" s="115">
        <f t="shared" ca="1" si="194"/>
        <v>1</v>
      </c>
      <c r="CU199" s="116">
        <f t="shared" ca="1" si="194"/>
        <v>1</v>
      </c>
      <c r="CV199" s="116">
        <f t="shared" ca="1" si="194"/>
        <v>1</v>
      </c>
      <c r="CW199" s="116">
        <f t="shared" ca="1" si="194"/>
        <v>1</v>
      </c>
      <c r="CX199" s="117">
        <f t="shared" ca="1" si="194"/>
        <v>1</v>
      </c>
      <c r="CY199" s="269"/>
      <c r="CZ199" s="115">
        <f t="shared" ca="1" si="195"/>
        <v>1</v>
      </c>
      <c r="DA199" s="116">
        <f t="shared" ca="1" si="195"/>
        <v>1</v>
      </c>
      <c r="DB199" s="116">
        <f t="shared" ca="1" si="195"/>
        <v>1</v>
      </c>
      <c r="DC199" s="116">
        <f t="shared" ca="1" si="195"/>
        <v>1</v>
      </c>
      <c r="DD199" s="117">
        <f t="shared" ca="1" si="195"/>
        <v>1</v>
      </c>
      <c r="DE199" s="115">
        <f t="shared" ca="1" si="196"/>
        <v>1</v>
      </c>
      <c r="DF199" s="116">
        <f t="shared" ca="1" si="196"/>
        <v>1</v>
      </c>
      <c r="DG199" s="116">
        <f t="shared" ca="1" si="196"/>
        <v>1</v>
      </c>
      <c r="DH199" s="116">
        <f t="shared" ca="1" si="196"/>
        <v>1</v>
      </c>
      <c r="DI199" s="117">
        <f t="shared" ca="1" si="196"/>
        <v>1</v>
      </c>
    </row>
    <row r="200" spans="2:117" x14ac:dyDescent="0.35">
      <c r="B200" s="105" t="s">
        <v>11</v>
      </c>
      <c r="C200" s="106">
        <v>90</v>
      </c>
      <c r="D200" s="106" t="s">
        <v>12</v>
      </c>
      <c r="E200" s="107" t="s">
        <v>12</v>
      </c>
      <c r="F200" s="106">
        <v>1</v>
      </c>
      <c r="H200" s="108" t="s">
        <v>15</v>
      </c>
      <c r="I200" s="253">
        <f ca="1">MIN([1]Tables!$AV$4*[1]Tables!$AX$4, N209)</f>
        <v>0</v>
      </c>
      <c r="J200" s="254">
        <f ca="1">MIN([1]Tables!$AV$4+I200,O209)</f>
        <v>0</v>
      </c>
      <c r="K200" s="254">
        <f ca="1">MIN([1]Tables!$AV$4+J200,P209)</f>
        <v>0</v>
      </c>
      <c r="L200" s="254">
        <f ca="1">MIN([1]Tables!$AV$4+K200,Q209)</f>
        <v>0</v>
      </c>
      <c r="M200" s="255">
        <f ca="1">MIN([1]Tables!$AV$4+L200,R209)</f>
        <v>0</v>
      </c>
      <c r="N200" s="205" t="e">
        <f t="shared" ca="1" si="197"/>
        <v>#VALUE!</v>
      </c>
      <c r="O200" s="206" t="e">
        <f t="shared" ca="1" si="197"/>
        <v>#VALUE!</v>
      </c>
      <c r="P200" s="206" t="e">
        <f t="shared" ca="1" si="197"/>
        <v>#VALUE!</v>
      </c>
      <c r="Q200" s="206" t="e">
        <f t="shared" ca="1" si="197"/>
        <v>#VALUE!</v>
      </c>
      <c r="R200" s="207" t="e">
        <f t="shared" ca="1" si="197"/>
        <v>#VALUE!</v>
      </c>
      <c r="S200" s="205" t="e">
        <f t="shared" ca="1" si="198"/>
        <v>#VALUE!</v>
      </c>
      <c r="T200" s="206" t="e">
        <f t="shared" ca="1" si="198"/>
        <v>#VALUE!</v>
      </c>
      <c r="U200" s="206" t="e">
        <f t="shared" ca="1" si="198"/>
        <v>#VALUE!</v>
      </c>
      <c r="V200" s="206" t="e">
        <f t="shared" ca="1" si="198"/>
        <v>#VALUE!</v>
      </c>
      <c r="W200" s="207" t="e">
        <f t="shared" ca="1" si="198"/>
        <v>#VALUE!</v>
      </c>
      <c r="Y200" s="109" t="s">
        <v>15</v>
      </c>
      <c r="Z200" s="256">
        <f t="shared" ca="1" si="199"/>
        <v>0</v>
      </c>
      <c r="AA200" s="254">
        <f t="shared" ca="1" si="199"/>
        <v>0</v>
      </c>
      <c r="AB200" s="254">
        <f t="shared" ca="1" si="199"/>
        <v>0</v>
      </c>
      <c r="AC200" s="254">
        <f t="shared" ca="1" si="199"/>
        <v>0</v>
      </c>
      <c r="AD200" s="257">
        <f t="shared" ca="1" si="199"/>
        <v>0</v>
      </c>
      <c r="AE200" s="208">
        <f t="shared" ca="1" si="200"/>
        <v>0</v>
      </c>
      <c r="AF200" s="206">
        <f t="shared" ca="1" si="200"/>
        <v>0</v>
      </c>
      <c r="AG200" s="206">
        <f t="shared" ca="1" si="200"/>
        <v>0</v>
      </c>
      <c r="AH200" s="206">
        <f t="shared" ca="1" si="200"/>
        <v>0</v>
      </c>
      <c r="AI200" s="209">
        <f t="shared" ca="1" si="200"/>
        <v>0</v>
      </c>
      <c r="AJ200" s="208">
        <f t="shared" ca="1" si="201"/>
        <v>0</v>
      </c>
      <c r="AK200" s="206">
        <f t="shared" ca="1" si="201"/>
        <v>0</v>
      </c>
      <c r="AL200" s="206">
        <f t="shared" ca="1" si="201"/>
        <v>0</v>
      </c>
      <c r="AM200" s="206">
        <f t="shared" ca="1" si="201"/>
        <v>0</v>
      </c>
      <c r="AN200" s="209">
        <f t="shared" ca="1" si="201"/>
        <v>0</v>
      </c>
      <c r="AP200" s="110" t="s">
        <v>15</v>
      </c>
      <c r="AQ200" s="258">
        <f t="shared" ca="1" si="202"/>
        <v>0</v>
      </c>
      <c r="AR200" s="254">
        <f t="shared" ca="1" si="202"/>
        <v>0</v>
      </c>
      <c r="AS200" s="254">
        <f t="shared" ca="1" si="202"/>
        <v>0</v>
      </c>
      <c r="AT200" s="254">
        <f t="shared" ca="1" si="202"/>
        <v>0</v>
      </c>
      <c r="AU200" s="259">
        <f t="shared" ca="1" si="202"/>
        <v>0</v>
      </c>
      <c r="AV200" s="260" t="e">
        <f t="shared" ca="1" si="203"/>
        <v>#VALUE!</v>
      </c>
      <c r="AW200" s="206" t="e">
        <f t="shared" ca="1" si="203"/>
        <v>#VALUE!</v>
      </c>
      <c r="AX200" s="206" t="e">
        <f t="shared" ca="1" si="203"/>
        <v>#VALUE!</v>
      </c>
      <c r="AY200" s="206" t="e">
        <f t="shared" ca="1" si="203"/>
        <v>#VALUE!</v>
      </c>
      <c r="AZ200" s="212" t="e">
        <f t="shared" ca="1" si="203"/>
        <v>#VALUE!</v>
      </c>
      <c r="BA200" s="206" t="e">
        <f t="shared" ca="1" si="204"/>
        <v>#VALUE!</v>
      </c>
      <c r="BB200" s="206" t="e">
        <f t="shared" ca="1" si="204"/>
        <v>#VALUE!</v>
      </c>
      <c r="BC200" s="206" t="e">
        <f t="shared" ca="1" si="204"/>
        <v>#VALUE!</v>
      </c>
      <c r="BD200" s="206" t="e">
        <f t="shared" ca="1" si="204"/>
        <v>#VALUE!</v>
      </c>
      <c r="BE200" s="212" t="e">
        <f t="shared" ca="1" si="204"/>
        <v>#VALUE!</v>
      </c>
      <c r="BG200" s="111" t="s">
        <v>15</v>
      </c>
      <c r="BH200" s="261">
        <f t="shared" ca="1" si="205"/>
        <v>0</v>
      </c>
      <c r="BI200" s="254">
        <f t="shared" ca="1" si="205"/>
        <v>0</v>
      </c>
      <c r="BJ200" s="254">
        <f t="shared" ca="1" si="205"/>
        <v>0</v>
      </c>
      <c r="BK200" s="254">
        <f t="shared" ca="1" si="205"/>
        <v>0</v>
      </c>
      <c r="BL200" s="262">
        <f t="shared" ca="1" si="205"/>
        <v>0</v>
      </c>
      <c r="BM200" s="213" t="e">
        <f t="shared" ca="1" si="206"/>
        <v>#VALUE!</v>
      </c>
      <c r="BN200" s="206" t="e">
        <f t="shared" ca="1" si="206"/>
        <v>#VALUE!</v>
      </c>
      <c r="BO200" s="206" t="e">
        <f t="shared" ca="1" si="206"/>
        <v>#VALUE!</v>
      </c>
      <c r="BP200" s="206" t="e">
        <f t="shared" ca="1" si="206"/>
        <v>#VALUE!</v>
      </c>
      <c r="BQ200" s="214" t="e">
        <f t="shared" ca="1" si="206"/>
        <v>#VALUE!</v>
      </c>
      <c r="BR200" s="213" t="e">
        <f t="shared" ca="1" si="207"/>
        <v>#VALUE!</v>
      </c>
      <c r="BS200" s="206" t="e">
        <f t="shared" ca="1" si="207"/>
        <v>#VALUE!</v>
      </c>
      <c r="BT200" s="206" t="e">
        <f t="shared" ca="1" si="207"/>
        <v>#VALUE!</v>
      </c>
      <c r="BU200" s="206" t="e">
        <f t="shared" ca="1" si="207"/>
        <v>#VALUE!</v>
      </c>
      <c r="BV200" s="214" t="e">
        <f t="shared" ca="1" si="207"/>
        <v>#VALUE!</v>
      </c>
      <c r="BX200" s="111" t="s">
        <v>15</v>
      </c>
      <c r="BY200" s="378" cm="1">
        <f t="array" aca="1" ref="BY200" ca="1">_xlfn.SINGLE(IFERROR(SUMIFS(rng_out_rx_post_yr1, rng_out_GB_Medispan, "B", rng_out_mail_ind, $B200, rng_out_ds, $C200, rng_out_sel_sp_ind, $D200, rng_out_sel_excl_ind,$E200, rng_out_post_reb_ind_yr1, 1)/[1]Tables!$AT$4, 0))</f>
        <v>0</v>
      </c>
      <c r="BZ200" s="379" cm="1">
        <f t="array" aca="1" ref="BZ200" ca="1">_xlfn.SINGLE(IFERROR(SUMIFS(rng_out_rx_post_yr2, rng_out_GB_Medispan, "B", rng_out_mail_ind, $B200, rng_out_ds, $C200, rng_out_sel_sp_ind, $D200, rng_out_sel_excl_ind,$E200, rng_out_post_reb_ind_yr2, 1)/[1]Tables!$AT$4, 0))</f>
        <v>0</v>
      </c>
      <c r="CA200" s="379" cm="1">
        <f t="array" aca="1" ref="CA200" ca="1">_xlfn.SINGLE(IFERROR(SUMIFS(rng_out_rx_post_yr3, rng_out_GB_Medispan, "B", rng_out_mail_ind, $B200, rng_out_ds, $C200, rng_out_sel_sp_ind, $D200, rng_out_sel_excl_ind,$E200, rng_out_post_reb_ind_yr3, 1)/[1]Tables!$AT$4, 0))</f>
        <v>0</v>
      </c>
      <c r="CB200" s="379" cm="1">
        <f t="array" aca="1" ref="CB200" ca="1">_xlfn.SINGLE(IFERROR(SUMIFS(rng_out_rx_post_yr4, rng_out_GB_Medispan, "B", rng_out_mail_ind, $B200, rng_out_ds, $C200, rng_out_sel_sp_ind, $D200, rng_out_sel_excl_ind,$E200, rng_out_post_reb_ind_yr4, 1)/[1]Tables!$AT$4, 0))</f>
        <v>0</v>
      </c>
      <c r="CC200" s="380" cm="1">
        <f t="array" aca="1" ref="CC200" ca="1">_xlfn.SINGLE(IFERROR(SUMIFS(rng_out_rx_post_yr5, rng_out_GB_Medispan, "B", rng_out_mail_ind, $B200, rng_out_ds, $C200, rng_out_sel_sp_ind, $D200, rng_out_sel_excl_ind,$E200, rng_out_post_reb_ind_yr5, 1)/[1]Tables!$AT$4, 0))</f>
        <v>0</v>
      </c>
      <c r="CD200" s="266">
        <f t="shared" ca="1" si="208"/>
        <v>0</v>
      </c>
      <c r="CE200" s="267">
        <f t="shared" ca="1" si="208"/>
        <v>0</v>
      </c>
      <c r="CF200" s="267">
        <f t="shared" ca="1" si="208"/>
        <v>0</v>
      </c>
      <c r="CG200" s="267">
        <f t="shared" ca="1" si="208"/>
        <v>0</v>
      </c>
      <c r="CH200" s="268">
        <f t="shared" ca="1" si="208"/>
        <v>0</v>
      </c>
      <c r="CI200" s="213" t="e">
        <f t="shared" ca="1" si="209"/>
        <v>#VALUE!</v>
      </c>
      <c r="CJ200" s="206" t="e">
        <f t="shared" ca="1" si="209"/>
        <v>#VALUE!</v>
      </c>
      <c r="CK200" s="206" t="e">
        <f t="shared" ca="1" si="209"/>
        <v>#VALUE!</v>
      </c>
      <c r="CL200" s="206" t="e">
        <f t="shared" ca="1" si="209"/>
        <v>#VALUE!</v>
      </c>
      <c r="CM200" s="214" t="e">
        <f t="shared" ca="1" si="209"/>
        <v>#VALUE!</v>
      </c>
      <c r="CO200" s="115">
        <f t="shared" ca="1" si="193"/>
        <v>1</v>
      </c>
      <c r="CP200" s="116">
        <f t="shared" ca="1" si="193"/>
        <v>1</v>
      </c>
      <c r="CQ200" s="116">
        <f t="shared" ca="1" si="193"/>
        <v>1</v>
      </c>
      <c r="CR200" s="116">
        <f t="shared" ca="1" si="193"/>
        <v>1</v>
      </c>
      <c r="CS200" s="117">
        <f t="shared" ca="1" si="193"/>
        <v>1</v>
      </c>
      <c r="CT200" s="115">
        <f t="shared" ca="1" si="194"/>
        <v>1</v>
      </c>
      <c r="CU200" s="116">
        <f t="shared" ca="1" si="194"/>
        <v>1</v>
      </c>
      <c r="CV200" s="116">
        <f t="shared" ca="1" si="194"/>
        <v>1</v>
      </c>
      <c r="CW200" s="116">
        <f t="shared" ca="1" si="194"/>
        <v>1</v>
      </c>
      <c r="CX200" s="117">
        <f t="shared" ca="1" si="194"/>
        <v>1</v>
      </c>
      <c r="CY200" s="269"/>
      <c r="CZ200" s="115">
        <f t="shared" ca="1" si="195"/>
        <v>1</v>
      </c>
      <c r="DA200" s="116">
        <f t="shared" ca="1" si="195"/>
        <v>1</v>
      </c>
      <c r="DB200" s="116">
        <f t="shared" ca="1" si="195"/>
        <v>1</v>
      </c>
      <c r="DC200" s="116">
        <f t="shared" ca="1" si="195"/>
        <v>1</v>
      </c>
      <c r="DD200" s="117">
        <f t="shared" ca="1" si="195"/>
        <v>1</v>
      </c>
      <c r="DE200" s="115">
        <f t="shared" ca="1" si="196"/>
        <v>1</v>
      </c>
      <c r="DF200" s="116">
        <f t="shared" ca="1" si="196"/>
        <v>1</v>
      </c>
      <c r="DG200" s="116">
        <f t="shared" ca="1" si="196"/>
        <v>1</v>
      </c>
      <c r="DH200" s="116">
        <f t="shared" ca="1" si="196"/>
        <v>1</v>
      </c>
      <c r="DI200" s="117">
        <f t="shared" ca="1" si="196"/>
        <v>1</v>
      </c>
    </row>
    <row r="201" spans="2:117" ht="15" thickBot="1" x14ac:dyDescent="0.4">
      <c r="B201" s="105" t="s">
        <v>16</v>
      </c>
      <c r="C201" s="106"/>
      <c r="D201" s="106" t="s">
        <v>12</v>
      </c>
      <c r="E201" s="107" t="s">
        <v>12</v>
      </c>
      <c r="F201" s="106">
        <v>1</v>
      </c>
      <c r="H201" s="118" t="s">
        <v>7</v>
      </c>
      <c r="I201" s="253">
        <f ca="1">MIN([1]Tables!$AV$4*[1]Tables!$AX$4, N210)</f>
        <v>0</v>
      </c>
      <c r="J201" s="254">
        <f ca="1">MIN([1]Tables!$AV$4+I201, O210)</f>
        <v>0</v>
      </c>
      <c r="K201" s="254">
        <f ca="1">MIN([1]Tables!$AV$4+J201, P210)</f>
        <v>0</v>
      </c>
      <c r="L201" s="254">
        <f ca="1">MIN([1]Tables!$AV$4+K201, Q210)</f>
        <v>0</v>
      </c>
      <c r="M201" s="255">
        <f ca="1">MIN([1]Tables!$AV$4+L201, R210)</f>
        <v>0</v>
      </c>
      <c r="N201" s="205" t="e">
        <f t="shared" ca="1" si="197"/>
        <v>#VALUE!</v>
      </c>
      <c r="O201" s="206" t="e">
        <f t="shared" ca="1" si="197"/>
        <v>#VALUE!</v>
      </c>
      <c r="P201" s="206" t="e">
        <f t="shared" ca="1" si="197"/>
        <v>#VALUE!</v>
      </c>
      <c r="Q201" s="206" t="e">
        <f t="shared" ca="1" si="197"/>
        <v>#VALUE!</v>
      </c>
      <c r="R201" s="207" t="e">
        <f t="shared" ca="1" si="197"/>
        <v>#VALUE!</v>
      </c>
      <c r="S201" s="205" t="e">
        <f t="shared" ca="1" si="198"/>
        <v>#VALUE!</v>
      </c>
      <c r="T201" s="206" t="e">
        <f t="shared" ca="1" si="198"/>
        <v>#VALUE!</v>
      </c>
      <c r="U201" s="206" t="e">
        <f t="shared" ca="1" si="198"/>
        <v>#VALUE!</v>
      </c>
      <c r="V201" s="206" t="e">
        <f t="shared" ca="1" si="198"/>
        <v>#VALUE!</v>
      </c>
      <c r="W201" s="207" t="e">
        <f t="shared" ca="1" si="198"/>
        <v>#VALUE!</v>
      </c>
      <c r="Y201" s="119" t="s">
        <v>7</v>
      </c>
      <c r="Z201" s="256">
        <f t="shared" ca="1" si="199"/>
        <v>0</v>
      </c>
      <c r="AA201" s="254">
        <f t="shared" ca="1" si="199"/>
        <v>0</v>
      </c>
      <c r="AB201" s="254">
        <f t="shared" ca="1" si="199"/>
        <v>0</v>
      </c>
      <c r="AC201" s="254">
        <f t="shared" ca="1" si="199"/>
        <v>0</v>
      </c>
      <c r="AD201" s="257">
        <f t="shared" ca="1" si="199"/>
        <v>0</v>
      </c>
      <c r="AE201" s="208">
        <f t="shared" ca="1" si="200"/>
        <v>0</v>
      </c>
      <c r="AF201" s="206">
        <f t="shared" ca="1" si="200"/>
        <v>0</v>
      </c>
      <c r="AG201" s="206">
        <f t="shared" ca="1" si="200"/>
        <v>0</v>
      </c>
      <c r="AH201" s="206">
        <f t="shared" ca="1" si="200"/>
        <v>0</v>
      </c>
      <c r="AI201" s="209">
        <f t="shared" ca="1" si="200"/>
        <v>0</v>
      </c>
      <c r="AJ201" s="208">
        <f t="shared" ca="1" si="201"/>
        <v>0</v>
      </c>
      <c r="AK201" s="206">
        <f t="shared" ca="1" si="201"/>
        <v>0</v>
      </c>
      <c r="AL201" s="206">
        <f t="shared" ca="1" si="201"/>
        <v>0</v>
      </c>
      <c r="AM201" s="206">
        <f t="shared" ca="1" si="201"/>
        <v>0</v>
      </c>
      <c r="AN201" s="209">
        <f t="shared" ca="1" si="201"/>
        <v>0</v>
      </c>
      <c r="AP201" s="120" t="s">
        <v>7</v>
      </c>
      <c r="AQ201" s="258">
        <f t="shared" ca="1" si="202"/>
        <v>0</v>
      </c>
      <c r="AR201" s="254">
        <f t="shared" ca="1" si="202"/>
        <v>0</v>
      </c>
      <c r="AS201" s="254">
        <f t="shared" ca="1" si="202"/>
        <v>0</v>
      </c>
      <c r="AT201" s="254">
        <f t="shared" ca="1" si="202"/>
        <v>0</v>
      </c>
      <c r="AU201" s="259">
        <f t="shared" ca="1" si="202"/>
        <v>0</v>
      </c>
      <c r="AV201" s="260" t="e">
        <f t="shared" ca="1" si="203"/>
        <v>#VALUE!</v>
      </c>
      <c r="AW201" s="206" t="e">
        <f t="shared" ca="1" si="203"/>
        <v>#VALUE!</v>
      </c>
      <c r="AX201" s="206" t="e">
        <f t="shared" ca="1" si="203"/>
        <v>#VALUE!</v>
      </c>
      <c r="AY201" s="206" t="e">
        <f t="shared" ca="1" si="203"/>
        <v>#VALUE!</v>
      </c>
      <c r="AZ201" s="212" t="e">
        <f t="shared" ca="1" si="203"/>
        <v>#VALUE!</v>
      </c>
      <c r="BA201" s="206" t="e">
        <f t="shared" ca="1" si="204"/>
        <v>#VALUE!</v>
      </c>
      <c r="BB201" s="206" t="e">
        <f t="shared" ca="1" si="204"/>
        <v>#VALUE!</v>
      </c>
      <c r="BC201" s="206" t="e">
        <f t="shared" ca="1" si="204"/>
        <v>#VALUE!</v>
      </c>
      <c r="BD201" s="206" t="e">
        <f t="shared" ca="1" si="204"/>
        <v>#VALUE!</v>
      </c>
      <c r="BE201" s="212" t="e">
        <f t="shared" ca="1" si="204"/>
        <v>#VALUE!</v>
      </c>
      <c r="BG201" s="121" t="s">
        <v>7</v>
      </c>
      <c r="BH201" s="261">
        <f t="shared" ca="1" si="205"/>
        <v>0</v>
      </c>
      <c r="BI201" s="254">
        <f t="shared" ca="1" si="205"/>
        <v>0</v>
      </c>
      <c r="BJ201" s="254">
        <f t="shared" ca="1" si="205"/>
        <v>0</v>
      </c>
      <c r="BK201" s="254">
        <f t="shared" ca="1" si="205"/>
        <v>0</v>
      </c>
      <c r="BL201" s="262">
        <f t="shared" ca="1" si="205"/>
        <v>0</v>
      </c>
      <c r="BM201" s="213" t="e">
        <f t="shared" ca="1" si="206"/>
        <v>#VALUE!</v>
      </c>
      <c r="BN201" s="206" t="e">
        <f t="shared" ca="1" si="206"/>
        <v>#VALUE!</v>
      </c>
      <c r="BO201" s="206" t="e">
        <f t="shared" ca="1" si="206"/>
        <v>#VALUE!</v>
      </c>
      <c r="BP201" s="206" t="e">
        <f t="shared" ca="1" si="206"/>
        <v>#VALUE!</v>
      </c>
      <c r="BQ201" s="214" t="e">
        <f t="shared" ca="1" si="206"/>
        <v>#VALUE!</v>
      </c>
      <c r="BR201" s="213" t="e">
        <f t="shared" ca="1" si="207"/>
        <v>#VALUE!</v>
      </c>
      <c r="BS201" s="206" t="e">
        <f t="shared" ca="1" si="207"/>
        <v>#VALUE!</v>
      </c>
      <c r="BT201" s="206" t="e">
        <f t="shared" ca="1" si="207"/>
        <v>#VALUE!</v>
      </c>
      <c r="BU201" s="206" t="e">
        <f t="shared" ca="1" si="207"/>
        <v>#VALUE!</v>
      </c>
      <c r="BV201" s="214" t="e">
        <f t="shared" ca="1" si="207"/>
        <v>#VALUE!</v>
      </c>
      <c r="BX201" s="121" t="s">
        <v>7</v>
      </c>
      <c r="BY201" s="378" cm="1">
        <f t="array" aca="1" ref="BY201" ca="1">_xlfn.SINGLE(IFERROR(SUMIFS(rng_out_rx_post_yr1, rng_out_GB_Medispan, "B", rng_out_mail_ind, $B201, rng_out_sel_sp_ind, $D201, rng_out_sel_excl_ind,$E201, rng_out_post_reb_ind_yr1, 1)/[1]Tables!$AT$4, 0))</f>
        <v>0</v>
      </c>
      <c r="BZ201" s="379" cm="1">
        <f t="array" aca="1" ref="BZ201" ca="1">_xlfn.SINGLE(IFERROR(SUMIFS(rng_out_rx_post_yr2, rng_out_GB_Medispan, "B", rng_out_mail_ind, $B201, rng_out_sel_sp_ind, $D201, rng_out_sel_excl_ind,$E201, rng_out_post_reb_ind_yr2, 1)/[1]Tables!$AT$4, 0))</f>
        <v>0</v>
      </c>
      <c r="CA201" s="379" cm="1">
        <f t="array" aca="1" ref="CA201" ca="1">_xlfn.SINGLE(IFERROR(SUMIFS(rng_out_rx_post_yr3, rng_out_GB_Medispan, "B", rng_out_mail_ind, $B201, rng_out_sel_sp_ind, $D201, rng_out_sel_excl_ind,$E201, rng_out_post_reb_ind_yr3, 1)/[1]Tables!$AT$4, 0))</f>
        <v>0</v>
      </c>
      <c r="CB201" s="379" cm="1">
        <f t="array" aca="1" ref="CB201" ca="1">_xlfn.SINGLE(IFERROR(SUMIFS(rng_out_rx_post_yr4, rng_out_GB_Medispan, "B", rng_out_mail_ind, $B201, rng_out_sel_sp_ind, $D201, rng_out_sel_excl_ind,$E201, rng_out_post_reb_ind_yr4, 1)/[1]Tables!$AT$4, 0))</f>
        <v>0</v>
      </c>
      <c r="CC201" s="380" cm="1">
        <f t="array" aca="1" ref="CC201" ca="1">_xlfn.SINGLE(IFERROR(SUMIFS(rng_out_rx_post_yr5, rng_out_GB_Medispan, "B", rng_out_mail_ind, $B201, rng_out_sel_sp_ind, $D201, rng_out_sel_excl_ind,$E201, rng_out_post_reb_ind_yr5, 1)/[1]Tables!$AT$4, 0))</f>
        <v>0</v>
      </c>
      <c r="CD201" s="266">
        <f t="shared" ca="1" si="208"/>
        <v>0</v>
      </c>
      <c r="CE201" s="267">
        <f t="shared" ca="1" si="208"/>
        <v>0</v>
      </c>
      <c r="CF201" s="267">
        <f t="shared" ca="1" si="208"/>
        <v>0</v>
      </c>
      <c r="CG201" s="267">
        <f t="shared" ca="1" si="208"/>
        <v>0</v>
      </c>
      <c r="CH201" s="268">
        <f t="shared" ca="1" si="208"/>
        <v>0</v>
      </c>
      <c r="CI201" s="213" t="e">
        <f t="shared" ca="1" si="209"/>
        <v>#VALUE!</v>
      </c>
      <c r="CJ201" s="206" t="e">
        <f t="shared" ca="1" si="209"/>
        <v>#VALUE!</v>
      </c>
      <c r="CK201" s="206" t="e">
        <f t="shared" ca="1" si="209"/>
        <v>#VALUE!</v>
      </c>
      <c r="CL201" s="206" t="e">
        <f t="shared" ca="1" si="209"/>
        <v>#VALUE!</v>
      </c>
      <c r="CM201" s="214" t="e">
        <f t="shared" ca="1" si="209"/>
        <v>#VALUE!</v>
      </c>
      <c r="CO201" s="151">
        <f t="shared" ca="1" si="193"/>
        <v>1</v>
      </c>
      <c r="CP201" s="152">
        <f t="shared" ca="1" si="193"/>
        <v>1</v>
      </c>
      <c r="CQ201" s="152">
        <f t="shared" ca="1" si="193"/>
        <v>1</v>
      </c>
      <c r="CR201" s="152">
        <f t="shared" ca="1" si="193"/>
        <v>1</v>
      </c>
      <c r="CS201" s="153">
        <f t="shared" ca="1" si="193"/>
        <v>1</v>
      </c>
      <c r="CT201" s="151">
        <f t="shared" ca="1" si="194"/>
        <v>1</v>
      </c>
      <c r="CU201" s="152">
        <f t="shared" ca="1" si="194"/>
        <v>1</v>
      </c>
      <c r="CV201" s="152">
        <f t="shared" ca="1" si="194"/>
        <v>1</v>
      </c>
      <c r="CW201" s="152">
        <f t="shared" ca="1" si="194"/>
        <v>1</v>
      </c>
      <c r="CX201" s="153">
        <f t="shared" ca="1" si="194"/>
        <v>1</v>
      </c>
      <c r="CZ201" s="151">
        <f t="shared" ca="1" si="195"/>
        <v>1</v>
      </c>
      <c r="DA201" s="152">
        <f t="shared" ca="1" si="195"/>
        <v>1</v>
      </c>
      <c r="DB201" s="152">
        <f t="shared" ca="1" si="195"/>
        <v>1</v>
      </c>
      <c r="DC201" s="152">
        <f t="shared" ca="1" si="195"/>
        <v>1</v>
      </c>
      <c r="DD201" s="153">
        <f t="shared" ca="1" si="195"/>
        <v>1</v>
      </c>
      <c r="DE201" s="151">
        <f t="shared" ca="1" si="196"/>
        <v>1</v>
      </c>
      <c r="DF201" s="152">
        <f t="shared" ca="1" si="196"/>
        <v>1</v>
      </c>
      <c r="DG201" s="152">
        <f t="shared" ca="1" si="196"/>
        <v>1</v>
      </c>
      <c r="DH201" s="152">
        <f t="shared" ca="1" si="196"/>
        <v>1</v>
      </c>
      <c r="DI201" s="153">
        <f t="shared" ca="1" si="196"/>
        <v>1</v>
      </c>
    </row>
    <row r="202" spans="2:117" ht="15" thickBot="1" x14ac:dyDescent="0.4">
      <c r="B202" s="122"/>
      <c r="C202" s="123"/>
      <c r="D202" s="123" t="s">
        <v>13</v>
      </c>
      <c r="E202" s="124" t="s">
        <v>12</v>
      </c>
      <c r="F202" s="106">
        <v>1</v>
      </c>
      <c r="H202" s="118" t="s">
        <v>17</v>
      </c>
      <c r="I202" s="253">
        <f ca="1">IF(OR([1]Input!$K$107=[1]Tables!$DK$5, [1]Input!$K$107=[1]Tables!$DK$8), 0, MIN([1]Tables!$AV$4*[1]Tables!$AX$4, N211))</f>
        <v>0</v>
      </c>
      <c r="J202" s="254">
        <f ca="1">IF(OR([1]Input!$K$107=[1]Tables!$DK$5,[1]Input!$K$107=[1]Tables!$DK$8),0,MIN([1]Tables!$AV$4+I202,O211))</f>
        <v>0</v>
      </c>
      <c r="K202" s="254">
        <f ca="1">IF(OR([1]Input!$K$107=[1]Tables!$DK$5,[1]Input!$K$107=[1]Tables!$DK$8),0,MIN([1]Tables!$AV$4+J202,P211))</f>
        <v>0</v>
      </c>
      <c r="L202" s="254">
        <f ca="1">IF(OR([1]Input!$K$107=[1]Tables!$DK$5,[1]Input!$K$107=[1]Tables!$DK$8),0,MIN([1]Tables!$AV$4+K202,Q211))</f>
        <v>0</v>
      </c>
      <c r="M202" s="270">
        <f ca="1">IF(OR([1]Input!$K$107=[1]Tables!$DK$5,[1]Input!$K$107=[1]Tables!$DK$8),0,MIN([1]Tables!$AV$4+L202,R211))</f>
        <v>0</v>
      </c>
      <c r="N202" s="205" t="e">
        <f t="shared" ca="1" si="197"/>
        <v>#VALUE!</v>
      </c>
      <c r="O202" s="206" t="e">
        <f t="shared" ca="1" si="197"/>
        <v>#VALUE!</v>
      </c>
      <c r="P202" s="206" t="e">
        <f t="shared" ca="1" si="197"/>
        <v>#VALUE!</v>
      </c>
      <c r="Q202" s="206" t="e">
        <f t="shared" ca="1" si="197"/>
        <v>#VALUE!</v>
      </c>
      <c r="R202" s="271" t="e">
        <f t="shared" ca="1" si="197"/>
        <v>#VALUE!</v>
      </c>
      <c r="S202" s="206" t="e">
        <f t="shared" ca="1" si="198"/>
        <v>#VALUE!</v>
      </c>
      <c r="T202" s="206" t="e">
        <f t="shared" ca="1" si="198"/>
        <v>#VALUE!</v>
      </c>
      <c r="U202" s="206" t="e">
        <f t="shared" ca="1" si="198"/>
        <v>#VALUE!</v>
      </c>
      <c r="V202" s="206" t="e">
        <f t="shared" ca="1" si="198"/>
        <v>#VALUE!</v>
      </c>
      <c r="W202" s="207" t="e">
        <f t="shared" ca="1" si="198"/>
        <v>#VALUE!</v>
      </c>
      <c r="Y202" s="119" t="s">
        <v>17</v>
      </c>
      <c r="Z202" s="272">
        <f t="shared" ca="1" si="199"/>
        <v>0</v>
      </c>
      <c r="AA202" s="273">
        <f t="shared" ca="1" si="199"/>
        <v>0</v>
      </c>
      <c r="AB202" s="273">
        <f t="shared" ca="1" si="199"/>
        <v>0</v>
      </c>
      <c r="AC202" s="273">
        <f t="shared" ca="1" si="199"/>
        <v>0</v>
      </c>
      <c r="AD202" s="274">
        <f t="shared" ca="1" si="199"/>
        <v>0</v>
      </c>
      <c r="AE202" s="223">
        <f t="shared" ca="1" si="200"/>
        <v>0</v>
      </c>
      <c r="AF202" s="224">
        <f t="shared" ca="1" si="200"/>
        <v>0</v>
      </c>
      <c r="AG202" s="224">
        <f t="shared" ca="1" si="200"/>
        <v>0</v>
      </c>
      <c r="AH202" s="224">
        <f t="shared" ca="1" si="200"/>
        <v>0</v>
      </c>
      <c r="AI202" s="225">
        <f t="shared" ca="1" si="200"/>
        <v>0</v>
      </c>
      <c r="AJ202" s="224">
        <f t="shared" ca="1" si="201"/>
        <v>0</v>
      </c>
      <c r="AK202" s="224">
        <f t="shared" ca="1" si="201"/>
        <v>0</v>
      </c>
      <c r="AL202" s="224">
        <f t="shared" ca="1" si="201"/>
        <v>0</v>
      </c>
      <c r="AM202" s="224">
        <f t="shared" ca="1" si="201"/>
        <v>0</v>
      </c>
      <c r="AN202" s="225">
        <f t="shared" ca="1" si="201"/>
        <v>0</v>
      </c>
      <c r="AP202" s="120" t="s">
        <v>17</v>
      </c>
      <c r="AQ202" s="275">
        <f t="shared" ca="1" si="202"/>
        <v>0</v>
      </c>
      <c r="AR202" s="276">
        <f t="shared" ca="1" si="202"/>
        <v>0</v>
      </c>
      <c r="AS202" s="276">
        <f t="shared" ca="1" si="202"/>
        <v>0</v>
      </c>
      <c r="AT202" s="276">
        <f t="shared" ca="1" si="202"/>
        <v>0</v>
      </c>
      <c r="AU202" s="277">
        <f t="shared" ca="1" si="202"/>
        <v>0</v>
      </c>
      <c r="AV202" s="243" t="e">
        <f t="shared" ca="1" si="203"/>
        <v>#VALUE!</v>
      </c>
      <c r="AW202" s="229" t="e">
        <f t="shared" ca="1" si="203"/>
        <v>#VALUE!</v>
      </c>
      <c r="AX202" s="229" t="e">
        <f t="shared" ca="1" si="203"/>
        <v>#VALUE!</v>
      </c>
      <c r="AY202" s="229" t="e">
        <f t="shared" ca="1" si="203"/>
        <v>#VALUE!</v>
      </c>
      <c r="AZ202" s="230" t="e">
        <f t="shared" ca="1" si="203"/>
        <v>#VALUE!</v>
      </c>
      <c r="BA202" s="229" t="e">
        <f t="shared" ca="1" si="204"/>
        <v>#VALUE!</v>
      </c>
      <c r="BB202" s="229" t="e">
        <f t="shared" ca="1" si="204"/>
        <v>#VALUE!</v>
      </c>
      <c r="BC202" s="229" t="e">
        <f t="shared" ca="1" si="204"/>
        <v>#VALUE!</v>
      </c>
      <c r="BD202" s="229" t="e">
        <f t="shared" ca="1" si="204"/>
        <v>#VALUE!</v>
      </c>
      <c r="BE202" s="230" t="e">
        <f t="shared" ca="1" si="204"/>
        <v>#VALUE!</v>
      </c>
      <c r="BG202" s="121" t="s">
        <v>17</v>
      </c>
      <c r="BH202" s="278">
        <f t="shared" ca="1" si="205"/>
        <v>0</v>
      </c>
      <c r="BI202" s="279">
        <f t="shared" ca="1" si="205"/>
        <v>0</v>
      </c>
      <c r="BJ202" s="279">
        <f t="shared" ca="1" si="205"/>
        <v>0</v>
      </c>
      <c r="BK202" s="279">
        <f t="shared" ca="1" si="205"/>
        <v>0</v>
      </c>
      <c r="BL202" s="280">
        <f t="shared" ca="1" si="205"/>
        <v>0</v>
      </c>
      <c r="BM202" s="231" t="e">
        <f t="shared" ca="1" si="206"/>
        <v>#VALUE!</v>
      </c>
      <c r="BN202" s="232" t="e">
        <f t="shared" ca="1" si="206"/>
        <v>#VALUE!</v>
      </c>
      <c r="BO202" s="232" t="e">
        <f t="shared" ca="1" si="206"/>
        <v>#VALUE!</v>
      </c>
      <c r="BP202" s="232" t="e">
        <f t="shared" ca="1" si="206"/>
        <v>#VALUE!</v>
      </c>
      <c r="BQ202" s="233" t="e">
        <f t="shared" ca="1" si="206"/>
        <v>#VALUE!</v>
      </c>
      <c r="BR202" s="232" t="e">
        <f t="shared" ca="1" si="207"/>
        <v>#VALUE!</v>
      </c>
      <c r="BS202" s="232" t="e">
        <f t="shared" ca="1" si="207"/>
        <v>#VALUE!</v>
      </c>
      <c r="BT202" s="232" t="e">
        <f t="shared" ca="1" si="207"/>
        <v>#VALUE!</v>
      </c>
      <c r="BU202" s="232" t="e">
        <f t="shared" ca="1" si="207"/>
        <v>#VALUE!</v>
      </c>
      <c r="BV202" s="233" t="e">
        <f t="shared" ca="1" si="207"/>
        <v>#VALUE!</v>
      </c>
      <c r="BX202" s="121" t="s">
        <v>17</v>
      </c>
      <c r="BY202" s="298" cm="1">
        <f t="array" aca="1" ref="BY202" ca="1">_xlfn.SINGLE(IFERROR(SUMIFS(rng_out_rx_post_yr1, rng_out_GB_Medispan, "B", rng_out_sel_sp_ind, $D202, rng_out_sel_excl_ind,$E202, rng_out_post_reb_ind_yr1, 1)/[1]Tables!$AT$4, 0))</f>
        <v>0</v>
      </c>
      <c r="BZ202" s="299" cm="1">
        <f t="array" aca="1" ref="BZ202" ca="1">_xlfn.SINGLE(IFERROR(SUMIFS(rng_out_rx_post_yr2, rng_out_GB_Medispan, "B", rng_out_sel_sp_ind, $D202, rng_out_sel_excl_ind,$E202, rng_out_post_reb_ind_yr2, 1)/[1]Tables!$AT$4, 0))</f>
        <v>0</v>
      </c>
      <c r="CA202" s="299" cm="1">
        <f t="array" aca="1" ref="CA202" ca="1">_xlfn.SINGLE(IFERROR(SUMIFS(rng_out_rx_post_yr3, rng_out_GB_Medispan, "B", rng_out_sel_sp_ind, $D202, rng_out_sel_excl_ind,$E202, rng_out_post_reb_ind_yr3, 1)/[1]Tables!$AT$4, 0))</f>
        <v>0</v>
      </c>
      <c r="CB202" s="299" cm="1">
        <f t="array" aca="1" ref="CB202" ca="1">_xlfn.SINGLE(IFERROR(SUMIFS(rng_out_rx_post_yr4, rng_out_GB_Medispan, "B", rng_out_sel_sp_ind, $D202, rng_out_sel_excl_ind,$E202, rng_out_post_reb_ind_yr4, 1)/[1]Tables!$AT$4, 0))</f>
        <v>0</v>
      </c>
      <c r="CC202" s="300" cm="1">
        <f t="array" aca="1" ref="CC202" ca="1">_xlfn.SINGLE(IFERROR(SUMIFS(rng_out_rx_post_yr5, rng_out_GB_Medispan, "B", rng_out_sel_sp_ind, $D202, rng_out_sel_excl_ind,$E202, rng_out_post_reb_ind_yr5, 1)/[1]Tables!$AT$4, 0))</f>
        <v>0</v>
      </c>
      <c r="CD202" s="284">
        <f t="shared" ca="1" si="208"/>
        <v>0</v>
      </c>
      <c r="CE202" s="285">
        <f t="shared" ca="1" si="208"/>
        <v>0</v>
      </c>
      <c r="CF202" s="285">
        <f t="shared" ca="1" si="208"/>
        <v>0</v>
      </c>
      <c r="CG202" s="285">
        <f t="shared" ca="1" si="208"/>
        <v>0</v>
      </c>
      <c r="CH202" s="286">
        <f t="shared" ca="1" si="208"/>
        <v>0</v>
      </c>
      <c r="CI202" s="232" t="e">
        <f t="shared" ca="1" si="209"/>
        <v>#VALUE!</v>
      </c>
      <c r="CJ202" s="232" t="e">
        <f t="shared" ca="1" si="209"/>
        <v>#VALUE!</v>
      </c>
      <c r="CK202" s="232" t="e">
        <f t="shared" ca="1" si="209"/>
        <v>#VALUE!</v>
      </c>
      <c r="CL202" s="232" t="e">
        <f t="shared" ca="1" si="209"/>
        <v>#VALUE!</v>
      </c>
      <c r="CM202" s="233" t="e">
        <f t="shared" ca="1" si="209"/>
        <v>#VALUE!</v>
      </c>
      <c r="DC202" s="269"/>
      <c r="DD202" s="269"/>
      <c r="DE202" s="269"/>
      <c r="DF202" s="269"/>
      <c r="DG202" s="269"/>
      <c r="DI202" s="269"/>
      <c r="DJ202" s="269"/>
      <c r="DK202" s="269"/>
      <c r="DL202" s="269"/>
      <c r="DM202" s="269"/>
    </row>
    <row r="203" spans="2:117" ht="15" thickBot="1" x14ac:dyDescent="0.4">
      <c r="H203" s="154" t="s">
        <v>18</v>
      </c>
      <c r="I203" s="287"/>
      <c r="J203" s="287"/>
      <c r="K203" s="287"/>
      <c r="L203" s="287"/>
      <c r="M203" s="288"/>
      <c r="N203" s="238" t="e">
        <f t="shared" ref="N203:W203" ca="1" si="210">SUM(N199:N202)</f>
        <v>#VALUE!</v>
      </c>
      <c r="O203" s="238" t="e">
        <f t="shared" ca="1" si="210"/>
        <v>#VALUE!</v>
      </c>
      <c r="P203" s="238" t="e">
        <f t="shared" ca="1" si="210"/>
        <v>#VALUE!</v>
      </c>
      <c r="Q203" s="238" t="e">
        <f t="shared" ca="1" si="210"/>
        <v>#VALUE!</v>
      </c>
      <c r="R203" s="239" t="e">
        <f t="shared" ca="1" si="210"/>
        <v>#VALUE!</v>
      </c>
      <c r="S203" s="238" t="e">
        <f t="shared" ca="1" si="210"/>
        <v>#VALUE!</v>
      </c>
      <c r="T203" s="238" t="e">
        <f t="shared" ca="1" si="210"/>
        <v>#VALUE!</v>
      </c>
      <c r="U203" s="238" t="e">
        <f t="shared" ca="1" si="210"/>
        <v>#VALUE!</v>
      </c>
      <c r="V203" s="238" t="e">
        <f t="shared" ca="1" si="210"/>
        <v>#VALUE!</v>
      </c>
      <c r="W203" s="239" t="e">
        <f t="shared" ca="1" si="210"/>
        <v>#VALUE!</v>
      </c>
      <c r="Y203" s="159" t="s">
        <v>18</v>
      </c>
      <c r="Z203" s="289"/>
      <c r="AA203" s="290"/>
      <c r="AB203" s="290"/>
      <c r="AC203" s="290"/>
      <c r="AD203" s="291"/>
      <c r="AE203" s="240">
        <f t="shared" ref="AE203:AN203" ca="1" si="211">SUM(AE199:AE202)</f>
        <v>0</v>
      </c>
      <c r="AF203" s="241">
        <f t="shared" ca="1" si="211"/>
        <v>0</v>
      </c>
      <c r="AG203" s="241">
        <f t="shared" ca="1" si="211"/>
        <v>0</v>
      </c>
      <c r="AH203" s="241">
        <f t="shared" ca="1" si="211"/>
        <v>0</v>
      </c>
      <c r="AI203" s="242">
        <f t="shared" ca="1" si="211"/>
        <v>0</v>
      </c>
      <c r="AJ203" s="241">
        <f t="shared" ca="1" si="211"/>
        <v>0</v>
      </c>
      <c r="AK203" s="241">
        <f t="shared" ca="1" si="211"/>
        <v>0</v>
      </c>
      <c r="AL203" s="241">
        <f t="shared" ca="1" si="211"/>
        <v>0</v>
      </c>
      <c r="AM203" s="241">
        <f t="shared" ca="1" si="211"/>
        <v>0</v>
      </c>
      <c r="AN203" s="242">
        <f t="shared" ca="1" si="211"/>
        <v>0</v>
      </c>
      <c r="AP203" s="166" t="s">
        <v>18</v>
      </c>
      <c r="AQ203" s="292"/>
      <c r="AR203" s="293"/>
      <c r="AS203" s="293"/>
      <c r="AT203" s="293"/>
      <c r="AU203" s="294"/>
      <c r="AV203" s="226" t="e">
        <f t="shared" ref="AV203:BE203" ca="1" si="212">SUM(AV199:AV202)</f>
        <v>#VALUE!</v>
      </c>
      <c r="AW203" s="227" t="e">
        <f t="shared" ca="1" si="212"/>
        <v>#VALUE!</v>
      </c>
      <c r="AX203" s="227" t="e">
        <f t="shared" ca="1" si="212"/>
        <v>#VALUE!</v>
      </c>
      <c r="AY203" s="227" t="e">
        <f t="shared" ca="1" si="212"/>
        <v>#VALUE!</v>
      </c>
      <c r="AZ203" s="228" t="e">
        <f t="shared" ca="1" si="212"/>
        <v>#VALUE!</v>
      </c>
      <c r="BA203" s="227" t="e">
        <f t="shared" ca="1" si="212"/>
        <v>#VALUE!</v>
      </c>
      <c r="BB203" s="227" t="e">
        <f t="shared" ca="1" si="212"/>
        <v>#VALUE!</v>
      </c>
      <c r="BC203" s="227" t="e">
        <f t="shared" ca="1" si="212"/>
        <v>#VALUE!</v>
      </c>
      <c r="BD203" s="227" t="e">
        <f t="shared" ca="1" si="212"/>
        <v>#VALUE!</v>
      </c>
      <c r="BE203" s="228" t="e">
        <f t="shared" ca="1" si="212"/>
        <v>#VALUE!</v>
      </c>
      <c r="BG203" s="171" t="s">
        <v>18</v>
      </c>
      <c r="BH203" s="295"/>
      <c r="BI203" s="296"/>
      <c r="BJ203" s="296"/>
      <c r="BK203" s="296"/>
      <c r="BL203" s="297"/>
      <c r="BM203" s="244" t="e">
        <f t="shared" ref="BM203:BV203" ca="1" si="213">SUM(BM199:BM202)</f>
        <v>#VALUE!</v>
      </c>
      <c r="BN203" s="245" t="e">
        <f t="shared" ca="1" si="213"/>
        <v>#VALUE!</v>
      </c>
      <c r="BO203" s="245" t="e">
        <f t="shared" ca="1" si="213"/>
        <v>#VALUE!</v>
      </c>
      <c r="BP203" s="245" t="e">
        <f t="shared" ca="1" si="213"/>
        <v>#VALUE!</v>
      </c>
      <c r="BQ203" s="234" t="e">
        <f t="shared" ca="1" si="213"/>
        <v>#VALUE!</v>
      </c>
      <c r="BR203" s="245" t="e">
        <f t="shared" ca="1" si="213"/>
        <v>#VALUE!</v>
      </c>
      <c r="BS203" s="245" t="e">
        <f t="shared" ca="1" si="213"/>
        <v>#VALUE!</v>
      </c>
      <c r="BT203" s="245" t="e">
        <f t="shared" ca="1" si="213"/>
        <v>#VALUE!</v>
      </c>
      <c r="BU203" s="245" t="e">
        <f t="shared" ca="1" si="213"/>
        <v>#VALUE!</v>
      </c>
      <c r="BV203" s="234" t="e">
        <f t="shared" ca="1" si="213"/>
        <v>#VALUE!</v>
      </c>
      <c r="BX203" s="171" t="s">
        <v>18</v>
      </c>
      <c r="BY203" s="298">
        <f ca="1">SUM(BY199:BY202)</f>
        <v>0</v>
      </c>
      <c r="BZ203" s="299">
        <f ca="1">SUM(BZ199:BZ202)</f>
        <v>0</v>
      </c>
      <c r="CA203" s="299">
        <f ca="1">SUM(CA199:CA202)</f>
        <v>0</v>
      </c>
      <c r="CB203" s="299">
        <f ca="1">SUM(CB199:CB202)</f>
        <v>0</v>
      </c>
      <c r="CC203" s="300">
        <f ca="1">SUM(CC199:CC202)</f>
        <v>0</v>
      </c>
      <c r="CD203" s="284">
        <f ca="1">IFERROR(SUMPRODUCT(CD199:CD202, CD190:CD193)/CD194, 0)</f>
        <v>0</v>
      </c>
      <c r="CE203" s="285">
        <f ca="1">IFERROR(SUMPRODUCT(CE199:CE202, CE190:CE193)/CE194, 0)</f>
        <v>0</v>
      </c>
      <c r="CF203" s="285">
        <f ca="1">IFERROR(SUMPRODUCT(CF199:CF202, CF190:CF193)/CF194, 0)</f>
        <v>0</v>
      </c>
      <c r="CG203" s="285">
        <f ca="1">IFERROR(SUMPRODUCT(CG199:CG202, CG190:CG193)/CG194, 0)</f>
        <v>0</v>
      </c>
      <c r="CH203" s="286">
        <f ca="1">IFERROR(SUMPRODUCT(CH199:CH202, CH190:CH193)/CH194, 0)</f>
        <v>0</v>
      </c>
      <c r="CI203" s="232" t="e">
        <f ca="1">SUM(CI199:CI202)</f>
        <v>#VALUE!</v>
      </c>
      <c r="CJ203" s="232" t="e">
        <f ca="1">SUM(CJ199:CJ202)</f>
        <v>#VALUE!</v>
      </c>
      <c r="CK203" s="232" t="e">
        <f ca="1">SUM(CK199:CK202)</f>
        <v>#VALUE!</v>
      </c>
      <c r="CL203" s="232" t="e">
        <f ca="1">SUM(CL199:CL202)</f>
        <v>#VALUE!</v>
      </c>
      <c r="CM203" s="233" t="e">
        <f ca="1">SUM(CM199:CM202)</f>
        <v>#VALUE!</v>
      </c>
      <c r="DC203" s="269"/>
      <c r="DD203" s="269"/>
      <c r="DE203" s="269"/>
      <c r="DF203" s="269"/>
      <c r="DG203" s="269"/>
      <c r="DI203" s="269"/>
      <c r="DJ203" s="269"/>
      <c r="DK203" s="269"/>
      <c r="DL203" s="269"/>
      <c r="DM203" s="269"/>
    </row>
    <row r="204" spans="2:117" ht="15" thickBot="1" x14ac:dyDescent="0.4">
      <c r="O204" s="301"/>
      <c r="P204" s="301"/>
      <c r="CI204" s="206"/>
      <c r="DC204" s="4"/>
      <c r="DD204" s="4"/>
      <c r="DE204" s="4"/>
      <c r="DF204" s="4"/>
      <c r="DG204" s="4"/>
    </row>
    <row r="205" spans="2:117" ht="15" thickBot="1" x14ac:dyDescent="0.4">
      <c r="I205" s="21" t="s">
        <v>53</v>
      </c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3"/>
      <c r="Z205" s="24" t="s">
        <v>53</v>
      </c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6"/>
      <c r="AQ205" s="27" t="s">
        <v>53</v>
      </c>
      <c r="AR205" s="28"/>
      <c r="AS205" s="28"/>
      <c r="AT205" s="28"/>
      <c r="AU205" s="29"/>
      <c r="AV205" s="28"/>
      <c r="AW205" s="28"/>
      <c r="AX205" s="28"/>
      <c r="AY205" s="28"/>
      <c r="AZ205" s="28"/>
      <c r="BA205" s="28"/>
      <c r="BB205" s="28"/>
      <c r="BC205" s="28"/>
      <c r="BD205" s="28"/>
      <c r="BE205" s="30"/>
      <c r="BH205" s="31" t="s">
        <v>53</v>
      </c>
      <c r="BI205" s="32"/>
      <c r="BJ205" s="32"/>
      <c r="BK205" s="32"/>
      <c r="BL205" s="32"/>
      <c r="BM205" s="32"/>
      <c r="BN205" s="32"/>
      <c r="BO205" s="32"/>
      <c r="BP205" s="32"/>
      <c r="BQ205" s="32"/>
      <c r="BR205" s="32"/>
      <c r="BS205" s="32"/>
      <c r="BT205" s="32"/>
      <c r="BU205" s="32"/>
      <c r="BV205" s="33"/>
      <c r="BY205" s="34" t="s">
        <v>53</v>
      </c>
      <c r="BZ205" s="35"/>
      <c r="CA205" s="35"/>
      <c r="CB205" s="35"/>
      <c r="CC205" s="35"/>
      <c r="CD205" s="35"/>
      <c r="CE205" s="35"/>
      <c r="CF205" s="35"/>
      <c r="CG205" s="35"/>
      <c r="CH205" s="35"/>
      <c r="CI205" s="35"/>
      <c r="CJ205" s="35"/>
      <c r="CK205" s="35"/>
      <c r="CL205" s="35"/>
      <c r="CM205" s="36"/>
      <c r="CQ205" s="195"/>
      <c r="DC205" s="4"/>
      <c r="DD205" s="4"/>
      <c r="DE205" s="4"/>
      <c r="DF205" s="4"/>
      <c r="DG205" s="4"/>
    </row>
    <row r="206" spans="2:117" ht="15" thickBot="1" x14ac:dyDescent="0.4">
      <c r="H206" s="37"/>
      <c r="I206" s="302" t="s">
        <v>35</v>
      </c>
      <c r="J206" s="303"/>
      <c r="K206" s="303"/>
      <c r="L206" s="303"/>
      <c r="M206" s="304"/>
      <c r="N206" s="302" t="s">
        <v>36</v>
      </c>
      <c r="O206" s="303"/>
      <c r="P206" s="303"/>
      <c r="Q206" s="303"/>
      <c r="R206" s="304"/>
      <c r="S206" s="302" t="s">
        <v>37</v>
      </c>
      <c r="T206" s="303"/>
      <c r="U206" s="303"/>
      <c r="V206" s="303"/>
      <c r="W206" s="304"/>
      <c r="Z206" s="41" t="s">
        <v>35</v>
      </c>
      <c r="AA206" s="42"/>
      <c r="AB206" s="42"/>
      <c r="AC206" s="42"/>
      <c r="AD206" s="43"/>
      <c r="AE206" s="41" t="s">
        <v>36</v>
      </c>
      <c r="AF206" s="42"/>
      <c r="AG206" s="42"/>
      <c r="AH206" s="42"/>
      <c r="AI206" s="43"/>
      <c r="AJ206" s="41" t="s">
        <v>37</v>
      </c>
      <c r="AK206" s="42"/>
      <c r="AL206" s="42"/>
      <c r="AM206" s="42"/>
      <c r="AN206" s="43"/>
      <c r="AQ206" s="44" t="s">
        <v>35</v>
      </c>
      <c r="AR206" s="45"/>
      <c r="AS206" s="45"/>
      <c r="AT206" s="45"/>
      <c r="AU206" s="46"/>
      <c r="AV206" s="44" t="s">
        <v>36</v>
      </c>
      <c r="AW206" s="45"/>
      <c r="AX206" s="45"/>
      <c r="AY206" s="45"/>
      <c r="AZ206" s="46"/>
      <c r="BA206" s="45" t="s">
        <v>37</v>
      </c>
      <c r="BB206" s="45"/>
      <c r="BC206" s="45"/>
      <c r="BD206" s="45"/>
      <c r="BE206" s="46"/>
      <c r="BH206" s="305" t="s">
        <v>35</v>
      </c>
      <c r="BI206" s="306"/>
      <c r="BJ206" s="306"/>
      <c r="BK206" s="306"/>
      <c r="BL206" s="307"/>
      <c r="BM206" s="305" t="s">
        <v>36</v>
      </c>
      <c r="BN206" s="306"/>
      <c r="BO206" s="306"/>
      <c r="BP206" s="306"/>
      <c r="BQ206" s="307"/>
      <c r="BR206" s="308" t="s">
        <v>37</v>
      </c>
      <c r="BS206" s="308"/>
      <c r="BT206" s="308"/>
      <c r="BU206" s="308"/>
      <c r="BV206" s="309"/>
      <c r="BY206" s="305" t="s">
        <v>35</v>
      </c>
      <c r="BZ206" s="306"/>
      <c r="CA206" s="306"/>
      <c r="CB206" s="306"/>
      <c r="CC206" s="307"/>
      <c r="CD206" s="305" t="s">
        <v>36</v>
      </c>
      <c r="CE206" s="306"/>
      <c r="CF206" s="306"/>
      <c r="CG206" s="306"/>
      <c r="CH206" s="307"/>
      <c r="CI206" s="308" t="s">
        <v>37</v>
      </c>
      <c r="CJ206" s="308"/>
      <c r="CK206" s="308"/>
      <c r="CL206" s="308"/>
      <c r="CM206" s="309"/>
      <c r="CO206" s="310" t="s">
        <v>38</v>
      </c>
      <c r="DC206" s="4"/>
      <c r="DD206" s="4"/>
      <c r="DE206" s="4"/>
      <c r="DF206" s="4"/>
      <c r="DG206" s="4"/>
    </row>
    <row r="207" spans="2:117" ht="15" thickBot="1" x14ac:dyDescent="0.4">
      <c r="H207" s="55"/>
      <c r="I207" s="56" t="str">
        <f>[1]Tables!$AA$4</f>
        <v>07/27 - 06/28</v>
      </c>
      <c r="J207" s="55" t="str">
        <f>[1]Tables!$AA$5</f>
        <v>07/28 - 06/29</v>
      </c>
      <c r="K207" s="55" t="str">
        <f>[1]Tables!$AA$6</f>
        <v>07/29 - 06/30</v>
      </c>
      <c r="L207" s="55" t="str">
        <f>[1]Tables!$AA$7</f>
        <v>07/30 - 06/31</v>
      </c>
      <c r="M207" s="57" t="str">
        <f>[1]Tables!$AA$8</f>
        <v>07/31 - 06/32</v>
      </c>
      <c r="N207" s="56" t="str">
        <f>[1]Tables!$AA$4</f>
        <v>07/27 - 06/28</v>
      </c>
      <c r="O207" s="55" t="str">
        <f>[1]Tables!$AA$5</f>
        <v>07/28 - 06/29</v>
      </c>
      <c r="P207" s="55" t="str">
        <f>[1]Tables!$AA$6</f>
        <v>07/29 - 06/30</v>
      </c>
      <c r="Q207" s="55" t="str">
        <f>[1]Tables!$AA$7</f>
        <v>07/30 - 06/31</v>
      </c>
      <c r="R207" s="57" t="str">
        <f>[1]Tables!$AA$8</f>
        <v>07/31 - 06/32</v>
      </c>
      <c r="S207" s="56" t="str">
        <f>[1]Tables!$AA$4</f>
        <v>07/27 - 06/28</v>
      </c>
      <c r="T207" s="55" t="str">
        <f>[1]Tables!$AA$5</f>
        <v>07/28 - 06/29</v>
      </c>
      <c r="U207" s="55" t="str">
        <f>[1]Tables!$AA$6</f>
        <v>07/29 - 06/30</v>
      </c>
      <c r="V207" s="55" t="str">
        <f>[1]Tables!$AA$7</f>
        <v>07/30 - 06/31</v>
      </c>
      <c r="W207" s="57" t="str">
        <f>[1]Tables!$AA$8</f>
        <v>07/31 - 06/32</v>
      </c>
      <c r="Y207" s="58"/>
      <c r="Z207" s="59" t="str">
        <f>[1]Tables!$AA$4</f>
        <v>07/27 - 06/28</v>
      </c>
      <c r="AA207" s="60" t="str">
        <f>[1]Tables!$AA$5</f>
        <v>07/28 - 06/29</v>
      </c>
      <c r="AB207" s="60" t="str">
        <f>[1]Tables!$AA$6</f>
        <v>07/29 - 06/30</v>
      </c>
      <c r="AC207" s="60" t="str">
        <f>[1]Tables!$AA$7</f>
        <v>07/30 - 06/31</v>
      </c>
      <c r="AD207" s="61" t="str">
        <f>[1]Tables!$AA$8</f>
        <v>07/31 - 06/32</v>
      </c>
      <c r="AE207" s="59" t="str">
        <f>[1]Tables!$AA$4</f>
        <v>07/27 - 06/28</v>
      </c>
      <c r="AF207" s="60" t="str">
        <f>[1]Tables!$AA$5</f>
        <v>07/28 - 06/29</v>
      </c>
      <c r="AG207" s="60" t="str">
        <f>[1]Tables!$AA$6</f>
        <v>07/29 - 06/30</v>
      </c>
      <c r="AH207" s="60" t="str">
        <f>[1]Tables!$AA$7</f>
        <v>07/30 - 06/31</v>
      </c>
      <c r="AI207" s="61" t="str">
        <f>[1]Tables!$AA$8</f>
        <v>07/31 - 06/32</v>
      </c>
      <c r="AJ207" s="59" t="str">
        <f>[1]Tables!$AA$4</f>
        <v>07/27 - 06/28</v>
      </c>
      <c r="AK207" s="60" t="str">
        <f>[1]Tables!$AA$5</f>
        <v>07/28 - 06/29</v>
      </c>
      <c r="AL207" s="60" t="str">
        <f>[1]Tables!$AA$6</f>
        <v>07/29 - 06/30</v>
      </c>
      <c r="AM207" s="60" t="str">
        <f>[1]Tables!$AA$7</f>
        <v>07/30 - 06/31</v>
      </c>
      <c r="AN207" s="61" t="str">
        <f>[1]Tables!$AA$8</f>
        <v>07/31 - 06/32</v>
      </c>
      <c r="AP207" s="58"/>
      <c r="AQ207" s="62" t="str">
        <f>[1]Tables!$AA$4</f>
        <v>07/27 - 06/28</v>
      </c>
      <c r="AR207" s="63" t="str">
        <f>[1]Tables!$AA$5</f>
        <v>07/28 - 06/29</v>
      </c>
      <c r="AS207" s="63" t="str">
        <f>[1]Tables!$AA$6</f>
        <v>07/29 - 06/30</v>
      </c>
      <c r="AT207" s="63" t="str">
        <f>[1]Tables!$AA$7</f>
        <v>07/30 - 06/31</v>
      </c>
      <c r="AU207" s="64" t="str">
        <f>[1]Tables!$AA$8</f>
        <v>07/31 - 06/32</v>
      </c>
      <c r="AV207" s="62" t="str">
        <f>[1]Tables!$AA$4</f>
        <v>07/27 - 06/28</v>
      </c>
      <c r="AW207" s="63" t="str">
        <f>[1]Tables!$AA$5</f>
        <v>07/28 - 06/29</v>
      </c>
      <c r="AX207" s="63" t="str">
        <f>[1]Tables!$AA$6</f>
        <v>07/29 - 06/30</v>
      </c>
      <c r="AY207" s="63" t="str">
        <f>[1]Tables!$AA$7</f>
        <v>07/30 - 06/31</v>
      </c>
      <c r="AZ207" s="64" t="str">
        <f>[1]Tables!$AA$8</f>
        <v>07/31 - 06/32</v>
      </c>
      <c r="BA207" s="63" t="str">
        <f>[1]Tables!$AA$4</f>
        <v>07/27 - 06/28</v>
      </c>
      <c r="BB207" s="63" t="str">
        <f>[1]Tables!$AA$5</f>
        <v>07/28 - 06/29</v>
      </c>
      <c r="BC207" s="63" t="str">
        <f>[1]Tables!$AA$6</f>
        <v>07/29 - 06/30</v>
      </c>
      <c r="BD207" s="63" t="str">
        <f>[1]Tables!$AA$7</f>
        <v>07/30 - 06/31</v>
      </c>
      <c r="BE207" s="64" t="str">
        <f>[1]Tables!$AA$8</f>
        <v>07/31 - 06/32</v>
      </c>
      <c r="BG207" s="58"/>
      <c r="BH207" s="65" t="str">
        <f>[1]Tables!$AA$4</f>
        <v>07/27 - 06/28</v>
      </c>
      <c r="BI207" s="66" t="str">
        <f>[1]Tables!$AA$5</f>
        <v>07/28 - 06/29</v>
      </c>
      <c r="BJ207" s="66" t="str">
        <f>[1]Tables!$AA$6</f>
        <v>07/29 - 06/30</v>
      </c>
      <c r="BK207" s="66" t="str">
        <f>[1]Tables!$AA$7</f>
        <v>07/30 - 06/31</v>
      </c>
      <c r="BL207" s="67" t="str">
        <f>[1]Tables!$AA$8</f>
        <v>07/31 - 06/32</v>
      </c>
      <c r="BM207" s="65" t="str">
        <f>[1]Tables!$AA$4</f>
        <v>07/27 - 06/28</v>
      </c>
      <c r="BN207" s="66" t="str">
        <f>[1]Tables!$AA$5</f>
        <v>07/28 - 06/29</v>
      </c>
      <c r="BO207" s="66" t="str">
        <f>[1]Tables!$AA$6</f>
        <v>07/29 - 06/30</v>
      </c>
      <c r="BP207" s="66" t="str">
        <f>[1]Tables!$AA$7</f>
        <v>07/30 - 06/31</v>
      </c>
      <c r="BQ207" s="67" t="str">
        <f>[1]Tables!$AA$8</f>
        <v>07/31 - 06/32</v>
      </c>
      <c r="BR207" s="66" t="str">
        <f>[1]Tables!$AA$4</f>
        <v>07/27 - 06/28</v>
      </c>
      <c r="BS207" s="66" t="str">
        <f>[1]Tables!$AA$5</f>
        <v>07/28 - 06/29</v>
      </c>
      <c r="BT207" s="66" t="str">
        <f>[1]Tables!$AA$6</f>
        <v>07/29 - 06/30</v>
      </c>
      <c r="BU207" s="66" t="str">
        <f>[1]Tables!$AA$7</f>
        <v>07/30 - 06/31</v>
      </c>
      <c r="BV207" s="67" t="str">
        <f>[1]Tables!$AA$8</f>
        <v>07/31 - 06/32</v>
      </c>
      <c r="BX207" s="58"/>
      <c r="BY207" s="65" t="str">
        <f>[1]Tables!$AA$4</f>
        <v>07/27 - 06/28</v>
      </c>
      <c r="BZ207" s="66" t="str">
        <f>[1]Tables!$AA$5</f>
        <v>07/28 - 06/29</v>
      </c>
      <c r="CA207" s="66" t="str">
        <f>[1]Tables!$AA$6</f>
        <v>07/29 - 06/30</v>
      </c>
      <c r="CB207" s="66" t="str">
        <f>[1]Tables!$AA$7</f>
        <v>07/30 - 06/31</v>
      </c>
      <c r="CC207" s="67" t="str">
        <f>[1]Tables!$AA$8</f>
        <v>07/31 - 06/32</v>
      </c>
      <c r="CD207" s="65" t="str">
        <f>[1]Tables!$AA$4</f>
        <v>07/27 - 06/28</v>
      </c>
      <c r="CE207" s="66" t="str">
        <f>[1]Tables!$AA$5</f>
        <v>07/28 - 06/29</v>
      </c>
      <c r="CF207" s="66" t="str">
        <f>[1]Tables!$AA$6</f>
        <v>07/29 - 06/30</v>
      </c>
      <c r="CG207" s="66" t="str">
        <f>[1]Tables!$AA$7</f>
        <v>07/30 - 06/31</v>
      </c>
      <c r="CH207" s="67" t="str">
        <f>[1]Tables!$AA$8</f>
        <v>07/31 - 06/32</v>
      </c>
      <c r="CI207" s="66" t="str">
        <f>[1]Tables!$AA$4</f>
        <v>07/27 - 06/28</v>
      </c>
      <c r="CJ207" s="66" t="str">
        <f>[1]Tables!$AA$5</f>
        <v>07/28 - 06/29</v>
      </c>
      <c r="CK207" s="66" t="str">
        <f>[1]Tables!$AA$6</f>
        <v>07/29 - 06/30</v>
      </c>
      <c r="CL207" s="66" t="str">
        <f>[1]Tables!$AA$7</f>
        <v>07/30 - 06/31</v>
      </c>
      <c r="CM207" s="67" t="str">
        <f>[1]Tables!$AA$8</f>
        <v>07/31 - 06/32</v>
      </c>
      <c r="CO207" s="202" t="s">
        <v>36</v>
      </c>
      <c r="DC207" s="4"/>
      <c r="DD207" s="4"/>
      <c r="DE207" s="4"/>
      <c r="DF207" s="4"/>
      <c r="DG207" s="4"/>
    </row>
    <row r="208" spans="2:117" x14ac:dyDescent="0.35">
      <c r="B208" s="68" t="s">
        <v>11</v>
      </c>
      <c r="C208" s="69">
        <v>30</v>
      </c>
      <c r="D208" s="69" t="s">
        <v>12</v>
      </c>
      <c r="E208" s="70" t="s">
        <v>12</v>
      </c>
      <c r="F208" s="106"/>
      <c r="H208" s="71" t="s">
        <v>14</v>
      </c>
      <c r="I208" s="205" t="e">
        <f t="shared" ref="I208:M211" ca="1" si="214">I190-N199</f>
        <v>#VALUE!</v>
      </c>
      <c r="J208" s="206" t="e">
        <f t="shared" ca="1" si="214"/>
        <v>#VALUE!</v>
      </c>
      <c r="K208" s="206" t="e">
        <f t="shared" ca="1" si="214"/>
        <v>#VALUE!</v>
      </c>
      <c r="L208" s="206" t="e">
        <f t="shared" ca="1" si="214"/>
        <v>#VALUE!</v>
      </c>
      <c r="M208" s="207" t="e">
        <f t="shared" ca="1" si="214"/>
        <v>#VALUE!</v>
      </c>
      <c r="N208" s="311">
        <f t="shared" ref="N208:R212" ca="1" si="215">IFERROR(I190/S190, 0)</f>
        <v>0</v>
      </c>
      <c r="O208" s="267">
        <f t="shared" ca="1" si="215"/>
        <v>0</v>
      </c>
      <c r="P208" s="267">
        <f t="shared" ca="1" si="215"/>
        <v>0</v>
      </c>
      <c r="Q208" s="267">
        <f t="shared" ca="1" si="215"/>
        <v>0</v>
      </c>
      <c r="R208" s="312">
        <f t="shared" ca="1" si="215"/>
        <v>0</v>
      </c>
      <c r="S208" s="311">
        <f t="shared" ref="S208:W212" ca="1" si="216">IFERROR(I208/S190, 0)</f>
        <v>0</v>
      </c>
      <c r="T208" s="267">
        <f t="shared" ca="1" si="216"/>
        <v>0</v>
      </c>
      <c r="U208" s="267">
        <f t="shared" ca="1" si="216"/>
        <v>0</v>
      </c>
      <c r="V208" s="267">
        <f t="shared" ca="1" si="216"/>
        <v>0</v>
      </c>
      <c r="W208" s="312">
        <f t="shared" ca="1" si="216"/>
        <v>0</v>
      </c>
      <c r="Y208" s="77" t="s">
        <v>14</v>
      </c>
      <c r="Z208" s="208">
        <f t="shared" ref="Z208:AD211" ca="1" si="217">Z190-AE199</f>
        <v>0</v>
      </c>
      <c r="AA208" s="206">
        <f t="shared" ca="1" si="217"/>
        <v>0</v>
      </c>
      <c r="AB208" s="206">
        <f t="shared" ca="1" si="217"/>
        <v>0</v>
      </c>
      <c r="AC208" s="206">
        <f t="shared" ca="1" si="217"/>
        <v>0</v>
      </c>
      <c r="AD208" s="209">
        <f t="shared" ca="1" si="217"/>
        <v>0</v>
      </c>
      <c r="AE208" s="313">
        <f t="shared" ref="AE208:AI212" ca="1" si="218">IFERROR(Z190/AJ190, 0)</f>
        <v>0</v>
      </c>
      <c r="AF208" s="267">
        <f t="shared" ca="1" si="218"/>
        <v>0</v>
      </c>
      <c r="AG208" s="267">
        <f t="shared" ca="1" si="218"/>
        <v>0</v>
      </c>
      <c r="AH208" s="267">
        <f t="shared" ca="1" si="218"/>
        <v>0</v>
      </c>
      <c r="AI208" s="314">
        <f t="shared" ca="1" si="218"/>
        <v>0</v>
      </c>
      <c r="AJ208" s="313">
        <f t="shared" ref="AJ208:AN212" ca="1" si="219">IFERROR(Z208/AJ190, 0)</f>
        <v>0</v>
      </c>
      <c r="AK208" s="267">
        <f t="shared" ca="1" si="219"/>
        <v>0</v>
      </c>
      <c r="AL208" s="267">
        <f t="shared" ca="1" si="219"/>
        <v>0</v>
      </c>
      <c r="AM208" s="267">
        <f t="shared" ca="1" si="219"/>
        <v>0</v>
      </c>
      <c r="AN208" s="314">
        <f t="shared" ca="1" si="219"/>
        <v>0</v>
      </c>
      <c r="AP208" s="83" t="s">
        <v>14</v>
      </c>
      <c r="AQ208" s="260" t="e">
        <f t="shared" ref="AQ208:AU211" ca="1" si="220">AQ190-AV199</f>
        <v>#VALUE!</v>
      </c>
      <c r="AR208" s="206" t="e">
        <f t="shared" ca="1" si="220"/>
        <v>#VALUE!</v>
      </c>
      <c r="AS208" s="206" t="e">
        <f t="shared" ca="1" si="220"/>
        <v>#VALUE!</v>
      </c>
      <c r="AT208" s="206" t="e">
        <f t="shared" ca="1" si="220"/>
        <v>#VALUE!</v>
      </c>
      <c r="AU208" s="212" t="e">
        <f t="shared" ca="1" si="220"/>
        <v>#VALUE!</v>
      </c>
      <c r="AV208" s="315">
        <f t="shared" ref="AV208:AZ212" ca="1" si="221">IFERROR(AQ190/BA190, 0)</f>
        <v>0</v>
      </c>
      <c r="AW208" s="267">
        <f t="shared" ca="1" si="221"/>
        <v>0</v>
      </c>
      <c r="AX208" s="267">
        <f t="shared" ca="1" si="221"/>
        <v>0</v>
      </c>
      <c r="AY208" s="267">
        <f t="shared" ca="1" si="221"/>
        <v>0</v>
      </c>
      <c r="AZ208" s="316">
        <f t="shared" ca="1" si="221"/>
        <v>0</v>
      </c>
      <c r="BA208" s="267">
        <f t="shared" ref="BA208:BE212" ca="1" si="222">IFERROR(AQ208/BA190, 0)</f>
        <v>0</v>
      </c>
      <c r="BB208" s="267">
        <f t="shared" ca="1" si="222"/>
        <v>0</v>
      </c>
      <c r="BC208" s="267">
        <f t="shared" ca="1" si="222"/>
        <v>0</v>
      </c>
      <c r="BD208" s="267">
        <f t="shared" ca="1" si="222"/>
        <v>0</v>
      </c>
      <c r="BE208" s="316">
        <f t="shared" ca="1" si="222"/>
        <v>0</v>
      </c>
      <c r="BG208" s="88" t="s">
        <v>14</v>
      </c>
      <c r="BH208" s="213" t="e">
        <f t="shared" ref="BH208:BL211" ca="1" si="223">BH190-BM199</f>
        <v>#VALUE!</v>
      </c>
      <c r="BI208" s="206" t="e">
        <f t="shared" ca="1" si="223"/>
        <v>#VALUE!</v>
      </c>
      <c r="BJ208" s="206" t="e">
        <f t="shared" ca="1" si="223"/>
        <v>#VALUE!</v>
      </c>
      <c r="BK208" s="206" t="e">
        <f t="shared" ca="1" si="223"/>
        <v>#VALUE!</v>
      </c>
      <c r="BL208" s="214" t="e">
        <f t="shared" ca="1" si="223"/>
        <v>#VALUE!</v>
      </c>
      <c r="BM208" s="266">
        <f t="shared" ref="BM208:BQ212" ca="1" si="224">IFERROR(BH190/BR190, 0)</f>
        <v>0</v>
      </c>
      <c r="BN208" s="267">
        <f t="shared" ca="1" si="224"/>
        <v>0</v>
      </c>
      <c r="BO208" s="267">
        <f t="shared" ca="1" si="224"/>
        <v>0</v>
      </c>
      <c r="BP208" s="267">
        <f t="shared" ca="1" si="224"/>
        <v>0</v>
      </c>
      <c r="BQ208" s="268">
        <f t="shared" ca="1" si="224"/>
        <v>0</v>
      </c>
      <c r="BR208" s="317">
        <f t="shared" ref="BR208:BV212" ca="1" si="225">IFERROR(BH208/BR190, 0)</f>
        <v>0</v>
      </c>
      <c r="BS208" s="318">
        <f t="shared" ca="1" si="225"/>
        <v>0</v>
      </c>
      <c r="BT208" s="318">
        <f t="shared" ca="1" si="225"/>
        <v>0</v>
      </c>
      <c r="BU208" s="318">
        <f t="shared" ca="1" si="225"/>
        <v>0</v>
      </c>
      <c r="BV208" s="319">
        <f t="shared" ca="1" si="225"/>
        <v>0</v>
      </c>
      <c r="BX208" s="88" t="s">
        <v>14</v>
      </c>
      <c r="BY208" s="320"/>
      <c r="BZ208" s="321"/>
      <c r="CA208" s="321"/>
      <c r="CB208" s="321"/>
      <c r="CC208" s="322"/>
      <c r="CD208" s="266">
        <f t="shared" ref="CD208:CH212" ca="1" si="226">IFERROR(BY190/CI190, 0)</f>
        <v>0</v>
      </c>
      <c r="CE208" s="267">
        <f t="shared" ca="1" si="226"/>
        <v>0</v>
      </c>
      <c r="CF208" s="267">
        <f t="shared" ca="1" si="226"/>
        <v>0</v>
      </c>
      <c r="CG208" s="267">
        <f t="shared" ca="1" si="226"/>
        <v>0</v>
      </c>
      <c r="CH208" s="268">
        <f t="shared" ca="1" si="226"/>
        <v>0</v>
      </c>
      <c r="CI208" s="323"/>
      <c r="CJ208" s="324"/>
      <c r="CK208" s="324"/>
      <c r="CL208" s="324"/>
      <c r="CM208" s="325"/>
      <c r="CO208" s="326">
        <f ca="1">IFERROR(CO190/CQ190, 0)</f>
        <v>0</v>
      </c>
    </row>
    <row r="209" spans="1:98" x14ac:dyDescent="0.35">
      <c r="B209" s="105" t="s">
        <v>11</v>
      </c>
      <c r="C209" s="106">
        <v>90</v>
      </c>
      <c r="D209" s="106" t="s">
        <v>12</v>
      </c>
      <c r="E209" s="107" t="s">
        <v>12</v>
      </c>
      <c r="F209" s="106"/>
      <c r="H209" s="108" t="s">
        <v>15</v>
      </c>
      <c r="I209" s="205" t="e">
        <f t="shared" ca="1" si="214"/>
        <v>#VALUE!</v>
      </c>
      <c r="J209" s="206" t="e">
        <f t="shared" ca="1" si="214"/>
        <v>#VALUE!</v>
      </c>
      <c r="K209" s="206" t="e">
        <f t="shared" ca="1" si="214"/>
        <v>#VALUE!</v>
      </c>
      <c r="L209" s="206" t="e">
        <f t="shared" ca="1" si="214"/>
        <v>#VALUE!</v>
      </c>
      <c r="M209" s="207" t="e">
        <f t="shared" ca="1" si="214"/>
        <v>#VALUE!</v>
      </c>
      <c r="N209" s="311">
        <f t="shared" ca="1" si="215"/>
        <v>0</v>
      </c>
      <c r="O209" s="267">
        <f t="shared" ca="1" si="215"/>
        <v>0</v>
      </c>
      <c r="P209" s="267">
        <f t="shared" ca="1" si="215"/>
        <v>0</v>
      </c>
      <c r="Q209" s="267">
        <f t="shared" ca="1" si="215"/>
        <v>0</v>
      </c>
      <c r="R209" s="312">
        <f t="shared" ca="1" si="215"/>
        <v>0</v>
      </c>
      <c r="S209" s="311">
        <f t="shared" ca="1" si="216"/>
        <v>0</v>
      </c>
      <c r="T209" s="267">
        <f t="shared" ca="1" si="216"/>
        <v>0</v>
      </c>
      <c r="U209" s="267">
        <f t="shared" ca="1" si="216"/>
        <v>0</v>
      </c>
      <c r="V209" s="267">
        <f t="shared" ca="1" si="216"/>
        <v>0</v>
      </c>
      <c r="W209" s="312">
        <f t="shared" ca="1" si="216"/>
        <v>0</v>
      </c>
      <c r="Y209" s="109" t="s">
        <v>15</v>
      </c>
      <c r="Z209" s="208">
        <f t="shared" ca="1" si="217"/>
        <v>0</v>
      </c>
      <c r="AA209" s="206">
        <f t="shared" ca="1" si="217"/>
        <v>0</v>
      </c>
      <c r="AB209" s="206">
        <f t="shared" ca="1" si="217"/>
        <v>0</v>
      </c>
      <c r="AC209" s="206">
        <f t="shared" ca="1" si="217"/>
        <v>0</v>
      </c>
      <c r="AD209" s="209">
        <f t="shared" ca="1" si="217"/>
        <v>0</v>
      </c>
      <c r="AE209" s="313">
        <f t="shared" ca="1" si="218"/>
        <v>0</v>
      </c>
      <c r="AF209" s="267">
        <f t="shared" ca="1" si="218"/>
        <v>0</v>
      </c>
      <c r="AG209" s="267">
        <f t="shared" ca="1" si="218"/>
        <v>0</v>
      </c>
      <c r="AH209" s="267">
        <f t="shared" ca="1" si="218"/>
        <v>0</v>
      </c>
      <c r="AI209" s="314">
        <f t="shared" ca="1" si="218"/>
        <v>0</v>
      </c>
      <c r="AJ209" s="313">
        <f t="shared" ca="1" si="219"/>
        <v>0</v>
      </c>
      <c r="AK209" s="267">
        <f t="shared" ca="1" si="219"/>
        <v>0</v>
      </c>
      <c r="AL209" s="267">
        <f t="shared" ca="1" si="219"/>
        <v>0</v>
      </c>
      <c r="AM209" s="267">
        <f t="shared" ca="1" si="219"/>
        <v>0</v>
      </c>
      <c r="AN209" s="314">
        <f t="shared" ca="1" si="219"/>
        <v>0</v>
      </c>
      <c r="AP209" s="110" t="s">
        <v>15</v>
      </c>
      <c r="AQ209" s="260" t="e">
        <f t="shared" ca="1" si="220"/>
        <v>#VALUE!</v>
      </c>
      <c r="AR209" s="206" t="e">
        <f t="shared" ca="1" si="220"/>
        <v>#VALUE!</v>
      </c>
      <c r="AS209" s="206" t="e">
        <f t="shared" ca="1" si="220"/>
        <v>#VALUE!</v>
      </c>
      <c r="AT209" s="206" t="e">
        <f t="shared" ca="1" si="220"/>
        <v>#VALUE!</v>
      </c>
      <c r="AU209" s="212" t="e">
        <f t="shared" ca="1" si="220"/>
        <v>#VALUE!</v>
      </c>
      <c r="AV209" s="315">
        <f t="shared" ca="1" si="221"/>
        <v>0</v>
      </c>
      <c r="AW209" s="267">
        <f t="shared" ca="1" si="221"/>
        <v>0</v>
      </c>
      <c r="AX209" s="267">
        <f t="shared" ca="1" si="221"/>
        <v>0</v>
      </c>
      <c r="AY209" s="267">
        <f t="shared" ca="1" si="221"/>
        <v>0</v>
      </c>
      <c r="AZ209" s="316">
        <f t="shared" ca="1" si="221"/>
        <v>0</v>
      </c>
      <c r="BA209" s="267">
        <f t="shared" ca="1" si="222"/>
        <v>0</v>
      </c>
      <c r="BB209" s="267">
        <f t="shared" ca="1" si="222"/>
        <v>0</v>
      </c>
      <c r="BC209" s="267">
        <f t="shared" ca="1" si="222"/>
        <v>0</v>
      </c>
      <c r="BD209" s="267">
        <f t="shared" ca="1" si="222"/>
        <v>0</v>
      </c>
      <c r="BE209" s="316">
        <f t="shared" ca="1" si="222"/>
        <v>0</v>
      </c>
      <c r="BG209" s="111" t="s">
        <v>15</v>
      </c>
      <c r="BH209" s="213" t="e">
        <f t="shared" ca="1" si="223"/>
        <v>#VALUE!</v>
      </c>
      <c r="BI209" s="206" t="e">
        <f t="shared" ca="1" si="223"/>
        <v>#VALUE!</v>
      </c>
      <c r="BJ209" s="206" t="e">
        <f t="shared" ca="1" si="223"/>
        <v>#VALUE!</v>
      </c>
      <c r="BK209" s="206" t="e">
        <f t="shared" ca="1" si="223"/>
        <v>#VALUE!</v>
      </c>
      <c r="BL209" s="214" t="e">
        <f t="shared" ca="1" si="223"/>
        <v>#VALUE!</v>
      </c>
      <c r="BM209" s="266">
        <f t="shared" ca="1" si="224"/>
        <v>0</v>
      </c>
      <c r="BN209" s="267">
        <f t="shared" ca="1" si="224"/>
        <v>0</v>
      </c>
      <c r="BO209" s="267">
        <f t="shared" ca="1" si="224"/>
        <v>0</v>
      </c>
      <c r="BP209" s="267">
        <f t="shared" ca="1" si="224"/>
        <v>0</v>
      </c>
      <c r="BQ209" s="268">
        <f t="shared" ca="1" si="224"/>
        <v>0</v>
      </c>
      <c r="BR209" s="266">
        <f t="shared" ca="1" si="225"/>
        <v>0</v>
      </c>
      <c r="BS209" s="267">
        <f t="shared" ca="1" si="225"/>
        <v>0</v>
      </c>
      <c r="BT209" s="267">
        <f t="shared" ca="1" si="225"/>
        <v>0</v>
      </c>
      <c r="BU209" s="267">
        <f t="shared" ca="1" si="225"/>
        <v>0</v>
      </c>
      <c r="BV209" s="268">
        <f t="shared" ca="1" si="225"/>
        <v>0</v>
      </c>
      <c r="BX209" s="111" t="s">
        <v>15</v>
      </c>
      <c r="BY209" s="320"/>
      <c r="BZ209" s="321"/>
      <c r="CA209" s="321"/>
      <c r="CB209" s="321"/>
      <c r="CC209" s="322"/>
      <c r="CD209" s="266">
        <f t="shared" ca="1" si="226"/>
        <v>0</v>
      </c>
      <c r="CE209" s="267">
        <f t="shared" ca="1" si="226"/>
        <v>0</v>
      </c>
      <c r="CF209" s="267">
        <f t="shared" ca="1" si="226"/>
        <v>0</v>
      </c>
      <c r="CG209" s="267">
        <f t="shared" ca="1" si="226"/>
        <v>0</v>
      </c>
      <c r="CH209" s="268">
        <f t="shared" ca="1" si="226"/>
        <v>0</v>
      </c>
      <c r="CI209" s="327"/>
      <c r="CJ209" s="328"/>
      <c r="CK209" s="328"/>
      <c r="CL209" s="328"/>
      <c r="CM209" s="329"/>
      <c r="CO209" s="326">
        <f ca="1">IFERROR(CO191/CQ191, 0)</f>
        <v>0</v>
      </c>
    </row>
    <row r="210" spans="1:98" x14ac:dyDescent="0.35">
      <c r="B210" s="105" t="s">
        <v>16</v>
      </c>
      <c r="C210" s="106"/>
      <c r="D210" s="106" t="s">
        <v>12</v>
      </c>
      <c r="E210" s="107" t="s">
        <v>12</v>
      </c>
      <c r="F210" s="106"/>
      <c r="H210" s="118" t="s">
        <v>7</v>
      </c>
      <c r="I210" s="205" t="e">
        <f t="shared" ca="1" si="214"/>
        <v>#VALUE!</v>
      </c>
      <c r="J210" s="206" t="e">
        <f t="shared" ca="1" si="214"/>
        <v>#VALUE!</v>
      </c>
      <c r="K210" s="206" t="e">
        <f t="shared" ca="1" si="214"/>
        <v>#VALUE!</v>
      </c>
      <c r="L210" s="206" t="e">
        <f t="shared" ca="1" si="214"/>
        <v>#VALUE!</v>
      </c>
      <c r="M210" s="207" t="e">
        <f t="shared" ca="1" si="214"/>
        <v>#VALUE!</v>
      </c>
      <c r="N210" s="311">
        <f t="shared" ca="1" si="215"/>
        <v>0</v>
      </c>
      <c r="O210" s="267">
        <f t="shared" ca="1" si="215"/>
        <v>0</v>
      </c>
      <c r="P210" s="267">
        <f t="shared" ca="1" si="215"/>
        <v>0</v>
      </c>
      <c r="Q210" s="267">
        <f t="shared" ca="1" si="215"/>
        <v>0</v>
      </c>
      <c r="R210" s="312">
        <f t="shared" ca="1" si="215"/>
        <v>0</v>
      </c>
      <c r="S210" s="311">
        <f t="shared" ca="1" si="216"/>
        <v>0</v>
      </c>
      <c r="T210" s="267">
        <f t="shared" ca="1" si="216"/>
        <v>0</v>
      </c>
      <c r="U210" s="267">
        <f t="shared" ca="1" si="216"/>
        <v>0</v>
      </c>
      <c r="V210" s="267">
        <f t="shared" ca="1" si="216"/>
        <v>0</v>
      </c>
      <c r="W210" s="312">
        <f t="shared" ca="1" si="216"/>
        <v>0</v>
      </c>
      <c r="Y210" s="119" t="s">
        <v>7</v>
      </c>
      <c r="Z210" s="208">
        <f t="shared" ca="1" si="217"/>
        <v>0</v>
      </c>
      <c r="AA210" s="206">
        <f t="shared" ca="1" si="217"/>
        <v>0</v>
      </c>
      <c r="AB210" s="206">
        <f t="shared" ca="1" si="217"/>
        <v>0</v>
      </c>
      <c r="AC210" s="206">
        <f t="shared" ca="1" si="217"/>
        <v>0</v>
      </c>
      <c r="AD210" s="209">
        <f t="shared" ca="1" si="217"/>
        <v>0</v>
      </c>
      <c r="AE210" s="313">
        <f t="shared" ca="1" si="218"/>
        <v>0</v>
      </c>
      <c r="AF210" s="267">
        <f t="shared" ca="1" si="218"/>
        <v>0</v>
      </c>
      <c r="AG210" s="267">
        <f t="shared" ca="1" si="218"/>
        <v>0</v>
      </c>
      <c r="AH210" s="267">
        <f t="shared" ca="1" si="218"/>
        <v>0</v>
      </c>
      <c r="AI210" s="314">
        <f t="shared" ca="1" si="218"/>
        <v>0</v>
      </c>
      <c r="AJ210" s="313">
        <f t="shared" ca="1" si="219"/>
        <v>0</v>
      </c>
      <c r="AK210" s="267">
        <f t="shared" ca="1" si="219"/>
        <v>0</v>
      </c>
      <c r="AL210" s="267">
        <f t="shared" ca="1" si="219"/>
        <v>0</v>
      </c>
      <c r="AM210" s="267">
        <f t="shared" ca="1" si="219"/>
        <v>0</v>
      </c>
      <c r="AN210" s="314">
        <f t="shared" ca="1" si="219"/>
        <v>0</v>
      </c>
      <c r="AP210" s="120" t="s">
        <v>7</v>
      </c>
      <c r="AQ210" s="260" t="e">
        <f t="shared" ca="1" si="220"/>
        <v>#VALUE!</v>
      </c>
      <c r="AR210" s="206" t="e">
        <f t="shared" ca="1" si="220"/>
        <v>#VALUE!</v>
      </c>
      <c r="AS210" s="206" t="e">
        <f t="shared" ca="1" si="220"/>
        <v>#VALUE!</v>
      </c>
      <c r="AT210" s="206" t="e">
        <f t="shared" ca="1" si="220"/>
        <v>#VALUE!</v>
      </c>
      <c r="AU210" s="212" t="e">
        <f t="shared" ca="1" si="220"/>
        <v>#VALUE!</v>
      </c>
      <c r="AV210" s="315">
        <f t="shared" ca="1" si="221"/>
        <v>0</v>
      </c>
      <c r="AW210" s="267">
        <f t="shared" ca="1" si="221"/>
        <v>0</v>
      </c>
      <c r="AX210" s="267">
        <f t="shared" ca="1" si="221"/>
        <v>0</v>
      </c>
      <c r="AY210" s="267">
        <f t="shared" ca="1" si="221"/>
        <v>0</v>
      </c>
      <c r="AZ210" s="316">
        <f t="shared" ca="1" si="221"/>
        <v>0</v>
      </c>
      <c r="BA210" s="267">
        <f t="shared" ca="1" si="222"/>
        <v>0</v>
      </c>
      <c r="BB210" s="267">
        <f t="shared" ca="1" si="222"/>
        <v>0</v>
      </c>
      <c r="BC210" s="267">
        <f t="shared" ca="1" si="222"/>
        <v>0</v>
      </c>
      <c r="BD210" s="267">
        <f t="shared" ca="1" si="222"/>
        <v>0</v>
      </c>
      <c r="BE210" s="316">
        <f t="shared" ca="1" si="222"/>
        <v>0</v>
      </c>
      <c r="BG210" s="121" t="s">
        <v>7</v>
      </c>
      <c r="BH210" s="213" t="e">
        <f t="shared" ca="1" si="223"/>
        <v>#VALUE!</v>
      </c>
      <c r="BI210" s="206" t="e">
        <f t="shared" ca="1" si="223"/>
        <v>#VALUE!</v>
      </c>
      <c r="BJ210" s="206" t="e">
        <f t="shared" ca="1" si="223"/>
        <v>#VALUE!</v>
      </c>
      <c r="BK210" s="206" t="e">
        <f t="shared" ca="1" si="223"/>
        <v>#VALUE!</v>
      </c>
      <c r="BL210" s="214" t="e">
        <f t="shared" ca="1" si="223"/>
        <v>#VALUE!</v>
      </c>
      <c r="BM210" s="266">
        <f t="shared" ca="1" si="224"/>
        <v>0</v>
      </c>
      <c r="BN210" s="267">
        <f t="shared" ca="1" si="224"/>
        <v>0</v>
      </c>
      <c r="BO210" s="267">
        <f t="shared" ca="1" si="224"/>
        <v>0</v>
      </c>
      <c r="BP210" s="267">
        <f t="shared" ca="1" si="224"/>
        <v>0</v>
      </c>
      <c r="BQ210" s="268">
        <f t="shared" ca="1" si="224"/>
        <v>0</v>
      </c>
      <c r="BR210" s="266">
        <f t="shared" ca="1" si="225"/>
        <v>0</v>
      </c>
      <c r="BS210" s="267">
        <f t="shared" ca="1" si="225"/>
        <v>0</v>
      </c>
      <c r="BT210" s="267">
        <f t="shared" ca="1" si="225"/>
        <v>0</v>
      </c>
      <c r="BU210" s="267">
        <f t="shared" ca="1" si="225"/>
        <v>0</v>
      </c>
      <c r="BV210" s="268">
        <f t="shared" ca="1" si="225"/>
        <v>0</v>
      </c>
      <c r="BX210" s="121" t="s">
        <v>7</v>
      </c>
      <c r="BY210" s="320"/>
      <c r="BZ210" s="321"/>
      <c r="CA210" s="321"/>
      <c r="CB210" s="321"/>
      <c r="CC210" s="322"/>
      <c r="CD210" s="266">
        <f t="shared" ca="1" si="226"/>
        <v>0</v>
      </c>
      <c r="CE210" s="267">
        <f t="shared" ca="1" si="226"/>
        <v>0</v>
      </c>
      <c r="CF210" s="267">
        <f t="shared" ca="1" si="226"/>
        <v>0</v>
      </c>
      <c r="CG210" s="267">
        <f t="shared" ca="1" si="226"/>
        <v>0</v>
      </c>
      <c r="CH210" s="268">
        <f t="shared" ca="1" si="226"/>
        <v>0</v>
      </c>
      <c r="CI210" s="327"/>
      <c r="CJ210" s="328"/>
      <c r="CK210" s="328"/>
      <c r="CL210" s="328"/>
      <c r="CM210" s="329"/>
      <c r="CO210" s="326">
        <f ca="1">IFERROR(CO192/CQ192, 0)</f>
        <v>0</v>
      </c>
    </row>
    <row r="211" spans="1:98" ht="15" thickBot="1" x14ac:dyDescent="0.4">
      <c r="B211" s="122"/>
      <c r="C211" s="123"/>
      <c r="D211" s="123" t="s">
        <v>13</v>
      </c>
      <c r="E211" s="124" t="s">
        <v>12</v>
      </c>
      <c r="F211" s="106"/>
      <c r="H211" s="118" t="s">
        <v>17</v>
      </c>
      <c r="I211" s="205" t="e">
        <f t="shared" ca="1" si="214"/>
        <v>#VALUE!</v>
      </c>
      <c r="J211" s="206" t="e">
        <f t="shared" ca="1" si="214"/>
        <v>#VALUE!</v>
      </c>
      <c r="K211" s="206" t="e">
        <f t="shared" ca="1" si="214"/>
        <v>#VALUE!</v>
      </c>
      <c r="L211" s="206" t="e">
        <f t="shared" ca="1" si="214"/>
        <v>#VALUE!</v>
      </c>
      <c r="M211" s="271" t="e">
        <f t="shared" ca="1" si="214"/>
        <v>#VALUE!</v>
      </c>
      <c r="N211" s="311">
        <f t="shared" ca="1" si="215"/>
        <v>0</v>
      </c>
      <c r="O211" s="267">
        <f t="shared" ca="1" si="215"/>
        <v>0</v>
      </c>
      <c r="P211" s="267">
        <f t="shared" ca="1" si="215"/>
        <v>0</v>
      </c>
      <c r="Q211" s="267">
        <f t="shared" ca="1" si="215"/>
        <v>0</v>
      </c>
      <c r="R211" s="330">
        <f t="shared" ca="1" si="215"/>
        <v>0</v>
      </c>
      <c r="S211" s="267">
        <f t="shared" ca="1" si="216"/>
        <v>0</v>
      </c>
      <c r="T211" s="267">
        <f t="shared" ca="1" si="216"/>
        <v>0</v>
      </c>
      <c r="U211" s="267">
        <f t="shared" ca="1" si="216"/>
        <v>0</v>
      </c>
      <c r="V211" s="267">
        <f t="shared" ca="1" si="216"/>
        <v>0</v>
      </c>
      <c r="W211" s="312">
        <f t="shared" ca="1" si="216"/>
        <v>0</v>
      </c>
      <c r="Y211" s="119" t="s">
        <v>17</v>
      </c>
      <c r="Z211" s="223">
        <f t="shared" ca="1" si="217"/>
        <v>0</v>
      </c>
      <c r="AA211" s="224">
        <f t="shared" ca="1" si="217"/>
        <v>0</v>
      </c>
      <c r="AB211" s="224">
        <f t="shared" ca="1" si="217"/>
        <v>0</v>
      </c>
      <c r="AC211" s="224">
        <f t="shared" ca="1" si="217"/>
        <v>0</v>
      </c>
      <c r="AD211" s="225">
        <f t="shared" ca="1" si="217"/>
        <v>0</v>
      </c>
      <c r="AE211" s="331">
        <f t="shared" ca="1" si="218"/>
        <v>0</v>
      </c>
      <c r="AF211" s="332">
        <f t="shared" ca="1" si="218"/>
        <v>0</v>
      </c>
      <c r="AG211" s="332">
        <f t="shared" ca="1" si="218"/>
        <v>0</v>
      </c>
      <c r="AH211" s="332">
        <f t="shared" ca="1" si="218"/>
        <v>0</v>
      </c>
      <c r="AI211" s="333">
        <f t="shared" ca="1" si="218"/>
        <v>0</v>
      </c>
      <c r="AJ211" s="332">
        <f t="shared" ca="1" si="219"/>
        <v>0</v>
      </c>
      <c r="AK211" s="332">
        <f t="shared" ca="1" si="219"/>
        <v>0</v>
      </c>
      <c r="AL211" s="332">
        <f t="shared" ca="1" si="219"/>
        <v>0</v>
      </c>
      <c r="AM211" s="332">
        <f t="shared" ca="1" si="219"/>
        <v>0</v>
      </c>
      <c r="AN211" s="333">
        <f t="shared" ca="1" si="219"/>
        <v>0</v>
      </c>
      <c r="AP211" s="120" t="s">
        <v>17</v>
      </c>
      <c r="AQ211" s="243" t="e">
        <f t="shared" ca="1" si="220"/>
        <v>#VALUE!</v>
      </c>
      <c r="AR211" s="229" t="e">
        <f t="shared" ca="1" si="220"/>
        <v>#VALUE!</v>
      </c>
      <c r="AS211" s="229" t="e">
        <f t="shared" ca="1" si="220"/>
        <v>#VALUE!</v>
      </c>
      <c r="AT211" s="229" t="e">
        <f t="shared" ca="1" si="220"/>
        <v>#VALUE!</v>
      </c>
      <c r="AU211" s="230" t="e">
        <f t="shared" ca="1" si="220"/>
        <v>#VALUE!</v>
      </c>
      <c r="AV211" s="334">
        <f t="shared" ca="1" si="221"/>
        <v>0</v>
      </c>
      <c r="AW211" s="335">
        <f t="shared" ca="1" si="221"/>
        <v>0</v>
      </c>
      <c r="AX211" s="335">
        <f t="shared" ca="1" si="221"/>
        <v>0</v>
      </c>
      <c r="AY211" s="335">
        <f t="shared" ca="1" si="221"/>
        <v>0</v>
      </c>
      <c r="AZ211" s="336">
        <f t="shared" ca="1" si="221"/>
        <v>0</v>
      </c>
      <c r="BA211" s="335">
        <f t="shared" ca="1" si="222"/>
        <v>0</v>
      </c>
      <c r="BB211" s="335">
        <f t="shared" ca="1" si="222"/>
        <v>0</v>
      </c>
      <c r="BC211" s="335">
        <f t="shared" ca="1" si="222"/>
        <v>0</v>
      </c>
      <c r="BD211" s="335">
        <f t="shared" ca="1" si="222"/>
        <v>0</v>
      </c>
      <c r="BE211" s="336">
        <f t="shared" ca="1" si="222"/>
        <v>0</v>
      </c>
      <c r="BG211" s="121" t="s">
        <v>17</v>
      </c>
      <c r="BH211" s="231" t="e">
        <f t="shared" ca="1" si="223"/>
        <v>#VALUE!</v>
      </c>
      <c r="BI211" s="232" t="e">
        <f t="shared" ca="1" si="223"/>
        <v>#VALUE!</v>
      </c>
      <c r="BJ211" s="232" t="e">
        <f t="shared" ca="1" si="223"/>
        <v>#VALUE!</v>
      </c>
      <c r="BK211" s="232" t="e">
        <f t="shared" ca="1" si="223"/>
        <v>#VALUE!</v>
      </c>
      <c r="BL211" s="233" t="e">
        <f t="shared" ca="1" si="223"/>
        <v>#VALUE!</v>
      </c>
      <c r="BM211" s="284">
        <f t="shared" ca="1" si="224"/>
        <v>0</v>
      </c>
      <c r="BN211" s="285">
        <f t="shared" ca="1" si="224"/>
        <v>0</v>
      </c>
      <c r="BO211" s="285">
        <f t="shared" ca="1" si="224"/>
        <v>0</v>
      </c>
      <c r="BP211" s="285">
        <f t="shared" ca="1" si="224"/>
        <v>0</v>
      </c>
      <c r="BQ211" s="286">
        <f t="shared" ca="1" si="224"/>
        <v>0</v>
      </c>
      <c r="BR211" s="285">
        <f t="shared" ca="1" si="225"/>
        <v>0</v>
      </c>
      <c r="BS211" s="285">
        <f t="shared" ca="1" si="225"/>
        <v>0</v>
      </c>
      <c r="BT211" s="285">
        <f t="shared" ca="1" si="225"/>
        <v>0</v>
      </c>
      <c r="BU211" s="285">
        <f t="shared" ca="1" si="225"/>
        <v>0</v>
      </c>
      <c r="BV211" s="286">
        <f t="shared" ca="1" si="225"/>
        <v>0</v>
      </c>
      <c r="BX211" s="121" t="s">
        <v>17</v>
      </c>
      <c r="BY211" s="337"/>
      <c r="BZ211" s="338"/>
      <c r="CA211" s="338"/>
      <c r="CB211" s="338"/>
      <c r="CC211" s="339"/>
      <c r="CD211" s="284">
        <f t="shared" ca="1" si="226"/>
        <v>0</v>
      </c>
      <c r="CE211" s="285">
        <f t="shared" ca="1" si="226"/>
        <v>0</v>
      </c>
      <c r="CF211" s="285">
        <f t="shared" ca="1" si="226"/>
        <v>0</v>
      </c>
      <c r="CG211" s="285">
        <f t="shared" ca="1" si="226"/>
        <v>0</v>
      </c>
      <c r="CH211" s="286">
        <f t="shared" ca="1" si="226"/>
        <v>0</v>
      </c>
      <c r="CI211" s="340"/>
      <c r="CJ211" s="340"/>
      <c r="CK211" s="340"/>
      <c r="CL211" s="340"/>
      <c r="CM211" s="341"/>
      <c r="CO211" s="342">
        <f ca="1">IFERROR(CO193/CQ193, 0)</f>
        <v>0</v>
      </c>
    </row>
    <row r="212" spans="1:98" ht="15" thickBot="1" x14ac:dyDescent="0.4">
      <c r="H212" s="154" t="s">
        <v>18</v>
      </c>
      <c r="I212" s="238" t="e">
        <f ca="1">SUM(I208:I211)</f>
        <v>#VALUE!</v>
      </c>
      <c r="J212" s="238" t="e">
        <f ca="1">SUM(J208:J211)</f>
        <v>#VALUE!</v>
      </c>
      <c r="K212" s="238" t="e">
        <f ca="1">SUM(K208:K211)</f>
        <v>#VALUE!</v>
      </c>
      <c r="L212" s="238" t="e">
        <f ca="1">SUM(L208:L211)</f>
        <v>#VALUE!</v>
      </c>
      <c r="M212" s="239" t="e">
        <f ca="1">SUM(M208:M211)</f>
        <v>#VALUE!</v>
      </c>
      <c r="N212" s="343">
        <f t="shared" ca="1" si="215"/>
        <v>0</v>
      </c>
      <c r="O212" s="343">
        <f t="shared" ca="1" si="215"/>
        <v>0</v>
      </c>
      <c r="P212" s="343">
        <f t="shared" ca="1" si="215"/>
        <v>0</v>
      </c>
      <c r="Q212" s="343">
        <f t="shared" ca="1" si="215"/>
        <v>0</v>
      </c>
      <c r="R212" s="344">
        <f t="shared" ca="1" si="215"/>
        <v>0</v>
      </c>
      <c r="S212" s="343">
        <f t="shared" ca="1" si="216"/>
        <v>0</v>
      </c>
      <c r="T212" s="343">
        <f t="shared" ca="1" si="216"/>
        <v>0</v>
      </c>
      <c r="U212" s="343">
        <f t="shared" ca="1" si="216"/>
        <v>0</v>
      </c>
      <c r="V212" s="343">
        <f t="shared" ca="1" si="216"/>
        <v>0</v>
      </c>
      <c r="W212" s="344">
        <f t="shared" ca="1" si="216"/>
        <v>0</v>
      </c>
      <c r="Y212" s="159" t="s">
        <v>18</v>
      </c>
      <c r="Z212" s="240">
        <f ca="1">SUM(Z208:Z211)</f>
        <v>0</v>
      </c>
      <c r="AA212" s="241">
        <f ca="1">SUM(AA208:AA211)</f>
        <v>0</v>
      </c>
      <c r="AB212" s="241">
        <f ca="1">SUM(AB208:AB211)</f>
        <v>0</v>
      </c>
      <c r="AC212" s="241">
        <f ca="1">SUM(AC208:AC211)</f>
        <v>0</v>
      </c>
      <c r="AD212" s="242">
        <f ca="1">SUM(AD208:AD211)</f>
        <v>0</v>
      </c>
      <c r="AE212" s="345">
        <f t="shared" ca="1" si="218"/>
        <v>0</v>
      </c>
      <c r="AF212" s="346">
        <f t="shared" ca="1" si="218"/>
        <v>0</v>
      </c>
      <c r="AG212" s="346">
        <f t="shared" ca="1" si="218"/>
        <v>0</v>
      </c>
      <c r="AH212" s="346">
        <f t="shared" ca="1" si="218"/>
        <v>0</v>
      </c>
      <c r="AI212" s="347">
        <f t="shared" ca="1" si="218"/>
        <v>0</v>
      </c>
      <c r="AJ212" s="346">
        <f t="shared" ca="1" si="219"/>
        <v>0</v>
      </c>
      <c r="AK212" s="346">
        <f t="shared" ca="1" si="219"/>
        <v>0</v>
      </c>
      <c r="AL212" s="346">
        <f t="shared" ca="1" si="219"/>
        <v>0</v>
      </c>
      <c r="AM212" s="346">
        <f t="shared" ca="1" si="219"/>
        <v>0</v>
      </c>
      <c r="AN212" s="347">
        <f t="shared" ca="1" si="219"/>
        <v>0</v>
      </c>
      <c r="AP212" s="166" t="s">
        <v>18</v>
      </c>
      <c r="AQ212" s="226" t="e">
        <f ca="1">SUM(AQ208:AQ211)</f>
        <v>#VALUE!</v>
      </c>
      <c r="AR212" s="227" t="e">
        <f ca="1">SUM(AR208:AR211)</f>
        <v>#VALUE!</v>
      </c>
      <c r="AS212" s="227" t="e">
        <f ca="1">SUM(AS208:AS211)</f>
        <v>#VALUE!</v>
      </c>
      <c r="AT212" s="227" t="e">
        <f ca="1">SUM(AT208:AT211)</f>
        <v>#VALUE!</v>
      </c>
      <c r="AU212" s="228" t="e">
        <f ca="1">SUM(AU208:AU211)</f>
        <v>#VALUE!</v>
      </c>
      <c r="AV212" s="348">
        <f t="shared" ca="1" si="221"/>
        <v>0</v>
      </c>
      <c r="AW212" s="349">
        <f t="shared" ca="1" si="221"/>
        <v>0</v>
      </c>
      <c r="AX212" s="349">
        <f t="shared" ca="1" si="221"/>
        <v>0</v>
      </c>
      <c r="AY212" s="349">
        <f t="shared" ca="1" si="221"/>
        <v>0</v>
      </c>
      <c r="AZ212" s="350">
        <f t="shared" ca="1" si="221"/>
        <v>0</v>
      </c>
      <c r="BA212" s="349">
        <f t="shared" ca="1" si="222"/>
        <v>0</v>
      </c>
      <c r="BB212" s="349">
        <f t="shared" ca="1" si="222"/>
        <v>0</v>
      </c>
      <c r="BC212" s="349">
        <f t="shared" ca="1" si="222"/>
        <v>0</v>
      </c>
      <c r="BD212" s="349">
        <f t="shared" ca="1" si="222"/>
        <v>0</v>
      </c>
      <c r="BE212" s="350">
        <f t="shared" ca="1" si="222"/>
        <v>0</v>
      </c>
      <c r="BG212" s="171" t="s">
        <v>18</v>
      </c>
      <c r="BH212" s="244" t="e">
        <f ca="1">SUM(BH208:BH211)</f>
        <v>#VALUE!</v>
      </c>
      <c r="BI212" s="245" t="e">
        <f ca="1">SUM(BI208:BI211)</f>
        <v>#VALUE!</v>
      </c>
      <c r="BJ212" s="245" t="e">
        <f ca="1">SUM(BJ208:BJ211)</f>
        <v>#VALUE!</v>
      </c>
      <c r="BK212" s="245" t="e">
        <f ca="1">SUM(BK208:BK211)</f>
        <v>#VALUE!</v>
      </c>
      <c r="BL212" s="234" t="e">
        <f ca="1">SUM(BL208:BL211)</f>
        <v>#VALUE!</v>
      </c>
      <c r="BM212" s="351">
        <f t="shared" ca="1" si="224"/>
        <v>0</v>
      </c>
      <c r="BN212" s="352">
        <f t="shared" ca="1" si="224"/>
        <v>0</v>
      </c>
      <c r="BO212" s="352">
        <f t="shared" ca="1" si="224"/>
        <v>0</v>
      </c>
      <c r="BP212" s="352">
        <f t="shared" ca="1" si="224"/>
        <v>0</v>
      </c>
      <c r="BQ212" s="353">
        <f t="shared" ca="1" si="224"/>
        <v>0</v>
      </c>
      <c r="BR212" s="352">
        <f t="shared" ca="1" si="225"/>
        <v>0</v>
      </c>
      <c r="BS212" s="352">
        <f t="shared" ca="1" si="225"/>
        <v>0</v>
      </c>
      <c r="BT212" s="352">
        <f t="shared" ca="1" si="225"/>
        <v>0</v>
      </c>
      <c r="BU212" s="352">
        <f t="shared" ca="1" si="225"/>
        <v>0</v>
      </c>
      <c r="BV212" s="353">
        <f t="shared" ca="1" si="225"/>
        <v>0</v>
      </c>
      <c r="BX212" s="171" t="s">
        <v>18</v>
      </c>
      <c r="BY212" s="337"/>
      <c r="BZ212" s="338"/>
      <c r="CA212" s="338"/>
      <c r="CB212" s="338"/>
      <c r="CC212" s="339"/>
      <c r="CD212" s="351">
        <f t="shared" ca="1" si="226"/>
        <v>0</v>
      </c>
      <c r="CE212" s="352">
        <f t="shared" ca="1" si="226"/>
        <v>0</v>
      </c>
      <c r="CF212" s="352">
        <f t="shared" ca="1" si="226"/>
        <v>0</v>
      </c>
      <c r="CG212" s="352">
        <f t="shared" ca="1" si="226"/>
        <v>0</v>
      </c>
      <c r="CH212" s="353">
        <f t="shared" ca="1" si="226"/>
        <v>0</v>
      </c>
      <c r="CI212" s="340"/>
      <c r="CJ212" s="340"/>
      <c r="CK212" s="340"/>
      <c r="CL212" s="340"/>
      <c r="CM212" s="341"/>
      <c r="CO212" s="342">
        <f ca="1">IFERROR(CO194/CQ194, 0)</f>
        <v>0</v>
      </c>
    </row>
    <row r="213" spans="1:98" x14ac:dyDescent="0.35">
      <c r="S213" s="301"/>
    </row>
    <row r="214" spans="1:98" ht="2" customHeight="1" x14ac:dyDescent="0.35">
      <c r="A214" s="194"/>
      <c r="B214" s="194"/>
      <c r="C214" s="194"/>
      <c r="D214" s="194"/>
      <c r="E214" s="194"/>
      <c r="F214" s="194"/>
      <c r="G214" s="194"/>
      <c r="H214" s="194"/>
      <c r="I214" s="194"/>
      <c r="J214" s="194"/>
      <c r="K214" s="194"/>
      <c r="L214" s="194"/>
      <c r="M214" s="194"/>
      <c r="N214" s="194"/>
      <c r="O214" s="194"/>
      <c r="P214" s="194"/>
      <c r="Q214" s="194"/>
      <c r="R214" s="194"/>
      <c r="S214" s="194"/>
      <c r="T214" s="194"/>
      <c r="U214" s="194"/>
      <c r="V214" s="194"/>
      <c r="W214" s="194"/>
      <c r="X214" s="194"/>
      <c r="Y214" s="194"/>
      <c r="Z214" s="194"/>
      <c r="AA214" s="194"/>
      <c r="AB214" s="194"/>
      <c r="AC214" s="194"/>
      <c r="AD214" s="194"/>
      <c r="AE214" s="194"/>
      <c r="AF214" s="194"/>
      <c r="AG214" s="194"/>
      <c r="AH214" s="194"/>
      <c r="AI214" s="194"/>
      <c r="AJ214" s="194"/>
      <c r="AK214" s="194"/>
      <c r="AL214" s="194"/>
      <c r="AM214" s="194"/>
      <c r="AN214" s="194"/>
      <c r="AO214" s="194"/>
      <c r="AP214" s="194"/>
      <c r="AQ214" s="194"/>
      <c r="AR214" s="194"/>
      <c r="AS214" s="194"/>
      <c r="AT214" s="194"/>
      <c r="AU214" s="194"/>
      <c r="AV214" s="194"/>
      <c r="AW214" s="194"/>
      <c r="AX214" s="194"/>
      <c r="AY214" s="194"/>
      <c r="AZ214" s="194"/>
      <c r="BA214" s="194"/>
      <c r="BB214" s="194"/>
      <c r="BC214" s="194"/>
      <c r="BD214" s="194"/>
      <c r="BE214" s="194"/>
      <c r="BF214" s="194"/>
      <c r="BG214" s="194"/>
      <c r="BH214" s="194"/>
      <c r="BI214" s="194"/>
      <c r="BJ214" s="194"/>
      <c r="BK214" s="194"/>
      <c r="BL214" s="194"/>
      <c r="BM214" s="194"/>
      <c r="BN214" s="194"/>
      <c r="BO214" s="194"/>
      <c r="BP214" s="194"/>
      <c r="BQ214" s="194"/>
      <c r="BR214" s="194"/>
      <c r="BS214" s="194"/>
      <c r="BT214" s="194"/>
      <c r="BU214" s="194"/>
      <c r="BV214" s="194"/>
      <c r="BW214" s="194"/>
      <c r="BX214" s="194"/>
      <c r="BY214" s="194"/>
      <c r="BZ214" s="194"/>
      <c r="CA214" s="194"/>
      <c r="CB214" s="194"/>
      <c r="CC214" s="194"/>
      <c r="CD214" s="194"/>
      <c r="CE214" s="194"/>
      <c r="CF214" s="194"/>
      <c r="CG214" s="194"/>
      <c r="CH214" s="194"/>
      <c r="CI214" s="194"/>
      <c r="CJ214" s="194"/>
      <c r="CK214" s="194"/>
      <c r="CL214" s="194"/>
      <c r="CM214" s="194"/>
    </row>
    <row r="215" spans="1:98" ht="15" thickBot="1" x14ac:dyDescent="0.4"/>
    <row r="216" spans="1:98" ht="15" thickBot="1" x14ac:dyDescent="0.4">
      <c r="I216" s="21" t="s">
        <v>61</v>
      </c>
      <c r="J216" s="22"/>
      <c r="K216" s="22"/>
      <c r="L216" s="22"/>
      <c r="M216" s="22"/>
      <c r="N216" s="22"/>
      <c r="O216" s="22"/>
      <c r="P216" s="22"/>
      <c r="Q216" s="22"/>
      <c r="R216" s="23"/>
      <c r="S216" s="301"/>
      <c r="Z216" s="24" t="s">
        <v>61</v>
      </c>
      <c r="AA216" s="25"/>
      <c r="AB216" s="25"/>
      <c r="AC216" s="25"/>
      <c r="AD216" s="25"/>
      <c r="AE216" s="25"/>
      <c r="AF216" s="25"/>
      <c r="AG216" s="25"/>
      <c r="AH216" s="25"/>
      <c r="AI216" s="26"/>
      <c r="AQ216" s="354" t="s">
        <v>61</v>
      </c>
      <c r="AR216" s="29"/>
      <c r="AS216" s="29"/>
      <c r="AT216" s="29"/>
      <c r="AU216" s="29"/>
      <c r="AV216" s="29"/>
      <c r="AW216" s="29"/>
      <c r="AX216" s="29"/>
      <c r="AY216" s="29"/>
      <c r="AZ216" s="355"/>
      <c r="BH216" s="31" t="s">
        <v>61</v>
      </c>
      <c r="BI216" s="32"/>
      <c r="BJ216" s="32"/>
      <c r="BK216" s="32"/>
      <c r="BL216" s="32"/>
      <c r="BM216" s="32"/>
      <c r="BN216" s="32"/>
      <c r="BO216" s="32"/>
      <c r="BP216" s="32"/>
      <c r="BQ216" s="33"/>
      <c r="BY216" s="34" t="s">
        <v>61</v>
      </c>
      <c r="BZ216" s="35"/>
      <c r="CA216" s="35"/>
      <c r="CB216" s="35"/>
      <c r="CC216" s="35"/>
      <c r="CD216" s="35"/>
      <c r="CE216" s="35"/>
      <c r="CF216" s="35"/>
      <c r="CG216" s="35"/>
      <c r="CH216" s="36"/>
      <c r="CO216" s="196" t="s">
        <v>61</v>
      </c>
      <c r="CP216" s="197"/>
      <c r="CQ216" s="197"/>
      <c r="CR216" s="197"/>
      <c r="CS216" s="197"/>
      <c r="CT216" s="198"/>
    </row>
    <row r="217" spans="1:98" ht="15" thickBot="1" x14ac:dyDescent="0.4">
      <c r="H217" s="37"/>
      <c r="I217" s="302" t="s">
        <v>62</v>
      </c>
      <c r="J217" s="303"/>
      <c r="K217" s="303"/>
      <c r="L217" s="303"/>
      <c r="M217" s="304"/>
      <c r="N217" s="302" t="s">
        <v>63</v>
      </c>
      <c r="O217" s="303"/>
      <c r="P217" s="303"/>
      <c r="Q217" s="303"/>
      <c r="R217" s="304"/>
      <c r="Z217" s="41" t="s">
        <v>62</v>
      </c>
      <c r="AA217" s="42"/>
      <c r="AB217" s="42"/>
      <c r="AC217" s="42"/>
      <c r="AD217" s="43"/>
      <c r="AE217" s="41" t="s">
        <v>63</v>
      </c>
      <c r="AF217" s="42"/>
      <c r="AG217" s="42"/>
      <c r="AH217" s="42"/>
      <c r="AI217" s="43"/>
      <c r="AQ217" s="44" t="s">
        <v>62</v>
      </c>
      <c r="AR217" s="45"/>
      <c r="AS217" s="45"/>
      <c r="AT217" s="45"/>
      <c r="AU217" s="46"/>
      <c r="AV217" s="44" t="s">
        <v>63</v>
      </c>
      <c r="AW217" s="45"/>
      <c r="AX217" s="45"/>
      <c r="AY217" s="45"/>
      <c r="AZ217" s="46"/>
      <c r="BH217" s="305" t="s">
        <v>62</v>
      </c>
      <c r="BI217" s="306"/>
      <c r="BJ217" s="306"/>
      <c r="BK217" s="306"/>
      <c r="BL217" s="307"/>
      <c r="BM217" s="305" t="s">
        <v>63</v>
      </c>
      <c r="BN217" s="306"/>
      <c r="BO217" s="306"/>
      <c r="BP217" s="306"/>
      <c r="BQ217" s="307"/>
      <c r="BY217" s="305" t="s">
        <v>62</v>
      </c>
      <c r="BZ217" s="306"/>
      <c r="CA217" s="306"/>
      <c r="CB217" s="306"/>
      <c r="CC217" s="307"/>
      <c r="CD217" s="305" t="s">
        <v>63</v>
      </c>
      <c r="CE217" s="306"/>
      <c r="CF217" s="306"/>
      <c r="CG217" s="306"/>
      <c r="CH217" s="307"/>
      <c r="CO217" s="199" t="s">
        <v>38</v>
      </c>
      <c r="CP217" s="200"/>
      <c r="CQ217" s="200"/>
      <c r="CR217" s="200"/>
      <c r="CS217" s="200"/>
      <c r="CT217" s="201"/>
    </row>
    <row r="218" spans="1:98" ht="29.5" thickBot="1" x14ac:dyDescent="0.4">
      <c r="H218" s="55"/>
      <c r="I218" s="56" t="str">
        <f>[1]Tables!$AA$4</f>
        <v>07/27 - 06/28</v>
      </c>
      <c r="J218" s="55" t="str">
        <f>[1]Tables!$AA$5</f>
        <v>07/28 - 06/29</v>
      </c>
      <c r="K218" s="55" t="str">
        <f>[1]Tables!$AA$6</f>
        <v>07/29 - 06/30</v>
      </c>
      <c r="L218" s="55" t="str">
        <f>[1]Tables!$AA$7</f>
        <v>07/30 - 06/31</v>
      </c>
      <c r="M218" s="57" t="str">
        <f>[1]Tables!$AA$8</f>
        <v>07/31 - 06/32</v>
      </c>
      <c r="N218" s="56" t="str">
        <f>[1]Tables!$AA$4</f>
        <v>07/27 - 06/28</v>
      </c>
      <c r="O218" s="55" t="str">
        <f>[1]Tables!$AA$5</f>
        <v>07/28 - 06/29</v>
      </c>
      <c r="P218" s="55" t="str">
        <f>[1]Tables!$AA$6</f>
        <v>07/29 - 06/30</v>
      </c>
      <c r="Q218" s="55" t="str">
        <f>[1]Tables!$AA$7</f>
        <v>07/30 - 06/31</v>
      </c>
      <c r="R218" s="57" t="str">
        <f>[1]Tables!$AA$8</f>
        <v>07/31 - 06/32</v>
      </c>
      <c r="Y218" s="58"/>
      <c r="Z218" s="59" t="str">
        <f>[1]Tables!$AA$4</f>
        <v>07/27 - 06/28</v>
      </c>
      <c r="AA218" s="60" t="str">
        <f>[1]Tables!$AA$5</f>
        <v>07/28 - 06/29</v>
      </c>
      <c r="AB218" s="60" t="str">
        <f>[1]Tables!$AA$6</f>
        <v>07/29 - 06/30</v>
      </c>
      <c r="AC218" s="60" t="str">
        <f>[1]Tables!$AA$7</f>
        <v>07/30 - 06/31</v>
      </c>
      <c r="AD218" s="61" t="str">
        <f>[1]Tables!$AA$8</f>
        <v>07/31 - 06/32</v>
      </c>
      <c r="AE218" s="59" t="str">
        <f>[1]Tables!$AA$4</f>
        <v>07/27 - 06/28</v>
      </c>
      <c r="AF218" s="60" t="str">
        <f>[1]Tables!$AA$5</f>
        <v>07/28 - 06/29</v>
      </c>
      <c r="AG218" s="60" t="str">
        <f>[1]Tables!$AA$6</f>
        <v>07/29 - 06/30</v>
      </c>
      <c r="AH218" s="60" t="str">
        <f>[1]Tables!$AA$7</f>
        <v>07/30 - 06/31</v>
      </c>
      <c r="AI218" s="61" t="str">
        <f>[1]Tables!$AA$8</f>
        <v>07/31 - 06/32</v>
      </c>
      <c r="AP218" s="58"/>
      <c r="AQ218" s="62" t="str">
        <f>[1]Tables!$AA$4</f>
        <v>07/27 - 06/28</v>
      </c>
      <c r="AR218" s="63" t="str">
        <f>[1]Tables!$AA$5</f>
        <v>07/28 - 06/29</v>
      </c>
      <c r="AS218" s="63" t="str">
        <f>[1]Tables!$AA$6</f>
        <v>07/29 - 06/30</v>
      </c>
      <c r="AT218" s="63" t="str">
        <f>[1]Tables!$AA$7</f>
        <v>07/30 - 06/31</v>
      </c>
      <c r="AU218" s="64" t="str">
        <f>[1]Tables!$AA$8</f>
        <v>07/31 - 06/32</v>
      </c>
      <c r="AV218" s="62" t="str">
        <f>[1]Tables!$AA$4</f>
        <v>07/27 - 06/28</v>
      </c>
      <c r="AW218" s="63" t="str">
        <f>[1]Tables!$AA$5</f>
        <v>07/28 - 06/29</v>
      </c>
      <c r="AX218" s="63" t="str">
        <f>[1]Tables!$AA$6</f>
        <v>07/29 - 06/30</v>
      </c>
      <c r="AY218" s="63" t="str">
        <f>[1]Tables!$AA$7</f>
        <v>07/30 - 06/31</v>
      </c>
      <c r="AZ218" s="64" t="str">
        <f>[1]Tables!$AA$8</f>
        <v>07/31 - 06/32</v>
      </c>
      <c r="BG218" s="58"/>
      <c r="BH218" s="65" t="str">
        <f>[1]Tables!$AA$4</f>
        <v>07/27 - 06/28</v>
      </c>
      <c r="BI218" s="66" t="str">
        <f>[1]Tables!$AA$5</f>
        <v>07/28 - 06/29</v>
      </c>
      <c r="BJ218" s="66" t="str">
        <f>[1]Tables!$AA$6</f>
        <v>07/29 - 06/30</v>
      </c>
      <c r="BK218" s="66" t="str">
        <f>[1]Tables!$AA$7</f>
        <v>07/30 - 06/31</v>
      </c>
      <c r="BL218" s="67" t="str">
        <f>[1]Tables!$AA$8</f>
        <v>07/31 - 06/32</v>
      </c>
      <c r="BM218" s="65" t="str">
        <f>[1]Tables!$AA$4</f>
        <v>07/27 - 06/28</v>
      </c>
      <c r="BN218" s="66" t="str">
        <f>[1]Tables!$AA$5</f>
        <v>07/28 - 06/29</v>
      </c>
      <c r="BO218" s="66" t="str">
        <f>[1]Tables!$AA$6</f>
        <v>07/29 - 06/30</v>
      </c>
      <c r="BP218" s="66" t="str">
        <f>[1]Tables!$AA$7</f>
        <v>07/30 - 06/31</v>
      </c>
      <c r="BQ218" s="67" t="str">
        <f>[1]Tables!$AA$8</f>
        <v>07/31 - 06/32</v>
      </c>
      <c r="BX218" s="58"/>
      <c r="BY218" s="65" t="str">
        <f>[1]Tables!$AA$4</f>
        <v>07/27 - 06/28</v>
      </c>
      <c r="BZ218" s="66" t="str">
        <f>[1]Tables!$AA$5</f>
        <v>07/28 - 06/29</v>
      </c>
      <c r="CA218" s="66" t="str">
        <f>[1]Tables!$AA$6</f>
        <v>07/29 - 06/30</v>
      </c>
      <c r="CB218" s="66" t="str">
        <f>[1]Tables!$AA$7</f>
        <v>07/30 - 06/31</v>
      </c>
      <c r="CC218" s="67" t="str">
        <f>[1]Tables!$AA$8</f>
        <v>07/31 - 06/32</v>
      </c>
      <c r="CD218" s="65" t="str">
        <f>[1]Tables!$AA$4</f>
        <v>07/27 - 06/28</v>
      </c>
      <c r="CE218" s="66" t="str">
        <f>[1]Tables!$AA$5</f>
        <v>07/28 - 06/29</v>
      </c>
      <c r="CF218" s="66" t="str">
        <f>[1]Tables!$AA$6</f>
        <v>07/29 - 06/30</v>
      </c>
      <c r="CG218" s="66" t="str">
        <f>[1]Tables!$AA$7</f>
        <v>07/30 - 06/31</v>
      </c>
      <c r="CH218" s="67" t="str">
        <f>[1]Tables!$AA$8</f>
        <v>07/31 - 06/32</v>
      </c>
      <c r="CO218" s="65" t="s">
        <v>62</v>
      </c>
      <c r="CP218" s="66" t="s">
        <v>64</v>
      </c>
      <c r="CQ218" s="202" t="s">
        <v>18</v>
      </c>
      <c r="CR218" s="65" t="s">
        <v>63</v>
      </c>
      <c r="CS218" s="66" t="s">
        <v>65</v>
      </c>
      <c r="CT218" s="202" t="s">
        <v>44</v>
      </c>
    </row>
    <row r="219" spans="1:98" x14ac:dyDescent="0.35">
      <c r="B219" s="68" t="s">
        <v>11</v>
      </c>
      <c r="C219" s="69">
        <v>30</v>
      </c>
      <c r="D219" s="69" t="s">
        <v>12</v>
      </c>
      <c r="E219" s="70" t="s">
        <v>12</v>
      </c>
      <c r="F219" s="106">
        <v>1</v>
      </c>
      <c r="H219" s="71" t="s">
        <v>14</v>
      </c>
      <c r="I219" s="72" t="e" cm="1">
        <f t="array" aca="1" ref="I219" ca="1">SUMIFS(rng_out_awp_pre_yr1, rng_out_GB_Medispan, "G", rng_out_sel_G_ind, "G", rng_out_mail_ind, $B219, rng_out_ds, $C219, rng_out_sel_sp_ind, $D219)- I323</f>
        <v>#VALUE!</v>
      </c>
      <c r="J219" s="5" t="e" cm="1">
        <f t="array" aca="1" ref="J219" ca="1">SUMIFS(rng_out_awp_pre_yr2, rng_out_GB_Medispan, "G", rng_out_sel_G_ind, "G", rng_out_mail_ind, $B219, rng_out_ds, $C219, rng_out_sel_sp_ind, $D219)- J323</f>
        <v>#VALUE!</v>
      </c>
      <c r="K219" s="5" t="e" cm="1">
        <f t="array" aca="1" ref="K219" ca="1">SUMIFS(rng_out_awp_pre_yr3, rng_out_GB_Medispan, "G", rng_out_sel_G_ind, "G", rng_out_mail_ind, $B219, rng_out_ds, $C219, rng_out_sel_sp_ind, $D219)- K323</f>
        <v>#VALUE!</v>
      </c>
      <c r="L219" s="5" t="e" cm="1">
        <f t="array" aca="1" ref="L219" ca="1">SUMIFS(rng_out_awp_pre_yr4, rng_out_GB_Medispan, "G", rng_out_sel_G_ind, "G", rng_out_mail_ind, $B219, rng_out_ds, $C219, rng_out_sel_sp_ind, $D219)- L323</f>
        <v>#VALUE!</v>
      </c>
      <c r="M219" s="73" t="e" cm="1">
        <f t="array" aca="1" ref="M219" ca="1">SUMIFS(rng_out_awp_pre_yr5, rng_out_GB_Medispan, "G", rng_out_sel_G_ind, "G", rng_out_mail_ind, $B219, rng_out_ds, $C219, rng_out_sel_sp_ind, $D219)- M323</f>
        <v>#VALUE!</v>
      </c>
      <c r="N219" s="74">
        <f t="shared" ref="N219:R223" ca="1" si="227">IFERROR(I219/I172, 0)</f>
        <v>0</v>
      </c>
      <c r="O219" s="75">
        <f t="shared" ca="1" si="227"/>
        <v>0</v>
      </c>
      <c r="P219" s="75">
        <f t="shared" ca="1" si="227"/>
        <v>0</v>
      </c>
      <c r="Q219" s="75">
        <f t="shared" ca="1" si="227"/>
        <v>0</v>
      </c>
      <c r="R219" s="76">
        <f t="shared" ca="1" si="227"/>
        <v>0</v>
      </c>
      <c r="Y219" s="77" t="s">
        <v>14</v>
      </c>
      <c r="Z219" s="78">
        <f ca="1">IFERROR(I219/[1]Tables!$AT$4, 0)</f>
        <v>0</v>
      </c>
      <c r="AA219" s="79">
        <f ca="1">IFERROR(J219/[1]Tables!$AT$4, 0)</f>
        <v>0</v>
      </c>
      <c r="AB219" s="79">
        <f ca="1">IFERROR(K219/[1]Tables!$AT$4, 0)</f>
        <v>0</v>
      </c>
      <c r="AC219" s="79">
        <f ca="1">IFERROR(L219/[1]Tables!$AT$4, 0)</f>
        <v>0</v>
      </c>
      <c r="AD219" s="80">
        <f ca="1">IFERROR(M219/[1]Tables!$AT$4, 0)</f>
        <v>0</v>
      </c>
      <c r="AE219" s="81">
        <f t="shared" ref="AE219:AI223" ca="1" si="228">IFERROR(Z219/Z172, 0)</f>
        <v>0</v>
      </c>
      <c r="AF219" s="75">
        <f t="shared" ca="1" si="228"/>
        <v>0</v>
      </c>
      <c r="AG219" s="75">
        <f t="shared" ca="1" si="228"/>
        <v>0</v>
      </c>
      <c r="AH219" s="75">
        <f t="shared" ca="1" si="228"/>
        <v>0</v>
      </c>
      <c r="AI219" s="82">
        <f t="shared" ca="1" si="228"/>
        <v>0</v>
      </c>
      <c r="AP219" s="83" t="s">
        <v>14</v>
      </c>
      <c r="AQ219" s="356" cm="1">
        <f t="array" aca="1" ref="AQ219" ca="1">IFERROR(IF(OR(input_Shift="No", [1]Tables!$BN$4=1), 0, SUMIFS(rng_out_awp_post_yr1, rng_out_mail_ind, $B219, rng_out_GB_Medispan, N$1, rng_out_sel_G_ind, N$1, rng_out_ds, $C219, rng_out_sel_sp_ind, $D219, rng_out_MSB_excl, $F219) * ((1-[1]Tables!$BN$4)/[1]Tables!$BN$4) * [1]Tables!$BN$5)/[1]Tables!$AT$4, 0) - AQ323 + IFERROR(SUMIFS(rng_out_awp_post_yr1, rng_out_GB_Medispan, I$1, rng_out_sel_G_ind, I$1, rng_out_mail_ind, $B219, rng_out_ds, $C219, rng_out_sel_sp_ind, $D219)/[1]Tables!$AT$4, 0)</f>
        <v>0</v>
      </c>
      <c r="AR219" s="5" cm="1">
        <f t="array" aca="1" ref="AR219" ca="1">IFERROR(IF(OR(input_Shift="No", [1]Tables!$BN$4=1), 0, SUMIFS(rng_out_awp_post_yr2, rng_out_mail_ind, $B219, rng_out_GB_Medispan, O$1, rng_out_sel_G_ind, O$1, rng_out_ds, $C219, rng_out_sel_sp_ind, $D219, rng_out_MSB_excl, $F219) * ((1-[1]Tables!$BN$4)/[1]Tables!$BN$4) * [1]Tables!$BN$5)/[1]Tables!$AT$4, 0) - AR323 + IFERROR(SUMIFS(rng_out_awp_post_yr2, rng_out_GB_Medispan, J$1, rng_out_sel_G_ind, J$1, rng_out_mail_ind, $B219, rng_out_ds, $C219, rng_out_sel_sp_ind, $D219)/[1]Tables!$AT$4, 0)</f>
        <v>0</v>
      </c>
      <c r="AS219" s="5" cm="1">
        <f t="array" aca="1" ref="AS219" ca="1">IFERROR(IF(OR(input_Shift="No", [1]Tables!$BN$4=1), 0, SUMIFS(rng_out_awp_post_yr3, rng_out_mail_ind, $B219, rng_out_GB_Medispan, P$1, rng_out_sel_G_ind, P$1, rng_out_ds, $C219, rng_out_sel_sp_ind, $D219, rng_out_MSB_excl, $F219) * ((1-[1]Tables!$BN$4)/[1]Tables!$BN$4) * [1]Tables!$BN$5)/[1]Tables!$AT$4, 0) - AS323 + IFERROR(SUMIFS(rng_out_awp_post_yr3, rng_out_GB_Medispan, K$1, rng_out_sel_G_ind, K$1, rng_out_mail_ind, $B219, rng_out_ds, $C219, rng_out_sel_sp_ind, $D219)/[1]Tables!$AT$4, 0)</f>
        <v>0</v>
      </c>
      <c r="AT219" s="5" cm="1">
        <f t="array" aca="1" ref="AT219" ca="1">IFERROR(IF(OR(input_Shift="No", [1]Tables!$BN$4=1), 0, SUMIFS(rng_out_awp_post_yr4, rng_out_mail_ind, $B219, rng_out_GB_Medispan, Q$1, rng_out_sel_G_ind, Q$1, rng_out_ds, $C219, rng_out_sel_sp_ind, $D219, rng_out_MSB_excl, $F219) * ((1-[1]Tables!$BN$4)/[1]Tables!$BN$4) * [1]Tables!$BN$5)/[1]Tables!$AT$4, 0) - AT323 + IFERROR(SUMIFS(rng_out_awp_post_yr4, rng_out_GB_Medispan, L$1, rng_out_sel_G_ind, L$1, rng_out_mail_ind, $B219, rng_out_ds, $C219, rng_out_sel_sp_ind, $D219)/[1]Tables!$AT$4, 0)</f>
        <v>0</v>
      </c>
      <c r="AU219" s="85" cm="1">
        <f t="array" aca="1" ref="AU219" ca="1">IFERROR(IF(OR(input_Shift="No", [1]Tables!$BN$4=1), 0, SUMIFS(rng_out_awp_post_yr5, rng_out_mail_ind, $B219, rng_out_GB_Medispan, R$1, rng_out_sel_G_ind, R$1, rng_out_ds, $C219, rng_out_sel_sp_ind, $D219, rng_out_MSB_excl, $F219) * ((1-[1]Tables!$BN$4)/[1]Tables!$BN$4) * [1]Tables!$BN$5)/[1]Tables!$AT$4, 0) - AU323 + IFERROR(SUMIFS(rng_out_awp_post_yr5, rng_out_GB_Medispan, M$1, rng_out_sel_G_ind, M$1, rng_out_mail_ind, $B219, rng_out_ds, $C219, rng_out_sel_sp_ind, $D219)/[1]Tables!$AT$4, 0)</f>
        <v>0</v>
      </c>
      <c r="AV219" s="86">
        <f t="shared" ref="AV219:AZ223" ca="1" si="229">IFERROR(AQ219/AQ172, 0)</f>
        <v>0</v>
      </c>
      <c r="AW219" s="75">
        <f t="shared" ca="1" si="229"/>
        <v>0</v>
      </c>
      <c r="AX219" s="75">
        <f t="shared" ca="1" si="229"/>
        <v>0</v>
      </c>
      <c r="AY219" s="75">
        <f t="shared" ca="1" si="229"/>
        <v>0</v>
      </c>
      <c r="AZ219" s="87">
        <f t="shared" ca="1" si="229"/>
        <v>0</v>
      </c>
      <c r="BG219" s="88" t="s">
        <v>14</v>
      </c>
      <c r="BH219" s="97">
        <f t="shared" ref="BH219:BL222" ca="1" si="230">AQ219</f>
        <v>0</v>
      </c>
      <c r="BI219" s="79">
        <f t="shared" ca="1" si="230"/>
        <v>0</v>
      </c>
      <c r="BJ219" s="79">
        <f t="shared" ca="1" si="230"/>
        <v>0</v>
      </c>
      <c r="BK219" s="79">
        <f t="shared" ca="1" si="230"/>
        <v>0</v>
      </c>
      <c r="BL219" s="98">
        <f t="shared" ca="1" si="230"/>
        <v>0</v>
      </c>
      <c r="BM219" s="92">
        <f t="shared" ref="BM219:BQ223" ca="1" si="231">IFERROR(BH219/BH172, 0)</f>
        <v>0</v>
      </c>
      <c r="BN219" s="75">
        <f t="shared" ca="1" si="231"/>
        <v>0</v>
      </c>
      <c r="BO219" s="75">
        <f t="shared" ca="1" si="231"/>
        <v>0</v>
      </c>
      <c r="BP219" s="75">
        <f t="shared" ca="1" si="231"/>
        <v>0</v>
      </c>
      <c r="BQ219" s="93">
        <f t="shared" ca="1" si="231"/>
        <v>0</v>
      </c>
      <c r="BX219" s="88" t="s">
        <v>14</v>
      </c>
      <c r="BY219" s="97">
        <f t="shared" ref="BY219:CC222" ca="1" si="232">CD219*BY172</f>
        <v>0</v>
      </c>
      <c r="BZ219" s="79">
        <f t="shared" ca="1" si="232"/>
        <v>0</v>
      </c>
      <c r="CA219" s="79">
        <f t="shared" ca="1" si="232"/>
        <v>0</v>
      </c>
      <c r="CB219" s="79">
        <f t="shared" ca="1" si="232"/>
        <v>0</v>
      </c>
      <c r="CC219" s="98">
        <f t="shared" ca="1" si="232"/>
        <v>0</v>
      </c>
      <c r="CD219" s="92">
        <f t="shared" ref="CD219:CH222" ca="1" si="233">BM219</f>
        <v>0</v>
      </c>
      <c r="CE219" s="75">
        <f t="shared" ca="1" si="233"/>
        <v>0</v>
      </c>
      <c r="CF219" s="75">
        <f t="shared" ca="1" si="233"/>
        <v>0</v>
      </c>
      <c r="CG219" s="75">
        <f t="shared" ca="1" si="233"/>
        <v>0</v>
      </c>
      <c r="CH219" s="93">
        <f t="shared" ca="1" si="233"/>
        <v>0</v>
      </c>
      <c r="CO219" s="215" cm="1">
        <f t="array" aca="1" ref="CO219" ca="1">_xlfn.SINGLE(IFERROR(SUMIFS(rng_out_awp_base, rng_out_GB_Medispan, "G", rng_out_sel_G_ind, "G", rng_out_mail_ind, $B219, rng_out_ds, $C219, rng_out_sel_sp_ind, $D219, rng_out_sel_excl_ind,$E219)/[1]Tables!$AT$4, 0))</f>
        <v>0</v>
      </c>
      <c r="CP219" s="217" cm="1">
        <f t="array" aca="1" ref="CP219" ca="1">_xlfn.SINGLE(IFERROR(SUMIFS(rng_out_awp_base, rng_out_GB_Medispan, "B", rng_out_sel_G_ind, "B", rng_out_mail_ind, $B219, rng_out_ds, $C219, rng_out_sel_sp_ind, $D219, rng_out_sel_excl_ind,$E219)/[1]Tables!$AT$4, 0))</f>
        <v>0</v>
      </c>
      <c r="CQ219" s="218">
        <f ca="1">SUM(CO219:CP219)</f>
        <v>0</v>
      </c>
      <c r="CR219" s="94">
        <f t="shared" ref="CR219:CT223" ca="1" si="234">IFERROR(CO219/CO172, 0)</f>
        <v>0</v>
      </c>
      <c r="CS219" s="96">
        <f t="shared" ca="1" si="234"/>
        <v>0</v>
      </c>
      <c r="CT219" s="357">
        <f t="shared" ca="1" si="234"/>
        <v>0</v>
      </c>
    </row>
    <row r="220" spans="1:98" x14ac:dyDescent="0.35">
      <c r="B220" s="105" t="s">
        <v>11</v>
      </c>
      <c r="C220" s="106">
        <v>90</v>
      </c>
      <c r="D220" s="106" t="s">
        <v>12</v>
      </c>
      <c r="E220" s="107" t="s">
        <v>12</v>
      </c>
      <c r="F220" s="106">
        <v>1</v>
      </c>
      <c r="H220" s="108" t="s">
        <v>15</v>
      </c>
      <c r="I220" s="72" t="e" cm="1">
        <f t="array" aca="1" ref="I220" ca="1">SUMIFS(rng_out_awp_pre_yr1, rng_out_GB_Medispan, "G", rng_out_sel_G_ind, "G", rng_out_mail_ind, $B220, rng_out_ds, $C220, rng_out_sel_sp_ind, $D220)- I324</f>
        <v>#VALUE!</v>
      </c>
      <c r="J220" s="5" t="e" cm="1">
        <f t="array" aca="1" ref="J220" ca="1">SUMIFS(rng_out_awp_pre_yr2, rng_out_GB_Medispan, "G", rng_out_sel_G_ind, "G", rng_out_mail_ind, $B220, rng_out_ds, $C220, rng_out_sel_sp_ind, $D220)- J324</f>
        <v>#VALUE!</v>
      </c>
      <c r="K220" s="5" t="e" cm="1">
        <f t="array" aca="1" ref="K220" ca="1">SUMIFS(rng_out_awp_pre_yr3, rng_out_GB_Medispan, "G", rng_out_sel_G_ind, "G", rng_out_mail_ind, $B220, rng_out_ds, $C220, rng_out_sel_sp_ind, $D220)- K324</f>
        <v>#VALUE!</v>
      </c>
      <c r="L220" s="5" t="e" cm="1">
        <f t="array" aca="1" ref="L220" ca="1">SUMIFS(rng_out_awp_pre_yr4, rng_out_GB_Medispan, "G", rng_out_sel_G_ind, "G", rng_out_mail_ind, $B220, rng_out_ds, $C220, rng_out_sel_sp_ind, $D220)- L324</f>
        <v>#VALUE!</v>
      </c>
      <c r="M220" s="73" t="e" cm="1">
        <f t="array" aca="1" ref="M220" ca="1">SUMIFS(rng_out_awp_pre_yr5, rng_out_GB_Medispan, "G", rng_out_sel_G_ind, "G", rng_out_mail_ind, $B220, rng_out_ds, $C220, rng_out_sel_sp_ind, $D220)- M324</f>
        <v>#VALUE!</v>
      </c>
      <c r="N220" s="74">
        <f t="shared" ca="1" si="227"/>
        <v>0</v>
      </c>
      <c r="O220" s="75">
        <f t="shared" ca="1" si="227"/>
        <v>0</v>
      </c>
      <c r="P220" s="75">
        <f t="shared" ca="1" si="227"/>
        <v>0</v>
      </c>
      <c r="Q220" s="75">
        <f t="shared" ca="1" si="227"/>
        <v>0</v>
      </c>
      <c r="R220" s="76">
        <f t="shared" ca="1" si="227"/>
        <v>0</v>
      </c>
      <c r="Y220" s="109" t="s">
        <v>15</v>
      </c>
      <c r="Z220" s="78">
        <f ca="1">IFERROR(I220/[1]Tables!$AT$4, 0)</f>
        <v>0</v>
      </c>
      <c r="AA220" s="79">
        <f ca="1">IFERROR(J220/[1]Tables!$AT$4, 0)</f>
        <v>0</v>
      </c>
      <c r="AB220" s="79">
        <f ca="1">IFERROR(K220/[1]Tables!$AT$4, 0)</f>
        <v>0</v>
      </c>
      <c r="AC220" s="79">
        <f ca="1">IFERROR(L220/[1]Tables!$AT$4, 0)</f>
        <v>0</v>
      </c>
      <c r="AD220" s="80">
        <f ca="1">IFERROR(M220/[1]Tables!$AT$4, 0)</f>
        <v>0</v>
      </c>
      <c r="AE220" s="81">
        <f t="shared" ca="1" si="228"/>
        <v>0</v>
      </c>
      <c r="AF220" s="75">
        <f t="shared" ca="1" si="228"/>
        <v>0</v>
      </c>
      <c r="AG220" s="75">
        <f t="shared" ca="1" si="228"/>
        <v>0</v>
      </c>
      <c r="AH220" s="75">
        <f t="shared" ca="1" si="228"/>
        <v>0</v>
      </c>
      <c r="AI220" s="82">
        <f t="shared" ca="1" si="228"/>
        <v>0</v>
      </c>
      <c r="AP220" s="110" t="s">
        <v>15</v>
      </c>
      <c r="AQ220" s="356" cm="1">
        <f t="array" aca="1" ref="AQ220" ca="1">IFERROR(IF(OR(input_Shift="No", [1]Tables!$BN$4=1), 0, SUMIFS(rng_out_awp_post_yr1, rng_out_mail_ind, $B220, rng_out_GB_Medispan, N$1, rng_out_sel_G_ind, N$1, rng_out_ds, $C220, rng_out_sel_sp_ind, $D220, rng_out_MSB_excl, $F220) * ((1-[1]Tables!$BN$4)/[1]Tables!$BN$4) * [1]Tables!$BN$5)/[1]Tables!$AT$4, 0) - AQ324 + IFERROR(SUMIFS(rng_out_awp_post_yr1, rng_out_GB_Medispan, I$1, rng_out_sel_G_ind, I$1, rng_out_mail_ind, $B220, rng_out_ds, $C220, rng_out_sel_sp_ind, $D220)/[1]Tables!$AT$4, 0)</f>
        <v>0</v>
      </c>
      <c r="AR220" s="5" cm="1">
        <f t="array" aca="1" ref="AR220" ca="1">IFERROR(IF(OR(input_Shift="No", [1]Tables!$BN$4=1), 0, SUMIFS(rng_out_awp_post_yr2, rng_out_mail_ind, $B220, rng_out_GB_Medispan, O$1, rng_out_sel_G_ind, O$1, rng_out_ds, $C220, rng_out_sel_sp_ind, $D220, rng_out_MSB_excl, $F220) * ((1-[1]Tables!$BN$4)/[1]Tables!$BN$4) * [1]Tables!$BN$5)/[1]Tables!$AT$4, 0) - AR324 + IFERROR(SUMIFS(rng_out_awp_post_yr2, rng_out_GB_Medispan, J$1, rng_out_sel_G_ind, J$1, rng_out_mail_ind, $B220, rng_out_ds, $C220, rng_out_sel_sp_ind, $D220)/[1]Tables!$AT$4, 0)</f>
        <v>0</v>
      </c>
      <c r="AS220" s="5" cm="1">
        <f t="array" aca="1" ref="AS220" ca="1">IFERROR(IF(OR(input_Shift="No", [1]Tables!$BN$4=1), 0, SUMIFS(rng_out_awp_post_yr3, rng_out_mail_ind, $B220, rng_out_GB_Medispan, P$1, rng_out_sel_G_ind, P$1, rng_out_ds, $C220, rng_out_sel_sp_ind, $D220, rng_out_MSB_excl, $F220) * ((1-[1]Tables!$BN$4)/[1]Tables!$BN$4) * [1]Tables!$BN$5)/[1]Tables!$AT$4, 0) - AS324 + IFERROR(SUMIFS(rng_out_awp_post_yr3, rng_out_GB_Medispan, K$1, rng_out_sel_G_ind, K$1, rng_out_mail_ind, $B220, rng_out_ds, $C220, rng_out_sel_sp_ind, $D220)/[1]Tables!$AT$4, 0)</f>
        <v>0</v>
      </c>
      <c r="AT220" s="5" cm="1">
        <f t="array" aca="1" ref="AT220" ca="1">IFERROR(IF(OR(input_Shift="No", [1]Tables!$BN$4=1), 0, SUMIFS(rng_out_awp_post_yr4, rng_out_mail_ind, $B220, rng_out_GB_Medispan, Q$1, rng_out_sel_G_ind, Q$1, rng_out_ds, $C220, rng_out_sel_sp_ind, $D220, rng_out_MSB_excl, $F220) * ((1-[1]Tables!$BN$4)/[1]Tables!$BN$4) * [1]Tables!$BN$5)/[1]Tables!$AT$4, 0) - AT324 + IFERROR(SUMIFS(rng_out_awp_post_yr4, rng_out_GB_Medispan, L$1, rng_out_sel_G_ind, L$1, rng_out_mail_ind, $B220, rng_out_ds, $C220, rng_out_sel_sp_ind, $D220)/[1]Tables!$AT$4, 0)</f>
        <v>0</v>
      </c>
      <c r="AU220" s="85" cm="1">
        <f t="array" aca="1" ref="AU220" ca="1">IFERROR(IF(OR(input_Shift="No", [1]Tables!$BN$4=1), 0, SUMIFS(rng_out_awp_post_yr5, rng_out_mail_ind, $B220, rng_out_GB_Medispan, R$1, rng_out_sel_G_ind, R$1, rng_out_ds, $C220, rng_out_sel_sp_ind, $D220, rng_out_MSB_excl, $F220) * ((1-[1]Tables!$BN$4)/[1]Tables!$BN$4) * [1]Tables!$BN$5)/[1]Tables!$AT$4, 0) - AU324 + IFERROR(SUMIFS(rng_out_awp_post_yr5, rng_out_GB_Medispan, M$1, rng_out_sel_G_ind, M$1, rng_out_mail_ind, $B220, rng_out_ds, $C220, rng_out_sel_sp_ind, $D220)/[1]Tables!$AT$4, 0)</f>
        <v>0</v>
      </c>
      <c r="AV220" s="86">
        <f t="shared" ca="1" si="229"/>
        <v>0</v>
      </c>
      <c r="AW220" s="75">
        <f t="shared" ca="1" si="229"/>
        <v>0</v>
      </c>
      <c r="AX220" s="75">
        <f t="shared" ca="1" si="229"/>
        <v>0</v>
      </c>
      <c r="AY220" s="75">
        <f t="shared" ca="1" si="229"/>
        <v>0</v>
      </c>
      <c r="AZ220" s="87">
        <f t="shared" ca="1" si="229"/>
        <v>0</v>
      </c>
      <c r="BG220" s="111" t="s">
        <v>15</v>
      </c>
      <c r="BH220" s="97">
        <f t="shared" ca="1" si="230"/>
        <v>0</v>
      </c>
      <c r="BI220" s="79">
        <f t="shared" ca="1" si="230"/>
        <v>0</v>
      </c>
      <c r="BJ220" s="79">
        <f t="shared" ca="1" si="230"/>
        <v>0</v>
      </c>
      <c r="BK220" s="79">
        <f t="shared" ca="1" si="230"/>
        <v>0</v>
      </c>
      <c r="BL220" s="98">
        <f t="shared" ca="1" si="230"/>
        <v>0</v>
      </c>
      <c r="BM220" s="92">
        <f t="shared" ca="1" si="231"/>
        <v>0</v>
      </c>
      <c r="BN220" s="75">
        <f t="shared" ca="1" si="231"/>
        <v>0</v>
      </c>
      <c r="BO220" s="75">
        <f t="shared" ca="1" si="231"/>
        <v>0</v>
      </c>
      <c r="BP220" s="75">
        <f t="shared" ca="1" si="231"/>
        <v>0</v>
      </c>
      <c r="BQ220" s="93">
        <f t="shared" ca="1" si="231"/>
        <v>0</v>
      </c>
      <c r="BX220" s="111" t="s">
        <v>15</v>
      </c>
      <c r="BY220" s="97">
        <f t="shared" ca="1" si="232"/>
        <v>0</v>
      </c>
      <c r="BZ220" s="79">
        <f t="shared" ca="1" si="232"/>
        <v>0</v>
      </c>
      <c r="CA220" s="79">
        <f t="shared" ca="1" si="232"/>
        <v>0</v>
      </c>
      <c r="CB220" s="79">
        <f t="shared" ca="1" si="232"/>
        <v>0</v>
      </c>
      <c r="CC220" s="98">
        <f t="shared" ca="1" si="232"/>
        <v>0</v>
      </c>
      <c r="CD220" s="92">
        <f t="shared" ca="1" si="233"/>
        <v>0</v>
      </c>
      <c r="CE220" s="75">
        <f t="shared" ca="1" si="233"/>
        <v>0</v>
      </c>
      <c r="CF220" s="75">
        <f t="shared" ca="1" si="233"/>
        <v>0</v>
      </c>
      <c r="CG220" s="75">
        <f t="shared" ca="1" si="233"/>
        <v>0</v>
      </c>
      <c r="CH220" s="93">
        <f t="shared" ca="1" si="233"/>
        <v>0</v>
      </c>
      <c r="CO220" s="213" cm="1">
        <f t="array" aca="1" ref="CO220" ca="1">_xlfn.SINGLE(IFERROR(SUMIFS(rng_out_awp_base, rng_out_GB_Medispan, "G", rng_out_sel_G_ind, "G", rng_out_mail_ind, $B220, rng_out_ds, $C220, rng_out_sel_sp_ind, $D220, rng_out_sel_excl_ind,$E220)/[1]Tables!$AT$4, 0))</f>
        <v>0</v>
      </c>
      <c r="CP220" s="214" cm="1">
        <f t="array" aca="1" ref="CP220" ca="1">_xlfn.SINGLE(IFERROR(SUMIFS(rng_out_awp_base, rng_out_GB_Medispan, "B", rng_out_sel_G_ind, "B", rng_out_mail_ind, $B220, rng_out_ds, $C220, rng_out_sel_sp_ind, $D220, rng_out_sel_excl_ind,$E220)/[1]Tables!$AT$4, 0))</f>
        <v>0</v>
      </c>
      <c r="CQ220" s="220">
        <f ca="1">SUM(CO220:CP220)</f>
        <v>0</v>
      </c>
      <c r="CR220" s="92">
        <f t="shared" ca="1" si="234"/>
        <v>0</v>
      </c>
      <c r="CS220" s="93">
        <f t="shared" ca="1" si="234"/>
        <v>0</v>
      </c>
      <c r="CT220" s="358">
        <f t="shared" ca="1" si="234"/>
        <v>0</v>
      </c>
    </row>
    <row r="221" spans="1:98" x14ac:dyDescent="0.35">
      <c r="B221" s="105" t="s">
        <v>16</v>
      </c>
      <c r="C221" s="106"/>
      <c r="D221" s="106" t="s">
        <v>12</v>
      </c>
      <c r="E221" s="107" t="s">
        <v>12</v>
      </c>
      <c r="F221" s="106">
        <v>1</v>
      </c>
      <c r="H221" s="118" t="s">
        <v>7</v>
      </c>
      <c r="I221" s="72" t="e" cm="1">
        <f t="array" aca="1" ref="I221" ca="1">SUMIFS(rng_out_awp_pre_yr1, rng_out_GB_Medispan, "G", rng_out_sel_G_ind, "G", rng_out_mail_ind, $B221, rng_out_sel_sp_ind, $D221)- I325</f>
        <v>#VALUE!</v>
      </c>
      <c r="J221" s="5" t="e" cm="1">
        <f t="array" aca="1" ref="J221" ca="1">SUMIFS(rng_out_awp_pre_yr2, rng_out_GB_Medispan, "G", rng_out_sel_G_ind, "G", rng_out_mail_ind, $B221, rng_out_sel_sp_ind, $D221)- J325</f>
        <v>#VALUE!</v>
      </c>
      <c r="K221" s="5" t="e" cm="1">
        <f t="array" aca="1" ref="K221" ca="1">SUMIFS(rng_out_awp_pre_yr3, rng_out_GB_Medispan, "G", rng_out_sel_G_ind, "G", rng_out_mail_ind, $B221, rng_out_sel_sp_ind, $D221)- K325</f>
        <v>#VALUE!</v>
      </c>
      <c r="L221" s="5" t="e" cm="1">
        <f t="array" aca="1" ref="L221" ca="1">SUMIFS(rng_out_awp_pre_yr4, rng_out_GB_Medispan, "G", rng_out_sel_G_ind, "G", rng_out_mail_ind, $B221, rng_out_sel_sp_ind, $D221)- L325</f>
        <v>#VALUE!</v>
      </c>
      <c r="M221" s="73" t="e" cm="1">
        <f t="array" aca="1" ref="M221" ca="1">SUMIFS(rng_out_awp_pre_yr5, rng_out_GB_Medispan, "G", rng_out_sel_G_ind, "G", rng_out_mail_ind, $B221, rng_out_sel_sp_ind, $D221)- M325</f>
        <v>#VALUE!</v>
      </c>
      <c r="N221" s="74">
        <f t="shared" ca="1" si="227"/>
        <v>0</v>
      </c>
      <c r="O221" s="75">
        <f t="shared" ca="1" si="227"/>
        <v>0</v>
      </c>
      <c r="P221" s="75">
        <f t="shared" ca="1" si="227"/>
        <v>0</v>
      </c>
      <c r="Q221" s="75">
        <f t="shared" ca="1" si="227"/>
        <v>0</v>
      </c>
      <c r="R221" s="76">
        <f t="shared" ca="1" si="227"/>
        <v>0</v>
      </c>
      <c r="Y221" s="119" t="s">
        <v>7</v>
      </c>
      <c r="Z221" s="78">
        <f ca="1">IFERROR(I221/[1]Tables!$AT$4, 0)</f>
        <v>0</v>
      </c>
      <c r="AA221" s="79">
        <f ca="1">IFERROR(J221/[1]Tables!$AT$4, 0)</f>
        <v>0</v>
      </c>
      <c r="AB221" s="79">
        <f ca="1">IFERROR(K221/[1]Tables!$AT$4, 0)</f>
        <v>0</v>
      </c>
      <c r="AC221" s="79">
        <f ca="1">IFERROR(L221/[1]Tables!$AT$4, 0)</f>
        <v>0</v>
      </c>
      <c r="AD221" s="80">
        <f ca="1">IFERROR(M221/[1]Tables!$AT$4, 0)</f>
        <v>0</v>
      </c>
      <c r="AE221" s="81">
        <f t="shared" ca="1" si="228"/>
        <v>0</v>
      </c>
      <c r="AF221" s="75">
        <f t="shared" ca="1" si="228"/>
        <v>0</v>
      </c>
      <c r="AG221" s="75">
        <f t="shared" ca="1" si="228"/>
        <v>0</v>
      </c>
      <c r="AH221" s="75">
        <f t="shared" ca="1" si="228"/>
        <v>0</v>
      </c>
      <c r="AI221" s="82">
        <f t="shared" ca="1" si="228"/>
        <v>0</v>
      </c>
      <c r="AP221" s="120" t="s">
        <v>7</v>
      </c>
      <c r="AQ221" s="356" cm="1">
        <f t="array" aca="1" ref="AQ221" ca="1">IFERROR(IF(OR(input_Shift="No", [1]Tables!$BN$4=1), 0, SUMIFS(rng_out_awp_post_yr1, rng_out_mail_ind, $B221, rng_out_GB_Medispan, N$1, rng_out_sel_G_ind, N$1, rng_out_sel_sp_ind, $D221, rng_out_MSB_excl, $F221) * ((1-[1]Tables!$BN$4)/[1]Tables!$BN$4) * [1]Tables!$BN$5)/[1]Tables!$AT$4, 0) - AQ325 + IFERROR(SUMIFS(rng_out_awp_post_yr1, rng_out_GB_Medispan, I$1, rng_out_sel_G_ind, I$1, rng_out_mail_ind, $B221, rng_out_sel_sp_ind, $D221)/[1]Tables!$AT$4, 0)</f>
        <v>0</v>
      </c>
      <c r="AR221" s="5" cm="1">
        <f t="array" aca="1" ref="AR221" ca="1">IFERROR(IF(OR(input_Shift="No", [1]Tables!$BN$4=1), 0, SUMIFS(rng_out_awp_post_yr2, rng_out_mail_ind, $B221, rng_out_GB_Medispan, O$1, rng_out_sel_G_ind, O$1, rng_out_sel_sp_ind, $D221, rng_out_MSB_excl, $F221) * ((1-[1]Tables!$BN$4)/[1]Tables!$BN$4) * [1]Tables!$BN$5)/[1]Tables!$AT$4, 0) - AR325 + IFERROR(SUMIFS(rng_out_awp_post_yr2, rng_out_GB_Medispan, J$1, rng_out_sel_G_ind, J$1, rng_out_mail_ind, $B221, rng_out_sel_sp_ind, $D221)/[1]Tables!$AT$4, 0)</f>
        <v>0</v>
      </c>
      <c r="AS221" s="5" cm="1">
        <f t="array" aca="1" ref="AS221" ca="1">IFERROR(IF(OR(input_Shift="No", [1]Tables!$BN$4=1), 0, SUMIFS(rng_out_awp_post_yr3, rng_out_mail_ind, $B221, rng_out_GB_Medispan, P$1, rng_out_sel_G_ind, P$1, rng_out_sel_sp_ind, $D221, rng_out_MSB_excl, $F221) * ((1-[1]Tables!$BN$4)/[1]Tables!$BN$4) * [1]Tables!$BN$5)/[1]Tables!$AT$4, 0) - AS325 + IFERROR(SUMIFS(rng_out_awp_post_yr3, rng_out_GB_Medispan, K$1, rng_out_sel_G_ind, K$1, rng_out_mail_ind, $B221, rng_out_sel_sp_ind, $D221)/[1]Tables!$AT$4, 0)</f>
        <v>0</v>
      </c>
      <c r="AT221" s="5" cm="1">
        <f t="array" aca="1" ref="AT221" ca="1">IFERROR(IF(OR(input_Shift="No", [1]Tables!$BN$4=1), 0, SUMIFS(rng_out_awp_post_yr4, rng_out_mail_ind, $B221, rng_out_GB_Medispan, Q$1, rng_out_sel_G_ind, Q$1, rng_out_sel_sp_ind, $D221, rng_out_MSB_excl, $F221) * ((1-[1]Tables!$BN$4)/[1]Tables!$BN$4) * [1]Tables!$BN$5)/[1]Tables!$AT$4, 0) - AT325 + IFERROR(SUMIFS(rng_out_awp_post_yr4, rng_out_GB_Medispan, L$1, rng_out_sel_G_ind, L$1, rng_out_mail_ind, $B221, rng_out_sel_sp_ind, $D221)/[1]Tables!$AT$4, 0)</f>
        <v>0</v>
      </c>
      <c r="AU221" s="85" cm="1">
        <f t="array" aca="1" ref="AU221" ca="1">IFERROR(IF(OR(input_Shift="No", [1]Tables!$BN$4=1), 0, SUMIFS(rng_out_awp_post_yr5, rng_out_mail_ind, $B221, rng_out_GB_Medispan, R$1, rng_out_sel_G_ind, R$1, rng_out_sel_sp_ind, $D221, rng_out_MSB_excl, $F221) * ((1-[1]Tables!$BN$4)/[1]Tables!$BN$4) * [1]Tables!$BN$5)/[1]Tables!$AT$4, 0) - AU325 + IFERROR(SUMIFS(rng_out_awp_post_yr5, rng_out_GB_Medispan, M$1, rng_out_sel_G_ind, M$1, rng_out_mail_ind, $B221, rng_out_sel_sp_ind, $D221)/[1]Tables!$AT$4, 0)</f>
        <v>0</v>
      </c>
      <c r="AV221" s="86">
        <f t="shared" ca="1" si="229"/>
        <v>0</v>
      </c>
      <c r="AW221" s="75">
        <f t="shared" ca="1" si="229"/>
        <v>0</v>
      </c>
      <c r="AX221" s="75">
        <f t="shared" ca="1" si="229"/>
        <v>0</v>
      </c>
      <c r="AY221" s="75">
        <f t="shared" ca="1" si="229"/>
        <v>0</v>
      </c>
      <c r="AZ221" s="87">
        <f t="shared" ca="1" si="229"/>
        <v>0</v>
      </c>
      <c r="BG221" s="121" t="s">
        <v>7</v>
      </c>
      <c r="BH221" s="97">
        <f t="shared" ca="1" si="230"/>
        <v>0</v>
      </c>
      <c r="BI221" s="79">
        <f t="shared" ca="1" si="230"/>
        <v>0</v>
      </c>
      <c r="BJ221" s="79">
        <f t="shared" ca="1" si="230"/>
        <v>0</v>
      </c>
      <c r="BK221" s="79">
        <f t="shared" ca="1" si="230"/>
        <v>0</v>
      </c>
      <c r="BL221" s="98">
        <f t="shared" ca="1" si="230"/>
        <v>0</v>
      </c>
      <c r="BM221" s="92">
        <f t="shared" ca="1" si="231"/>
        <v>0</v>
      </c>
      <c r="BN221" s="75">
        <f t="shared" ca="1" si="231"/>
        <v>0</v>
      </c>
      <c r="BO221" s="75">
        <f t="shared" ca="1" si="231"/>
        <v>0</v>
      </c>
      <c r="BP221" s="75">
        <f t="shared" ca="1" si="231"/>
        <v>0</v>
      </c>
      <c r="BQ221" s="93">
        <f t="shared" ca="1" si="231"/>
        <v>0</v>
      </c>
      <c r="BX221" s="121" t="s">
        <v>7</v>
      </c>
      <c r="BY221" s="97">
        <f t="shared" ca="1" si="232"/>
        <v>0</v>
      </c>
      <c r="BZ221" s="79">
        <f t="shared" ca="1" si="232"/>
        <v>0</v>
      </c>
      <c r="CA221" s="79">
        <f t="shared" ca="1" si="232"/>
        <v>0</v>
      </c>
      <c r="CB221" s="79">
        <f t="shared" ca="1" si="232"/>
        <v>0</v>
      </c>
      <c r="CC221" s="98">
        <f t="shared" ca="1" si="232"/>
        <v>0</v>
      </c>
      <c r="CD221" s="92">
        <f t="shared" ca="1" si="233"/>
        <v>0</v>
      </c>
      <c r="CE221" s="75">
        <f t="shared" ca="1" si="233"/>
        <v>0</v>
      </c>
      <c r="CF221" s="75">
        <f t="shared" ca="1" si="233"/>
        <v>0</v>
      </c>
      <c r="CG221" s="75">
        <f t="shared" ca="1" si="233"/>
        <v>0</v>
      </c>
      <c r="CH221" s="93">
        <f t="shared" ca="1" si="233"/>
        <v>0</v>
      </c>
      <c r="CO221" s="213" cm="1">
        <f t="array" aca="1" ref="CO221" ca="1">_xlfn.SINGLE(IFERROR(SUMIFS(rng_out_awp_base, rng_out_GB_Medispan, "G", rng_out_sel_G_ind, "G", rng_out_mail_ind, $B221, rng_out_sel_sp_ind, $D221, rng_out_sel_excl_ind,$E221)/[1]Tables!$AT$4, 0))</f>
        <v>0</v>
      </c>
      <c r="CP221" s="214" cm="1">
        <f t="array" aca="1" ref="CP221" ca="1">_xlfn.SINGLE(IFERROR(SUMIFS(rng_out_awp_base, rng_out_GB_Medispan, "B", rng_out_sel_G_ind, "B", rng_out_mail_ind, $B221, rng_out_sel_sp_ind, $D221, rng_out_sel_excl_ind,$E221)/[1]Tables!$AT$4, 0))</f>
        <v>0</v>
      </c>
      <c r="CQ221" s="220">
        <f ca="1">SUM(CO221:CP221)</f>
        <v>0</v>
      </c>
      <c r="CR221" s="92">
        <f t="shared" ca="1" si="234"/>
        <v>0</v>
      </c>
      <c r="CS221" s="93">
        <f t="shared" ca="1" si="234"/>
        <v>0</v>
      </c>
      <c r="CT221" s="358">
        <f t="shared" ca="1" si="234"/>
        <v>0</v>
      </c>
    </row>
    <row r="222" spans="1:98" ht="15" thickBot="1" x14ac:dyDescent="0.4">
      <c r="B222" s="122"/>
      <c r="C222" s="123"/>
      <c r="D222" s="123" t="s">
        <v>13</v>
      </c>
      <c r="E222" s="124" t="s">
        <v>12</v>
      </c>
      <c r="F222" s="106">
        <v>1</v>
      </c>
      <c r="H222" s="118" t="s">
        <v>17</v>
      </c>
      <c r="I222" s="72" t="e" cm="1">
        <f t="array" aca="1" ref="I222" ca="1">SUMIFS(rng_out_awp_pre_yr1, rng_out_GB_Medispan, "G", rng_out_sel_G_ind, "G", rng_out_sel_sp_ind, $D222)- I326</f>
        <v>#VALUE!</v>
      </c>
      <c r="J222" s="5" t="e" cm="1">
        <f t="array" aca="1" ref="J222" ca="1">SUMIFS(rng_out_awp_pre_yr2, rng_out_GB_Medispan, "G", rng_out_sel_G_ind, "G", rng_out_sel_sp_ind, $D222)- J326</f>
        <v>#VALUE!</v>
      </c>
      <c r="K222" s="5" t="e" cm="1">
        <f t="array" aca="1" ref="K222" ca="1">SUMIFS(rng_out_awp_pre_yr3, rng_out_GB_Medispan, "G", rng_out_sel_G_ind, "G", rng_out_sel_sp_ind, $D222)- K326</f>
        <v>#VALUE!</v>
      </c>
      <c r="L222" s="5" t="e" cm="1">
        <f t="array" aca="1" ref="L222" ca="1">SUMIFS(rng_out_awp_pre_yr4, rng_out_GB_Medispan, "G", rng_out_sel_G_ind, "G", rng_out_sel_sp_ind, $D222)- L326</f>
        <v>#VALUE!</v>
      </c>
      <c r="M222" s="125" t="e" cm="1">
        <f t="array" aca="1" ref="M222" ca="1">SUMIFS(rng_out_awp_pre_yr5, rng_out_GB_Medispan, "G", rng_out_sel_G_ind, "G", rng_out_sel_sp_ind, $D222)- M326</f>
        <v>#VALUE!</v>
      </c>
      <c r="N222" s="74">
        <f t="shared" ca="1" si="227"/>
        <v>0</v>
      </c>
      <c r="O222" s="75">
        <f t="shared" ca="1" si="227"/>
        <v>0</v>
      </c>
      <c r="P222" s="75">
        <f t="shared" ca="1" si="227"/>
        <v>0</v>
      </c>
      <c r="Q222" s="75">
        <f t="shared" ca="1" si="227"/>
        <v>0</v>
      </c>
      <c r="R222" s="126">
        <f t="shared" ca="1" si="227"/>
        <v>0</v>
      </c>
      <c r="Y222" s="119" t="s">
        <v>17</v>
      </c>
      <c r="Z222" s="127">
        <f ca="1">IFERROR(I222/[1]Tables!$AT$4, 0)</f>
        <v>0</v>
      </c>
      <c r="AA222" s="128">
        <f ca="1">IFERROR(J222/[1]Tables!$AT$4, 0)</f>
        <v>0</v>
      </c>
      <c r="AB222" s="128">
        <f ca="1">IFERROR(K222/[1]Tables!$AT$4, 0)</f>
        <v>0</v>
      </c>
      <c r="AC222" s="128">
        <f ca="1">IFERROR(L222/[1]Tables!$AT$4, 0)</f>
        <v>0</v>
      </c>
      <c r="AD222" s="129">
        <f ca="1">IFERROR(M222/[1]Tables!$AT$4, 0)</f>
        <v>0</v>
      </c>
      <c r="AE222" s="130">
        <f t="shared" ca="1" si="228"/>
        <v>0</v>
      </c>
      <c r="AF222" s="131">
        <f t="shared" ca="1" si="228"/>
        <v>0</v>
      </c>
      <c r="AG222" s="131">
        <f t="shared" ca="1" si="228"/>
        <v>0</v>
      </c>
      <c r="AH222" s="131">
        <f t="shared" ca="1" si="228"/>
        <v>0</v>
      </c>
      <c r="AI222" s="132">
        <f t="shared" ca="1" si="228"/>
        <v>0</v>
      </c>
      <c r="AP222" s="120" t="s">
        <v>17</v>
      </c>
      <c r="AQ222" s="167" cm="1">
        <f t="array" aca="1" ref="AQ222" ca="1">IFERROR(IF(OR(input_Shift="No", [1]Tables!$BN$4=1), 0, SUMIFS(rng_out_awp_post_yr1, rng_out_GB_Medispan, N$1, rng_out_sel_G_ind, N$1, rng_out_sel_sp_ind, $D222, rng_out_MSB_excl, $F222) * ((1-[1]Tables!$BN$4)/[1]Tables!$BN$4) * [1]Tables!$BN$5)/[1]Tables!$AT$4, 0) - AQ326 + IFERROR(SUMIFS(rng_out_awp_post_yr1, rng_out_GB_Medispan, I$1, rng_out_sel_G_ind, I$1, rng_out_sel_sp_ind, $D222)/[1]Tables!$AT$4, 0)</f>
        <v>0</v>
      </c>
      <c r="AR222" s="134" cm="1">
        <f t="array" aca="1" ref="AR222" ca="1">IFERROR(IF(OR(input_Shift="No", [1]Tables!$BN$4=1), 0, SUMIFS(rng_out_awp_post_yr2, rng_out_GB_Medispan, O$1, rng_out_sel_G_ind, O$1, rng_out_sel_sp_ind, $D222, rng_out_MSB_excl, $F222) * ((1-[1]Tables!$BN$4)/[1]Tables!$BN$4) * [1]Tables!$BN$5)/[1]Tables!$AT$4, 0) - AR326 + IFERROR(SUMIFS(rng_out_awp_post_yr2, rng_out_GB_Medispan, J$1, rng_out_sel_G_ind, J$1, rng_out_sel_sp_ind, $D222)/[1]Tables!$AT$4, 0)</f>
        <v>0</v>
      </c>
      <c r="AS222" s="134" cm="1">
        <f t="array" aca="1" ref="AS222" ca="1">IFERROR(IF(OR(input_Shift="No", [1]Tables!$BN$4=1), 0, SUMIFS(rng_out_awp_post_yr3, rng_out_GB_Medispan, P$1, rng_out_sel_G_ind, P$1, rng_out_sel_sp_ind, $D222, rng_out_MSB_excl, $F222) * ((1-[1]Tables!$BN$4)/[1]Tables!$BN$4) * [1]Tables!$BN$5)/[1]Tables!$AT$4, 0) - AS326 + IFERROR(SUMIFS(rng_out_awp_post_yr3, rng_out_GB_Medispan, K$1, rng_out_sel_G_ind, K$1, rng_out_sel_sp_ind, $D222)/[1]Tables!$AT$4, 0)</f>
        <v>0</v>
      </c>
      <c r="AT222" s="134" cm="1">
        <f t="array" aca="1" ref="AT222" ca="1">IFERROR(IF(OR(input_Shift="No", [1]Tables!$BN$4=1), 0, SUMIFS(rng_out_awp_post_yr4, rng_out_GB_Medispan, Q$1, rng_out_sel_G_ind, Q$1, rng_out_sel_sp_ind, $D222, rng_out_MSB_excl, $F222) * ((1-[1]Tables!$BN$4)/[1]Tables!$BN$4) * [1]Tables!$BN$5)/[1]Tables!$AT$4, 0) - AT326 + IFERROR(SUMIFS(rng_out_awp_post_yr4, rng_out_GB_Medispan, L$1, rng_out_sel_G_ind, L$1, rng_out_sel_sp_ind, $D222)/[1]Tables!$AT$4, 0)</f>
        <v>0</v>
      </c>
      <c r="AU222" s="135" cm="1">
        <f t="array" aca="1" ref="AU222" ca="1">IFERROR(IF(OR(input_Shift="No", [1]Tables!$BN$4=1), 0, SUMIFS(rng_out_awp_post_yr5, rng_out_GB_Medispan, R$1, rng_out_sel_G_ind, R$1, rng_out_sel_sp_ind, $D222, rng_out_MSB_excl, $F222) * ((1-[1]Tables!$BN$4)/[1]Tables!$BN$4) * [1]Tables!$BN$5)/[1]Tables!$AT$4, 0) - AU326 + IFERROR(SUMIFS(rng_out_awp_post_yr5, rng_out_GB_Medispan, M$1, rng_out_sel_G_ind, M$1, rng_out_sel_sp_ind, $D222)/[1]Tables!$AT$4, 0)</f>
        <v>0</v>
      </c>
      <c r="AV222" s="136">
        <f t="shared" ca="1" si="229"/>
        <v>0</v>
      </c>
      <c r="AW222" s="137">
        <f t="shared" ca="1" si="229"/>
        <v>0</v>
      </c>
      <c r="AX222" s="137">
        <f t="shared" ca="1" si="229"/>
        <v>0</v>
      </c>
      <c r="AY222" s="137">
        <f t="shared" ca="1" si="229"/>
        <v>0</v>
      </c>
      <c r="AZ222" s="138">
        <f t="shared" ca="1" si="229"/>
        <v>0</v>
      </c>
      <c r="BG222" s="121" t="s">
        <v>17</v>
      </c>
      <c r="BH222" s="145">
        <f t="shared" ca="1" si="230"/>
        <v>0</v>
      </c>
      <c r="BI222" s="146">
        <f t="shared" ca="1" si="230"/>
        <v>0</v>
      </c>
      <c r="BJ222" s="146">
        <f t="shared" ca="1" si="230"/>
        <v>0</v>
      </c>
      <c r="BK222" s="146">
        <f t="shared" ca="1" si="230"/>
        <v>0</v>
      </c>
      <c r="BL222" s="147">
        <f t="shared" ca="1" si="230"/>
        <v>0</v>
      </c>
      <c r="BM222" s="142">
        <f t="shared" ca="1" si="231"/>
        <v>0</v>
      </c>
      <c r="BN222" s="143">
        <f t="shared" ca="1" si="231"/>
        <v>0</v>
      </c>
      <c r="BO222" s="143">
        <f t="shared" ca="1" si="231"/>
        <v>0</v>
      </c>
      <c r="BP222" s="143">
        <f t="shared" ca="1" si="231"/>
        <v>0</v>
      </c>
      <c r="BQ222" s="144">
        <f t="shared" ca="1" si="231"/>
        <v>0</v>
      </c>
      <c r="BX222" s="121" t="s">
        <v>17</v>
      </c>
      <c r="BY222" s="145">
        <f t="shared" ca="1" si="232"/>
        <v>0</v>
      </c>
      <c r="BZ222" s="146">
        <f t="shared" ca="1" si="232"/>
        <v>0</v>
      </c>
      <c r="CA222" s="146">
        <f t="shared" ca="1" si="232"/>
        <v>0</v>
      </c>
      <c r="CB222" s="146">
        <f t="shared" ca="1" si="232"/>
        <v>0</v>
      </c>
      <c r="CC222" s="147">
        <f t="shared" ca="1" si="232"/>
        <v>0</v>
      </c>
      <c r="CD222" s="142">
        <f t="shared" ca="1" si="233"/>
        <v>0</v>
      </c>
      <c r="CE222" s="143">
        <f t="shared" ca="1" si="233"/>
        <v>0</v>
      </c>
      <c r="CF222" s="143">
        <f t="shared" ca="1" si="233"/>
        <v>0</v>
      </c>
      <c r="CG222" s="143">
        <f t="shared" ca="1" si="233"/>
        <v>0</v>
      </c>
      <c r="CH222" s="144">
        <f t="shared" ca="1" si="233"/>
        <v>0</v>
      </c>
      <c r="CO222" s="231" cm="1">
        <f t="array" aca="1" ref="CO222" ca="1">_xlfn.SINGLE(IFERROR(SUMIFS(rng_out_awp_base, rng_out_GB_Medispan, "G", rng_out_sel_G_ind, "G", rng_out_sel_sp_ind, $D222, rng_out_sel_excl_ind,$E222)/[1]Tables!$AT$4, 0))</f>
        <v>0</v>
      </c>
      <c r="CP222" s="233" cm="1">
        <f t="array" aca="1" ref="CP222" ca="1">_xlfn.SINGLE(IFERROR(SUMIFS(rng_out_awp_base, rng_out_GB_Medispan, "B", rng_out_sel_G_ind, "B", rng_out_sel_sp_ind, $D222, rng_out_sel_excl_ind,$E222)/[1]Tables!$AT$4, 0))</f>
        <v>0</v>
      </c>
      <c r="CQ222" s="234">
        <f ca="1">SUM(CO222:CP222)</f>
        <v>0</v>
      </c>
      <c r="CR222" s="142">
        <f t="shared" ca="1" si="234"/>
        <v>0</v>
      </c>
      <c r="CS222" s="144">
        <f t="shared" ca="1" si="234"/>
        <v>0</v>
      </c>
      <c r="CT222" s="177">
        <f t="shared" ca="1" si="234"/>
        <v>0</v>
      </c>
    </row>
    <row r="223" spans="1:98" ht="15" thickBot="1" x14ac:dyDescent="0.4">
      <c r="B223" s="106"/>
      <c r="C223" s="236"/>
      <c r="D223" s="236" t="s">
        <v>29</v>
      </c>
      <c r="E223" s="237" t="str">
        <f>IF(sel_excl_nonRebatable=1, "Y", "N")</f>
        <v>N</v>
      </c>
      <c r="H223" s="154" t="s">
        <v>18</v>
      </c>
      <c r="I223" s="155" t="e">
        <f ca="1">SUM(I219:I222)</f>
        <v>#VALUE!</v>
      </c>
      <c r="J223" s="155" t="e">
        <f ca="1">SUM(J219:J222)</f>
        <v>#VALUE!</v>
      </c>
      <c r="K223" s="155" t="e">
        <f ca="1">SUM(K219:K222)</f>
        <v>#VALUE!</v>
      </c>
      <c r="L223" s="155" t="e">
        <f ca="1">SUM(L219:L222)</f>
        <v>#VALUE!</v>
      </c>
      <c r="M223" s="156" t="e">
        <f ca="1">SUM(M219:M222)</f>
        <v>#VALUE!</v>
      </c>
      <c r="N223" s="157">
        <f t="shared" ca="1" si="227"/>
        <v>0</v>
      </c>
      <c r="O223" s="157">
        <f t="shared" ca="1" si="227"/>
        <v>0</v>
      </c>
      <c r="P223" s="157">
        <f t="shared" ca="1" si="227"/>
        <v>0</v>
      </c>
      <c r="Q223" s="157">
        <f t="shared" ca="1" si="227"/>
        <v>0</v>
      </c>
      <c r="R223" s="158">
        <f t="shared" ca="1" si="227"/>
        <v>0</v>
      </c>
      <c r="Y223" s="159" t="s">
        <v>18</v>
      </c>
      <c r="Z223" s="160">
        <f ca="1">SUM(Z219:Z222)</f>
        <v>0</v>
      </c>
      <c r="AA223" s="161">
        <f ca="1">SUM(AA219:AA222)</f>
        <v>0</v>
      </c>
      <c r="AB223" s="161">
        <f ca="1">SUM(AB219:AB222)</f>
        <v>0</v>
      </c>
      <c r="AC223" s="161">
        <f ca="1">SUM(AC219:AC222)</f>
        <v>0</v>
      </c>
      <c r="AD223" s="162">
        <f ca="1">SUM(AD219:AD222)</f>
        <v>0</v>
      </c>
      <c r="AE223" s="163">
        <f t="shared" ca="1" si="228"/>
        <v>0</v>
      </c>
      <c r="AF223" s="164">
        <f t="shared" ca="1" si="228"/>
        <v>0</v>
      </c>
      <c r="AG223" s="164">
        <f t="shared" ca="1" si="228"/>
        <v>0</v>
      </c>
      <c r="AH223" s="164">
        <f t="shared" ca="1" si="228"/>
        <v>0</v>
      </c>
      <c r="AI223" s="165">
        <f t="shared" ca="1" si="228"/>
        <v>0</v>
      </c>
      <c r="AP223" s="166" t="s">
        <v>18</v>
      </c>
      <c r="AQ223" s="167">
        <f ca="1">SUM(AQ219:AQ222)</f>
        <v>0</v>
      </c>
      <c r="AR223" s="134">
        <f ca="1">SUM(AR219:AR222)</f>
        <v>0</v>
      </c>
      <c r="AS223" s="134">
        <f ca="1">SUM(AS219:AS222)</f>
        <v>0</v>
      </c>
      <c r="AT223" s="134">
        <f ca="1">SUM(AT219:AT222)</f>
        <v>0</v>
      </c>
      <c r="AU223" s="135">
        <f ca="1">SUM(AU219:AU222)</f>
        <v>0</v>
      </c>
      <c r="AV223" s="168">
        <f t="shared" ca="1" si="229"/>
        <v>0</v>
      </c>
      <c r="AW223" s="169">
        <f t="shared" ca="1" si="229"/>
        <v>0</v>
      </c>
      <c r="AX223" s="169">
        <f t="shared" ca="1" si="229"/>
        <v>0</v>
      </c>
      <c r="AY223" s="169">
        <f t="shared" ca="1" si="229"/>
        <v>0</v>
      </c>
      <c r="AZ223" s="170">
        <f t="shared" ca="1" si="229"/>
        <v>0</v>
      </c>
      <c r="BG223" s="171" t="s">
        <v>18</v>
      </c>
      <c r="BH223" s="172">
        <f ca="1">SUM(BH219:BH222)</f>
        <v>0</v>
      </c>
      <c r="BI223" s="173">
        <f ca="1">SUM(BI219:BI222)</f>
        <v>0</v>
      </c>
      <c r="BJ223" s="173">
        <f ca="1">SUM(BJ219:BJ222)</f>
        <v>0</v>
      </c>
      <c r="BK223" s="173">
        <f ca="1">SUM(BK219:BK222)</f>
        <v>0</v>
      </c>
      <c r="BL223" s="174">
        <f ca="1">SUM(BL219:BL222)</f>
        <v>0</v>
      </c>
      <c r="BM223" s="175">
        <f t="shared" ca="1" si="231"/>
        <v>0</v>
      </c>
      <c r="BN223" s="176">
        <f t="shared" ca="1" si="231"/>
        <v>0</v>
      </c>
      <c r="BO223" s="176">
        <f t="shared" ca="1" si="231"/>
        <v>0</v>
      </c>
      <c r="BP223" s="176">
        <f t="shared" ca="1" si="231"/>
        <v>0</v>
      </c>
      <c r="BQ223" s="177">
        <f t="shared" ca="1" si="231"/>
        <v>0</v>
      </c>
      <c r="BX223" s="171" t="s">
        <v>18</v>
      </c>
      <c r="BY223" s="172">
        <f ca="1">SUM(BY219:BY222)</f>
        <v>0</v>
      </c>
      <c r="BZ223" s="173">
        <f ca="1">SUM(BZ219:BZ222)</f>
        <v>0</v>
      </c>
      <c r="CA223" s="173">
        <f ca="1">SUM(CA219:CA222)</f>
        <v>0</v>
      </c>
      <c r="CB223" s="173">
        <f ca="1">SUM(CB219:CB222)</f>
        <v>0</v>
      </c>
      <c r="CC223" s="174">
        <f ca="1">SUM(CC219:CC222)</f>
        <v>0</v>
      </c>
      <c r="CD223" s="175">
        <f ca="1">IFERROR(BY223/BY176, 0)</f>
        <v>0</v>
      </c>
      <c r="CE223" s="176">
        <f ca="1">IFERROR(BZ223/BZ176, 0)</f>
        <v>0</v>
      </c>
      <c r="CF223" s="176">
        <f ca="1">IFERROR(CA223/CA176, 0)</f>
        <v>0</v>
      </c>
      <c r="CG223" s="176">
        <f ca="1">IFERROR(CB223/CB176, 0)</f>
        <v>0</v>
      </c>
      <c r="CH223" s="177">
        <f ca="1">IFERROR(CC223/CC176, 0)</f>
        <v>0</v>
      </c>
      <c r="CO223" s="246">
        <f ca="1">SUM(CO219:CO222)</f>
        <v>0</v>
      </c>
      <c r="CP223" s="247">
        <f ca="1">SUM(CP219:CP222)</f>
        <v>0</v>
      </c>
      <c r="CQ223" s="247">
        <f ca="1">SUM(CQ219:CQ222)</f>
        <v>0</v>
      </c>
      <c r="CR223" s="359">
        <f t="shared" ca="1" si="234"/>
        <v>0</v>
      </c>
      <c r="CS223" s="360">
        <f t="shared" ca="1" si="234"/>
        <v>0</v>
      </c>
      <c r="CT223" s="360">
        <f t="shared" ca="1" si="234"/>
        <v>0</v>
      </c>
    </row>
    <row r="224" spans="1:98" ht="15" thickBot="1" x14ac:dyDescent="0.4"/>
    <row r="225" spans="2:98" ht="15" thickBot="1" x14ac:dyDescent="0.4">
      <c r="I225" s="21" t="s">
        <v>61</v>
      </c>
      <c r="J225" s="22"/>
      <c r="K225" s="22"/>
      <c r="L225" s="22"/>
      <c r="M225" s="22"/>
      <c r="N225" s="22"/>
      <c r="O225" s="22"/>
      <c r="P225" s="22"/>
      <c r="Q225" s="22"/>
      <c r="R225" s="23"/>
      <c r="S225" s="301"/>
      <c r="Z225" s="24" t="s">
        <v>61</v>
      </c>
      <c r="AA225" s="25"/>
      <c r="AB225" s="25"/>
      <c r="AC225" s="25"/>
      <c r="AD225" s="25"/>
      <c r="AE225" s="25"/>
      <c r="AF225" s="25"/>
      <c r="AG225" s="25"/>
      <c r="AH225" s="25"/>
      <c r="AI225" s="26"/>
      <c r="AQ225" s="354" t="s">
        <v>61</v>
      </c>
      <c r="AR225" s="29"/>
      <c r="AS225" s="29"/>
      <c r="AT225" s="29"/>
      <c r="AU225" s="29"/>
      <c r="AV225" s="29"/>
      <c r="AW225" s="29"/>
      <c r="AX225" s="29"/>
      <c r="AY225" s="29"/>
      <c r="AZ225" s="355"/>
      <c r="BH225" s="31" t="s">
        <v>61</v>
      </c>
      <c r="BI225" s="32"/>
      <c r="BJ225" s="32"/>
      <c r="BK225" s="32"/>
      <c r="BL225" s="32"/>
      <c r="BM225" s="32"/>
      <c r="BN225" s="32"/>
      <c r="BO225" s="32"/>
      <c r="BP225" s="32"/>
      <c r="BQ225" s="33"/>
      <c r="BY225" s="34" t="s">
        <v>61</v>
      </c>
      <c r="BZ225" s="35"/>
      <c r="CA225" s="35"/>
      <c r="CB225" s="35"/>
      <c r="CC225" s="35"/>
      <c r="CD225" s="35"/>
      <c r="CE225" s="35"/>
      <c r="CF225" s="35"/>
      <c r="CG225" s="35"/>
      <c r="CH225" s="36"/>
      <c r="CO225" s="196" t="s">
        <v>61</v>
      </c>
      <c r="CP225" s="197"/>
      <c r="CQ225" s="197"/>
      <c r="CR225" s="197"/>
      <c r="CS225" s="197"/>
      <c r="CT225" s="198"/>
    </row>
    <row r="226" spans="2:98" ht="15" thickBot="1" x14ac:dyDescent="0.4">
      <c r="H226" s="37"/>
      <c r="I226" s="302" t="s">
        <v>66</v>
      </c>
      <c r="J226" s="303"/>
      <c r="K226" s="303"/>
      <c r="L226" s="303"/>
      <c r="M226" s="304"/>
      <c r="N226" s="302" t="s">
        <v>67</v>
      </c>
      <c r="O226" s="303"/>
      <c r="P226" s="303"/>
      <c r="Q226" s="303"/>
      <c r="R226" s="304"/>
      <c r="Z226" s="41" t="s">
        <v>66</v>
      </c>
      <c r="AA226" s="42"/>
      <c r="AB226" s="42"/>
      <c r="AC226" s="42"/>
      <c r="AD226" s="43"/>
      <c r="AE226" s="41" t="s">
        <v>67</v>
      </c>
      <c r="AF226" s="42"/>
      <c r="AG226" s="42"/>
      <c r="AH226" s="42"/>
      <c r="AI226" s="43"/>
      <c r="AQ226" s="44" t="s">
        <v>66</v>
      </c>
      <c r="AR226" s="45"/>
      <c r="AS226" s="45"/>
      <c r="AT226" s="45"/>
      <c r="AU226" s="46"/>
      <c r="AV226" s="44" t="s">
        <v>67</v>
      </c>
      <c r="AW226" s="45"/>
      <c r="AX226" s="45"/>
      <c r="AY226" s="45"/>
      <c r="AZ226" s="46"/>
      <c r="BH226" s="305" t="s">
        <v>66</v>
      </c>
      <c r="BI226" s="306"/>
      <c r="BJ226" s="306"/>
      <c r="BK226" s="306"/>
      <c r="BL226" s="307"/>
      <c r="BM226" s="305" t="s">
        <v>67</v>
      </c>
      <c r="BN226" s="306"/>
      <c r="BO226" s="306"/>
      <c r="BP226" s="306"/>
      <c r="BQ226" s="307"/>
      <c r="BY226" s="305" t="s">
        <v>66</v>
      </c>
      <c r="BZ226" s="306"/>
      <c r="CA226" s="306"/>
      <c r="CB226" s="306"/>
      <c r="CC226" s="307"/>
      <c r="CD226" s="305" t="s">
        <v>67</v>
      </c>
      <c r="CE226" s="306"/>
      <c r="CF226" s="306"/>
      <c r="CG226" s="306"/>
      <c r="CH226" s="307"/>
      <c r="CO226" s="199" t="s">
        <v>38</v>
      </c>
      <c r="CP226" s="200"/>
      <c r="CQ226" s="200"/>
      <c r="CR226" s="200"/>
      <c r="CS226" s="200"/>
      <c r="CT226" s="201"/>
    </row>
    <row r="227" spans="2:98" ht="29.5" thickBot="1" x14ac:dyDescent="0.4">
      <c r="H227" s="55"/>
      <c r="I227" s="56" t="str">
        <f>[1]Tables!$AA$4</f>
        <v>07/27 - 06/28</v>
      </c>
      <c r="J227" s="55" t="str">
        <f>[1]Tables!$AA$5</f>
        <v>07/28 - 06/29</v>
      </c>
      <c r="K227" s="55" t="str">
        <f>[1]Tables!$AA$6</f>
        <v>07/29 - 06/30</v>
      </c>
      <c r="L227" s="55" t="str">
        <f>[1]Tables!$AA$7</f>
        <v>07/30 - 06/31</v>
      </c>
      <c r="M227" s="57" t="str">
        <f>[1]Tables!$AA$8</f>
        <v>07/31 - 06/32</v>
      </c>
      <c r="N227" s="56" t="str">
        <f>[1]Tables!$AA$4</f>
        <v>07/27 - 06/28</v>
      </c>
      <c r="O227" s="55" t="str">
        <f>[1]Tables!$AA$5</f>
        <v>07/28 - 06/29</v>
      </c>
      <c r="P227" s="55" t="str">
        <f>[1]Tables!$AA$6</f>
        <v>07/29 - 06/30</v>
      </c>
      <c r="Q227" s="55" t="str">
        <f>[1]Tables!$AA$7</f>
        <v>07/30 - 06/31</v>
      </c>
      <c r="R227" s="57" t="str">
        <f>[1]Tables!$AA$8</f>
        <v>07/31 - 06/32</v>
      </c>
      <c r="Y227" s="58"/>
      <c r="Z227" s="59" t="str">
        <f>[1]Tables!$AA$4</f>
        <v>07/27 - 06/28</v>
      </c>
      <c r="AA227" s="60" t="str">
        <f>[1]Tables!$AA$5</f>
        <v>07/28 - 06/29</v>
      </c>
      <c r="AB227" s="60" t="str">
        <f>[1]Tables!$AA$6</f>
        <v>07/29 - 06/30</v>
      </c>
      <c r="AC227" s="60" t="str">
        <f>[1]Tables!$AA$7</f>
        <v>07/30 - 06/31</v>
      </c>
      <c r="AD227" s="61" t="str">
        <f>[1]Tables!$AA$8</f>
        <v>07/31 - 06/32</v>
      </c>
      <c r="AE227" s="59" t="str">
        <f>[1]Tables!$AA$4</f>
        <v>07/27 - 06/28</v>
      </c>
      <c r="AF227" s="60" t="str">
        <f>[1]Tables!$AA$5</f>
        <v>07/28 - 06/29</v>
      </c>
      <c r="AG227" s="60" t="str">
        <f>[1]Tables!$AA$6</f>
        <v>07/29 - 06/30</v>
      </c>
      <c r="AH227" s="60" t="str">
        <f>[1]Tables!$AA$7</f>
        <v>07/30 - 06/31</v>
      </c>
      <c r="AI227" s="61" t="str">
        <f>[1]Tables!$AA$8</f>
        <v>07/31 - 06/32</v>
      </c>
      <c r="AP227" s="58"/>
      <c r="AQ227" s="62" t="str">
        <f>[1]Tables!$AA$4</f>
        <v>07/27 - 06/28</v>
      </c>
      <c r="AR227" s="63" t="str">
        <f>[1]Tables!$AA$5</f>
        <v>07/28 - 06/29</v>
      </c>
      <c r="AS227" s="63" t="str">
        <f>[1]Tables!$AA$6</f>
        <v>07/29 - 06/30</v>
      </c>
      <c r="AT227" s="63" t="str">
        <f>[1]Tables!$AA$7</f>
        <v>07/30 - 06/31</v>
      </c>
      <c r="AU227" s="64" t="str">
        <f>[1]Tables!$AA$8</f>
        <v>07/31 - 06/32</v>
      </c>
      <c r="AV227" s="62" t="str">
        <f>[1]Tables!$AA$4</f>
        <v>07/27 - 06/28</v>
      </c>
      <c r="AW227" s="63" t="str">
        <f>[1]Tables!$AA$5</f>
        <v>07/28 - 06/29</v>
      </c>
      <c r="AX227" s="63" t="str">
        <f>[1]Tables!$AA$6</f>
        <v>07/29 - 06/30</v>
      </c>
      <c r="AY227" s="63" t="str">
        <f>[1]Tables!$AA$7</f>
        <v>07/30 - 06/31</v>
      </c>
      <c r="AZ227" s="64" t="str">
        <f>[1]Tables!$AA$8</f>
        <v>07/31 - 06/32</v>
      </c>
      <c r="BG227" s="58"/>
      <c r="BH227" s="65" t="str">
        <f>[1]Tables!$AA$4</f>
        <v>07/27 - 06/28</v>
      </c>
      <c r="BI227" s="66" t="str">
        <f>[1]Tables!$AA$5</f>
        <v>07/28 - 06/29</v>
      </c>
      <c r="BJ227" s="66" t="str">
        <f>[1]Tables!$AA$6</f>
        <v>07/29 - 06/30</v>
      </c>
      <c r="BK227" s="66" t="str">
        <f>[1]Tables!$AA$7</f>
        <v>07/30 - 06/31</v>
      </c>
      <c r="BL227" s="67" t="str">
        <f>[1]Tables!$AA$8</f>
        <v>07/31 - 06/32</v>
      </c>
      <c r="BM227" s="65" t="str">
        <f>[1]Tables!$AA$4</f>
        <v>07/27 - 06/28</v>
      </c>
      <c r="BN227" s="66" t="str">
        <f>[1]Tables!$AA$5</f>
        <v>07/28 - 06/29</v>
      </c>
      <c r="BO227" s="66" t="str">
        <f>[1]Tables!$AA$6</f>
        <v>07/29 - 06/30</v>
      </c>
      <c r="BP227" s="66" t="str">
        <f>[1]Tables!$AA$7</f>
        <v>07/30 - 06/31</v>
      </c>
      <c r="BQ227" s="67" t="str">
        <f>[1]Tables!$AA$8</f>
        <v>07/31 - 06/32</v>
      </c>
      <c r="BX227" s="58"/>
      <c r="BY227" s="65" t="str">
        <f>[1]Tables!$AA$4</f>
        <v>07/27 - 06/28</v>
      </c>
      <c r="BZ227" s="66" t="str">
        <f>[1]Tables!$AA$5</f>
        <v>07/28 - 06/29</v>
      </c>
      <c r="CA227" s="66" t="str">
        <f>[1]Tables!$AA$6</f>
        <v>07/29 - 06/30</v>
      </c>
      <c r="CB227" s="66" t="str">
        <f>[1]Tables!$AA$7</f>
        <v>07/30 - 06/31</v>
      </c>
      <c r="CC227" s="67" t="str">
        <f>[1]Tables!$AA$8</f>
        <v>07/31 - 06/32</v>
      </c>
      <c r="CD227" s="65" t="str">
        <f>[1]Tables!$AA$4</f>
        <v>07/27 - 06/28</v>
      </c>
      <c r="CE227" s="66" t="str">
        <f>[1]Tables!$AA$5</f>
        <v>07/28 - 06/29</v>
      </c>
      <c r="CF227" s="66" t="str">
        <f>[1]Tables!$AA$6</f>
        <v>07/29 - 06/30</v>
      </c>
      <c r="CG227" s="66" t="str">
        <f>[1]Tables!$AA$7</f>
        <v>07/30 - 06/31</v>
      </c>
      <c r="CH227" s="67" t="str">
        <f>[1]Tables!$AA$8</f>
        <v>07/31 - 06/32</v>
      </c>
      <c r="CO227" s="65" t="s">
        <v>66</v>
      </c>
      <c r="CP227" s="66" t="s">
        <v>68</v>
      </c>
      <c r="CQ227" s="202" t="s">
        <v>18</v>
      </c>
      <c r="CR227" s="65" t="s">
        <v>67</v>
      </c>
      <c r="CS227" s="66" t="s">
        <v>69</v>
      </c>
      <c r="CT227" s="202" t="s">
        <v>44</v>
      </c>
    </row>
    <row r="228" spans="2:98" x14ac:dyDescent="0.35">
      <c r="B228" s="68" t="s">
        <v>11</v>
      </c>
      <c r="C228" s="69">
        <v>30</v>
      </c>
      <c r="D228" s="69" t="s">
        <v>12</v>
      </c>
      <c r="E228" s="70" t="s">
        <v>12</v>
      </c>
      <c r="F228" s="106">
        <v>1</v>
      </c>
      <c r="H228" s="71" t="s">
        <v>14</v>
      </c>
      <c r="I228" s="72" t="e" cm="1">
        <f t="array" aca="1" ref="I228" ca="1">SUMIFS(rng_out_awp_pre_yr1, rng_out_GB_Medispan, "G", rng_out_sel_G_ind, "B", rng_out_mail_ind, $B228, rng_out_ds, $C228, rng_out_sel_sp_ind, $D228) - I332</f>
        <v>#VALUE!</v>
      </c>
      <c r="J228" s="5" t="e" cm="1">
        <f t="array" aca="1" ref="J228" ca="1">SUMIFS(rng_out_awp_pre_yr2, rng_out_GB_Medispan, "G", rng_out_sel_G_ind, "B", rng_out_mail_ind, $B228, rng_out_ds, $C228, rng_out_sel_sp_ind, $D228) - J332</f>
        <v>#VALUE!</v>
      </c>
      <c r="K228" s="5" t="e" cm="1">
        <f t="array" aca="1" ref="K228" ca="1">SUMIFS(rng_out_awp_pre_yr3, rng_out_GB_Medispan, "G", rng_out_sel_G_ind, "B", rng_out_mail_ind, $B228, rng_out_ds, $C228, rng_out_sel_sp_ind, $D228) - K332</f>
        <v>#VALUE!</v>
      </c>
      <c r="L228" s="5" t="e" cm="1">
        <f t="array" aca="1" ref="L228" ca="1">SUMIFS(rng_out_awp_pre_yr4, rng_out_GB_Medispan, "G", rng_out_sel_G_ind, "B", rng_out_mail_ind, $B228, rng_out_ds, $C228, rng_out_sel_sp_ind, $D228) - L332</f>
        <v>#VALUE!</v>
      </c>
      <c r="M228" s="73" t="e" cm="1">
        <f t="array" aca="1" ref="M228" ca="1">SUMIFS(rng_out_awp_pre_yr5, rng_out_GB_Medispan, "G", rng_out_sel_G_ind, "B", rng_out_mail_ind, $B228, rng_out_ds, $C228, rng_out_sel_sp_ind, $D228) - M332</f>
        <v>#VALUE!</v>
      </c>
      <c r="N228" s="74">
        <f t="shared" ref="N228:R232" ca="1" si="235">IFERROR(I228/I181, 0)</f>
        <v>0</v>
      </c>
      <c r="O228" s="75">
        <f t="shared" ca="1" si="235"/>
        <v>0</v>
      </c>
      <c r="P228" s="75">
        <f t="shared" ca="1" si="235"/>
        <v>0</v>
      </c>
      <c r="Q228" s="75">
        <f t="shared" ca="1" si="235"/>
        <v>0</v>
      </c>
      <c r="R228" s="76">
        <f t="shared" ca="1" si="235"/>
        <v>0</v>
      </c>
      <c r="Y228" s="77" t="s">
        <v>14</v>
      </c>
      <c r="Z228" s="78">
        <f ca="1">IFERROR(I228/[1]Tables!$AT$4, 0)</f>
        <v>0</v>
      </c>
      <c r="AA228" s="79">
        <f ca="1">IFERROR(J228/[1]Tables!$AT$4, 0)</f>
        <v>0</v>
      </c>
      <c r="AB228" s="79">
        <f ca="1">IFERROR(K228/[1]Tables!$AT$4, 0)</f>
        <v>0</v>
      </c>
      <c r="AC228" s="79">
        <f ca="1">IFERROR(L228/[1]Tables!$AT$4, 0)</f>
        <v>0</v>
      </c>
      <c r="AD228" s="80">
        <f ca="1">IFERROR(M228/[1]Tables!$AT$4, 0)</f>
        <v>0</v>
      </c>
      <c r="AE228" s="81">
        <f t="shared" ref="AE228:AI232" ca="1" si="236">IFERROR(Z228/Z181, 0)</f>
        <v>0</v>
      </c>
      <c r="AF228" s="75">
        <f t="shared" ca="1" si="236"/>
        <v>0</v>
      </c>
      <c r="AG228" s="75">
        <f t="shared" ca="1" si="236"/>
        <v>0</v>
      </c>
      <c r="AH228" s="75">
        <f t="shared" ca="1" si="236"/>
        <v>0</v>
      </c>
      <c r="AI228" s="82">
        <f t="shared" ca="1" si="236"/>
        <v>0</v>
      </c>
      <c r="AP228" s="83" t="s">
        <v>14</v>
      </c>
      <c r="AQ228" s="356" cm="1">
        <f t="array" aca="1" ref="AQ228" ca="1">IFERROR(IF(OR(input_Shift="No", [1]Tables!$BN$4=1), 0, SUMIFS(rng_out_awp_post_yr1, rng_out_mail_ind, $B228, rng_out_GB_Medispan, N$1, rng_out_sel_G_ind, I$1, rng_out_ds, $C228, rng_out_sel_sp_ind, $D228, rng_out_MSB_excl, $F228) * ((1-[1]Tables!$BN$4)/[1]Tables!$BN$4) * [1]Tables!$BN$5)/[1]Tables!$AT$4, 0) - AQ332 + IFERROR(SUMIFS(rng_out_awp_post_yr1, rng_out_GB_Medispan, I$1, rng_out_sel_G_ind, N$1, rng_out_mail_ind, $B228, rng_out_ds, $C228, rng_out_sel_sp_ind, $D228)/[1]Tables!$AT$4, 0)</f>
        <v>0</v>
      </c>
      <c r="AR228" s="5" cm="1">
        <f t="array" aca="1" ref="AR228" ca="1">IFERROR(IF(OR(input_Shift="No", [1]Tables!$BN$4=1), 0, SUMIFS(rng_out_awp_post_yr2, rng_out_mail_ind, $B228, rng_out_GB_Medispan, O$1, rng_out_sel_G_ind, J$1, rng_out_ds, $C228, rng_out_sel_sp_ind, $D228, rng_out_MSB_excl, $F228) * ((1-[1]Tables!$BN$4)/[1]Tables!$BN$4) * [1]Tables!$BN$5)/[1]Tables!$AT$4, 0) - AR332 + IFERROR(SUMIFS(rng_out_awp_post_yr2, rng_out_GB_Medispan, J$1, rng_out_sel_G_ind, O$1, rng_out_mail_ind, $B228, rng_out_ds, $C228, rng_out_sel_sp_ind, $D228)/[1]Tables!$AT$4, 0)</f>
        <v>0</v>
      </c>
      <c r="AS228" s="5" cm="1">
        <f t="array" aca="1" ref="AS228" ca="1">IFERROR(IF(OR(input_Shift="No", [1]Tables!$BN$4=1), 0, SUMIFS(rng_out_awp_post_yr3, rng_out_mail_ind, $B228, rng_out_GB_Medispan, P$1, rng_out_sel_G_ind, K$1, rng_out_ds, $C228, rng_out_sel_sp_ind, $D228, rng_out_MSB_excl, $F228) * ((1-[1]Tables!$BN$4)/[1]Tables!$BN$4) * [1]Tables!$BN$5)/[1]Tables!$AT$4, 0) - AS332 + IFERROR(SUMIFS(rng_out_awp_post_yr3, rng_out_GB_Medispan, K$1, rng_out_sel_G_ind, P$1, rng_out_mail_ind, $B228, rng_out_ds, $C228, rng_out_sel_sp_ind, $D228)/[1]Tables!$AT$4, 0)</f>
        <v>0</v>
      </c>
      <c r="AT228" s="5" cm="1">
        <f t="array" aca="1" ref="AT228" ca="1">IFERROR(IF(OR(input_Shift="No", [1]Tables!$BN$4=1), 0, SUMIFS(rng_out_awp_post_yr4, rng_out_mail_ind, $B228, rng_out_GB_Medispan, Q$1, rng_out_sel_G_ind, L$1, rng_out_ds, $C228, rng_out_sel_sp_ind, $D228, rng_out_MSB_excl, $F228) * ((1-[1]Tables!$BN$4)/[1]Tables!$BN$4) * [1]Tables!$BN$5)/[1]Tables!$AT$4, 0) - AT332 + IFERROR(SUMIFS(rng_out_awp_post_yr4, rng_out_GB_Medispan, L$1, rng_out_sel_G_ind, Q$1, rng_out_mail_ind, $B228, rng_out_ds, $C228, rng_out_sel_sp_ind, $D228)/[1]Tables!$AT$4, 0)</f>
        <v>0</v>
      </c>
      <c r="AU228" s="85" cm="1">
        <f t="array" aca="1" ref="AU228" ca="1">IFERROR(IF(OR(input_Shift="No", [1]Tables!$BN$4=1), 0, SUMIFS(rng_out_awp_post_yr5, rng_out_mail_ind, $B228, rng_out_GB_Medispan, R$1, rng_out_sel_G_ind, M$1, rng_out_ds, $C228, rng_out_sel_sp_ind, $D228, rng_out_MSB_excl, $F228) * ((1-[1]Tables!$BN$4)/[1]Tables!$BN$4) * [1]Tables!$BN$5)/[1]Tables!$AT$4, 0) - AU332 + IFERROR(SUMIFS(rng_out_awp_post_yr5, rng_out_GB_Medispan, M$1, rng_out_sel_G_ind, R$1, rng_out_mail_ind, $B228, rng_out_ds, $C228, rng_out_sel_sp_ind, $D228)/[1]Tables!$AT$4, 0)</f>
        <v>0</v>
      </c>
      <c r="AV228" s="86">
        <f t="shared" ref="AV228:AZ232" ca="1" si="237">IFERROR(AQ228/AQ181, 0)</f>
        <v>0</v>
      </c>
      <c r="AW228" s="75">
        <f t="shared" ca="1" si="237"/>
        <v>0</v>
      </c>
      <c r="AX228" s="75">
        <f t="shared" ca="1" si="237"/>
        <v>0</v>
      </c>
      <c r="AY228" s="75">
        <f t="shared" ca="1" si="237"/>
        <v>0</v>
      </c>
      <c r="AZ228" s="87">
        <f t="shared" ca="1" si="237"/>
        <v>0</v>
      </c>
      <c r="BG228" s="88" t="s">
        <v>14</v>
      </c>
      <c r="BH228" s="97">
        <f t="shared" ref="BH228:BL231" ca="1" si="238">AQ228</f>
        <v>0</v>
      </c>
      <c r="BI228" s="79">
        <f t="shared" ca="1" si="238"/>
        <v>0</v>
      </c>
      <c r="BJ228" s="79">
        <f t="shared" ca="1" si="238"/>
        <v>0</v>
      </c>
      <c r="BK228" s="79">
        <f t="shared" ca="1" si="238"/>
        <v>0</v>
      </c>
      <c r="BL228" s="98">
        <f t="shared" ca="1" si="238"/>
        <v>0</v>
      </c>
      <c r="BM228" s="92">
        <f t="shared" ref="BM228:BQ232" ca="1" si="239">IFERROR(BH228/BH181, 0)</f>
        <v>0</v>
      </c>
      <c r="BN228" s="75">
        <f t="shared" ca="1" si="239"/>
        <v>0</v>
      </c>
      <c r="BO228" s="75">
        <f t="shared" ca="1" si="239"/>
        <v>0</v>
      </c>
      <c r="BP228" s="75">
        <f t="shared" ca="1" si="239"/>
        <v>0</v>
      </c>
      <c r="BQ228" s="93">
        <f t="shared" ca="1" si="239"/>
        <v>0</v>
      </c>
      <c r="BX228" s="88" t="s">
        <v>14</v>
      </c>
      <c r="BY228" s="97">
        <f t="shared" ref="BY228:CC231" ca="1" si="240">CD228*BY181</f>
        <v>0</v>
      </c>
      <c r="BZ228" s="79">
        <f t="shared" ca="1" si="240"/>
        <v>0</v>
      </c>
      <c r="CA228" s="79">
        <f t="shared" ca="1" si="240"/>
        <v>0</v>
      </c>
      <c r="CB228" s="79">
        <f t="shared" ca="1" si="240"/>
        <v>0</v>
      </c>
      <c r="CC228" s="98">
        <f t="shared" ca="1" si="240"/>
        <v>0</v>
      </c>
      <c r="CD228" s="92">
        <f t="shared" ref="CD228:CH231" ca="1" si="241">BM228</f>
        <v>0</v>
      </c>
      <c r="CE228" s="75">
        <f t="shared" ca="1" si="241"/>
        <v>0</v>
      </c>
      <c r="CF228" s="75">
        <f t="shared" ca="1" si="241"/>
        <v>0</v>
      </c>
      <c r="CG228" s="75">
        <f t="shared" ca="1" si="241"/>
        <v>0</v>
      </c>
      <c r="CH228" s="93">
        <f t="shared" ca="1" si="241"/>
        <v>0</v>
      </c>
      <c r="CO228" s="215" cm="1">
        <f t="array" aca="1" ref="CO228" ca="1">_xlfn.SINGLE(IFERROR(SUMIFS(rng_out_awp_base, rng_out_GB_Medispan, "G", rng_out_sel_G_ind, "B", rng_out_mail_ind, $B228, rng_out_ds, $C228, rng_out_sel_sp_ind, $D228, rng_out_sel_excl_ind,$E228)/[1]Tables!$AT$4, 0))</f>
        <v>0</v>
      </c>
      <c r="CP228" s="217" cm="1">
        <f t="array" aca="1" ref="CP228" ca="1">_xlfn.SINGLE(IFERROR(SUMIFS(rng_out_awp_base, rng_out_GB_Medispan, "B", rng_out_sel_G_ind, "G", rng_out_mail_ind, $B228, rng_out_ds, $C228, rng_out_sel_sp_ind, $D228, rng_out_sel_excl_ind,$E228)/[1]Tables!$AT$4, 0))</f>
        <v>0</v>
      </c>
      <c r="CQ228" s="218">
        <f ca="1">SUM(CO228:CP228)</f>
        <v>0</v>
      </c>
      <c r="CR228" s="94">
        <f t="shared" ref="CR228:CT232" ca="1" si="242">IFERROR(CO228/CO181, 0)</f>
        <v>0</v>
      </c>
      <c r="CS228" s="96">
        <f t="shared" ca="1" si="242"/>
        <v>0</v>
      </c>
      <c r="CT228" s="357">
        <f t="shared" ca="1" si="242"/>
        <v>0</v>
      </c>
    </row>
    <row r="229" spans="2:98" x14ac:dyDescent="0.35">
      <c r="B229" s="105" t="s">
        <v>11</v>
      </c>
      <c r="C229" s="106">
        <v>90</v>
      </c>
      <c r="D229" s="106" t="s">
        <v>12</v>
      </c>
      <c r="E229" s="107" t="s">
        <v>12</v>
      </c>
      <c r="F229" s="106">
        <v>1</v>
      </c>
      <c r="H229" s="108" t="s">
        <v>15</v>
      </c>
      <c r="I229" s="72" t="e" cm="1">
        <f t="array" aca="1" ref="I229" ca="1">SUMIFS(rng_out_awp_pre_yr1, rng_out_GB_Medispan, "G", rng_out_sel_G_ind, "B", rng_out_mail_ind, $B229, rng_out_ds, $C229, rng_out_sel_sp_ind, $D229) - I333</f>
        <v>#VALUE!</v>
      </c>
      <c r="J229" s="5" t="e" cm="1">
        <f t="array" aca="1" ref="J229" ca="1">SUMIFS(rng_out_awp_pre_yr2, rng_out_GB_Medispan, "G", rng_out_sel_G_ind, "B", rng_out_mail_ind, $B229, rng_out_ds, $C229, rng_out_sel_sp_ind, $D229) - J333</f>
        <v>#VALUE!</v>
      </c>
      <c r="K229" s="5" t="e" cm="1">
        <f t="array" aca="1" ref="K229" ca="1">SUMIFS(rng_out_awp_pre_yr3, rng_out_GB_Medispan, "G", rng_out_sel_G_ind, "B", rng_out_mail_ind, $B229, rng_out_ds, $C229, rng_out_sel_sp_ind, $D229) - K333</f>
        <v>#VALUE!</v>
      </c>
      <c r="L229" s="5" t="e" cm="1">
        <f t="array" aca="1" ref="L229" ca="1">SUMIFS(rng_out_awp_pre_yr4, rng_out_GB_Medispan, "G", rng_out_sel_G_ind, "B", rng_out_mail_ind, $B229, rng_out_ds, $C229, rng_out_sel_sp_ind, $D229) - L333</f>
        <v>#VALUE!</v>
      </c>
      <c r="M229" s="73" t="e" cm="1">
        <f t="array" aca="1" ref="M229" ca="1">SUMIFS(rng_out_awp_pre_yr5, rng_out_GB_Medispan, "G", rng_out_sel_G_ind, "B", rng_out_mail_ind, $B229, rng_out_ds, $C229, rng_out_sel_sp_ind, $D229) - M333</f>
        <v>#VALUE!</v>
      </c>
      <c r="N229" s="74">
        <f t="shared" ca="1" si="235"/>
        <v>0</v>
      </c>
      <c r="O229" s="75">
        <f t="shared" ca="1" si="235"/>
        <v>0</v>
      </c>
      <c r="P229" s="75">
        <f t="shared" ca="1" si="235"/>
        <v>0</v>
      </c>
      <c r="Q229" s="75">
        <f t="shared" ca="1" si="235"/>
        <v>0</v>
      </c>
      <c r="R229" s="76">
        <f t="shared" ca="1" si="235"/>
        <v>0</v>
      </c>
      <c r="Y229" s="109" t="s">
        <v>15</v>
      </c>
      <c r="Z229" s="78">
        <f ca="1">IFERROR(I229/[1]Tables!$AT$4, 0)</f>
        <v>0</v>
      </c>
      <c r="AA229" s="79">
        <f ca="1">IFERROR(J229/[1]Tables!$AT$4, 0)</f>
        <v>0</v>
      </c>
      <c r="AB229" s="79">
        <f ca="1">IFERROR(K229/[1]Tables!$AT$4, 0)</f>
        <v>0</v>
      </c>
      <c r="AC229" s="79">
        <f ca="1">IFERROR(L229/[1]Tables!$AT$4, 0)</f>
        <v>0</v>
      </c>
      <c r="AD229" s="80">
        <f ca="1">IFERROR(M229/[1]Tables!$AT$4, 0)</f>
        <v>0</v>
      </c>
      <c r="AE229" s="81">
        <f t="shared" ca="1" si="236"/>
        <v>0</v>
      </c>
      <c r="AF229" s="75">
        <f t="shared" ca="1" si="236"/>
        <v>0</v>
      </c>
      <c r="AG229" s="75">
        <f t="shared" ca="1" si="236"/>
        <v>0</v>
      </c>
      <c r="AH229" s="75">
        <f t="shared" ca="1" si="236"/>
        <v>0</v>
      </c>
      <c r="AI229" s="82">
        <f t="shared" ca="1" si="236"/>
        <v>0</v>
      </c>
      <c r="AP229" s="110" t="s">
        <v>15</v>
      </c>
      <c r="AQ229" s="356" cm="1">
        <f t="array" aca="1" ref="AQ229" ca="1">IFERROR(IF(OR(input_Shift="No", [1]Tables!$BN$4=1), 0, SUMIFS(rng_out_awp_post_yr1, rng_out_mail_ind, $B229, rng_out_GB_Medispan, N$1, rng_out_sel_G_ind, I$1, rng_out_ds, $C229, rng_out_sel_sp_ind, $D229, rng_out_MSB_excl, $F229) * ((1-[1]Tables!$BN$4)/[1]Tables!$BN$4) * [1]Tables!$BN$5)/[1]Tables!$AT$4, 0) - AQ333 + IFERROR(SUMIFS(rng_out_awp_post_yr1, rng_out_GB_Medispan, I$1, rng_out_sel_G_ind, N$1, rng_out_mail_ind, $B229, rng_out_ds, $C229, rng_out_sel_sp_ind, $D229)/[1]Tables!$AT$4, 0)</f>
        <v>0</v>
      </c>
      <c r="AR229" s="5" cm="1">
        <f t="array" aca="1" ref="AR229" ca="1">IFERROR(IF(OR(input_Shift="No", [1]Tables!$BN$4=1), 0, SUMIFS(rng_out_awp_post_yr2, rng_out_mail_ind, $B229, rng_out_GB_Medispan, O$1, rng_out_sel_G_ind, J$1, rng_out_ds, $C229, rng_out_sel_sp_ind, $D229, rng_out_MSB_excl, $F229) * ((1-[1]Tables!$BN$4)/[1]Tables!$BN$4) * [1]Tables!$BN$5)/[1]Tables!$AT$4, 0) - AR333 + IFERROR(SUMIFS(rng_out_awp_post_yr2, rng_out_GB_Medispan, J$1, rng_out_sel_G_ind, O$1, rng_out_mail_ind, $B229, rng_out_ds, $C229, rng_out_sel_sp_ind, $D229)/[1]Tables!$AT$4, 0)</f>
        <v>0</v>
      </c>
      <c r="AS229" s="5" cm="1">
        <f t="array" aca="1" ref="AS229" ca="1">IFERROR(IF(OR(input_Shift="No", [1]Tables!$BN$4=1), 0, SUMIFS(rng_out_awp_post_yr3, rng_out_mail_ind, $B229, rng_out_GB_Medispan, P$1, rng_out_sel_G_ind, K$1, rng_out_ds, $C229, rng_out_sel_sp_ind, $D229, rng_out_MSB_excl, $F229) * ((1-[1]Tables!$BN$4)/[1]Tables!$BN$4) * [1]Tables!$BN$5)/[1]Tables!$AT$4, 0) - AS333 + IFERROR(SUMIFS(rng_out_awp_post_yr3, rng_out_GB_Medispan, K$1, rng_out_sel_G_ind, P$1, rng_out_mail_ind, $B229, rng_out_ds, $C229, rng_out_sel_sp_ind, $D229)/[1]Tables!$AT$4, 0)</f>
        <v>0</v>
      </c>
      <c r="AT229" s="5" cm="1">
        <f t="array" aca="1" ref="AT229" ca="1">IFERROR(IF(OR(input_Shift="No", [1]Tables!$BN$4=1), 0, SUMIFS(rng_out_awp_post_yr4, rng_out_mail_ind, $B229, rng_out_GB_Medispan, Q$1, rng_out_sel_G_ind, L$1, rng_out_ds, $C229, rng_out_sel_sp_ind, $D229, rng_out_MSB_excl, $F229) * ((1-[1]Tables!$BN$4)/[1]Tables!$BN$4) * [1]Tables!$BN$5)/[1]Tables!$AT$4, 0) - AT333 + IFERROR(SUMIFS(rng_out_awp_post_yr4, rng_out_GB_Medispan, L$1, rng_out_sel_G_ind, Q$1, rng_out_mail_ind, $B229, rng_out_ds, $C229, rng_out_sel_sp_ind, $D229)/[1]Tables!$AT$4, 0)</f>
        <v>0</v>
      </c>
      <c r="AU229" s="85" cm="1">
        <f t="array" aca="1" ref="AU229" ca="1">IFERROR(IF(OR(input_Shift="No", [1]Tables!$BN$4=1), 0, SUMIFS(rng_out_awp_post_yr5, rng_out_mail_ind, $B229, rng_out_GB_Medispan, R$1, rng_out_sel_G_ind, M$1, rng_out_ds, $C229, rng_out_sel_sp_ind, $D229, rng_out_MSB_excl, $F229) * ((1-[1]Tables!$BN$4)/[1]Tables!$BN$4) * [1]Tables!$BN$5)/[1]Tables!$AT$4, 0) - AU333 + IFERROR(SUMIFS(rng_out_awp_post_yr5, rng_out_GB_Medispan, M$1, rng_out_sel_G_ind, R$1, rng_out_mail_ind, $B229, rng_out_ds, $C229, rng_out_sel_sp_ind, $D229)/[1]Tables!$AT$4, 0)</f>
        <v>0</v>
      </c>
      <c r="AV229" s="86">
        <f t="shared" ca="1" si="237"/>
        <v>0</v>
      </c>
      <c r="AW229" s="75">
        <f t="shared" ca="1" si="237"/>
        <v>0</v>
      </c>
      <c r="AX229" s="75">
        <f t="shared" ca="1" si="237"/>
        <v>0</v>
      </c>
      <c r="AY229" s="75">
        <f t="shared" ca="1" si="237"/>
        <v>0</v>
      </c>
      <c r="AZ229" s="87">
        <f t="shared" ca="1" si="237"/>
        <v>0</v>
      </c>
      <c r="BG229" s="111" t="s">
        <v>15</v>
      </c>
      <c r="BH229" s="97">
        <f t="shared" ca="1" si="238"/>
        <v>0</v>
      </c>
      <c r="BI229" s="79">
        <f t="shared" ca="1" si="238"/>
        <v>0</v>
      </c>
      <c r="BJ229" s="79">
        <f t="shared" ca="1" si="238"/>
        <v>0</v>
      </c>
      <c r="BK229" s="79">
        <f t="shared" ca="1" si="238"/>
        <v>0</v>
      </c>
      <c r="BL229" s="98">
        <f t="shared" ca="1" si="238"/>
        <v>0</v>
      </c>
      <c r="BM229" s="92">
        <f t="shared" ca="1" si="239"/>
        <v>0</v>
      </c>
      <c r="BN229" s="75">
        <f t="shared" ca="1" si="239"/>
        <v>0</v>
      </c>
      <c r="BO229" s="75">
        <f t="shared" ca="1" si="239"/>
        <v>0</v>
      </c>
      <c r="BP229" s="75">
        <f t="shared" ca="1" si="239"/>
        <v>0</v>
      </c>
      <c r="BQ229" s="93">
        <f t="shared" ca="1" si="239"/>
        <v>0</v>
      </c>
      <c r="BX229" s="111" t="s">
        <v>15</v>
      </c>
      <c r="BY229" s="97">
        <f t="shared" ca="1" si="240"/>
        <v>0</v>
      </c>
      <c r="BZ229" s="79">
        <f t="shared" ca="1" si="240"/>
        <v>0</v>
      </c>
      <c r="CA229" s="79">
        <f t="shared" ca="1" si="240"/>
        <v>0</v>
      </c>
      <c r="CB229" s="79">
        <f t="shared" ca="1" si="240"/>
        <v>0</v>
      </c>
      <c r="CC229" s="98">
        <f t="shared" ca="1" si="240"/>
        <v>0</v>
      </c>
      <c r="CD229" s="92">
        <f t="shared" ca="1" si="241"/>
        <v>0</v>
      </c>
      <c r="CE229" s="75">
        <f t="shared" ca="1" si="241"/>
        <v>0</v>
      </c>
      <c r="CF229" s="75">
        <f t="shared" ca="1" si="241"/>
        <v>0</v>
      </c>
      <c r="CG229" s="75">
        <f t="shared" ca="1" si="241"/>
        <v>0</v>
      </c>
      <c r="CH229" s="93">
        <f t="shared" ca="1" si="241"/>
        <v>0</v>
      </c>
      <c r="CO229" s="213" cm="1">
        <f t="array" aca="1" ref="CO229" ca="1">_xlfn.SINGLE(IFERROR(SUMIFS(rng_out_awp_base, rng_out_GB_Medispan, "G", rng_out_sel_G_ind, "B", rng_out_mail_ind, $B229, rng_out_ds, $C229, rng_out_sel_sp_ind, $D229, rng_out_sel_excl_ind,$E229)/[1]Tables!$AT$4, 0))</f>
        <v>0</v>
      </c>
      <c r="CP229" s="214" cm="1">
        <f t="array" aca="1" ref="CP229" ca="1">_xlfn.SINGLE(IFERROR(SUMIFS(rng_out_awp_base, rng_out_GB_Medispan, "B", rng_out_sel_G_ind, "G", rng_out_mail_ind, $B229, rng_out_ds, $C229, rng_out_sel_sp_ind, $D229, rng_out_sel_excl_ind,$E229)/[1]Tables!$AT$4, 0))</f>
        <v>0</v>
      </c>
      <c r="CQ229" s="220">
        <f ca="1">SUM(CO229:CP229)</f>
        <v>0</v>
      </c>
      <c r="CR229" s="92">
        <f t="shared" ca="1" si="242"/>
        <v>0</v>
      </c>
      <c r="CS229" s="93">
        <f t="shared" ca="1" si="242"/>
        <v>0</v>
      </c>
      <c r="CT229" s="358">
        <f t="shared" ca="1" si="242"/>
        <v>0</v>
      </c>
    </row>
    <row r="230" spans="2:98" x14ac:dyDescent="0.35">
      <c r="B230" s="105" t="s">
        <v>16</v>
      </c>
      <c r="C230" s="106"/>
      <c r="D230" s="106" t="s">
        <v>12</v>
      </c>
      <c r="E230" s="107" t="s">
        <v>12</v>
      </c>
      <c r="F230" s="106">
        <v>1</v>
      </c>
      <c r="H230" s="118" t="s">
        <v>7</v>
      </c>
      <c r="I230" s="72" t="e" cm="1">
        <f t="array" aca="1" ref="I230" ca="1">SUMIFS(rng_out_awp_pre_yr1, rng_out_GB_Medispan, "G", rng_out_sel_G_ind, "B", rng_out_mail_ind, $B230, rng_out_sel_sp_ind, $D230) - I334</f>
        <v>#VALUE!</v>
      </c>
      <c r="J230" s="5" t="e" cm="1">
        <f t="array" aca="1" ref="J230" ca="1">SUMIFS(rng_out_awp_pre_yr2, rng_out_GB_Medispan, "G", rng_out_sel_G_ind, "B", rng_out_mail_ind, $B230, rng_out_sel_sp_ind, $D230) - J334</f>
        <v>#VALUE!</v>
      </c>
      <c r="K230" s="5" t="e" cm="1">
        <f t="array" aca="1" ref="K230" ca="1">SUMIFS(rng_out_awp_pre_yr3, rng_out_GB_Medispan, "G", rng_out_sel_G_ind, "B", rng_out_mail_ind, $B230, rng_out_sel_sp_ind, $D230) - K334</f>
        <v>#VALUE!</v>
      </c>
      <c r="L230" s="5" t="e" cm="1">
        <f t="array" aca="1" ref="L230" ca="1">SUMIFS(rng_out_awp_pre_yr4, rng_out_GB_Medispan, "G", rng_out_sel_G_ind, "B", rng_out_mail_ind, $B230, rng_out_sel_sp_ind, $D230) - L334</f>
        <v>#VALUE!</v>
      </c>
      <c r="M230" s="73" t="e" cm="1">
        <f t="array" aca="1" ref="M230" ca="1">SUMIFS(rng_out_awp_pre_yr5, rng_out_GB_Medispan, "G", rng_out_sel_G_ind, "B", rng_out_mail_ind, $B230, rng_out_sel_sp_ind, $D230) - M334</f>
        <v>#VALUE!</v>
      </c>
      <c r="N230" s="74">
        <f t="shared" ca="1" si="235"/>
        <v>0</v>
      </c>
      <c r="O230" s="75">
        <f t="shared" ca="1" si="235"/>
        <v>0</v>
      </c>
      <c r="P230" s="75">
        <f t="shared" ca="1" si="235"/>
        <v>0</v>
      </c>
      <c r="Q230" s="75">
        <f t="shared" ca="1" si="235"/>
        <v>0</v>
      </c>
      <c r="R230" s="76">
        <f t="shared" ca="1" si="235"/>
        <v>0</v>
      </c>
      <c r="Y230" s="119" t="s">
        <v>7</v>
      </c>
      <c r="Z230" s="78">
        <f ca="1">IFERROR(I230/[1]Tables!$AT$4, 0)</f>
        <v>0</v>
      </c>
      <c r="AA230" s="79">
        <f ca="1">IFERROR(J230/[1]Tables!$AT$4, 0)</f>
        <v>0</v>
      </c>
      <c r="AB230" s="79">
        <f ca="1">IFERROR(K230/[1]Tables!$AT$4, 0)</f>
        <v>0</v>
      </c>
      <c r="AC230" s="79">
        <f ca="1">IFERROR(L230/[1]Tables!$AT$4, 0)</f>
        <v>0</v>
      </c>
      <c r="AD230" s="80">
        <f ca="1">IFERROR(M230/[1]Tables!$AT$4, 0)</f>
        <v>0</v>
      </c>
      <c r="AE230" s="81">
        <f t="shared" ca="1" si="236"/>
        <v>0</v>
      </c>
      <c r="AF230" s="75">
        <f t="shared" ca="1" si="236"/>
        <v>0</v>
      </c>
      <c r="AG230" s="75">
        <f t="shared" ca="1" si="236"/>
        <v>0</v>
      </c>
      <c r="AH230" s="75">
        <f t="shared" ca="1" si="236"/>
        <v>0</v>
      </c>
      <c r="AI230" s="82">
        <f t="shared" ca="1" si="236"/>
        <v>0</v>
      </c>
      <c r="AP230" s="120" t="s">
        <v>7</v>
      </c>
      <c r="AQ230" s="356" cm="1">
        <f t="array" aca="1" ref="AQ230" ca="1">IFERROR(IF(OR(input_Shift="No", [1]Tables!$BN$4=1), 0, SUMIFS(rng_out_awp_post_yr1, rng_out_mail_ind, $B230, rng_out_GB_Medispan, N$1, rng_out_sel_G_ind, I$1, rng_out_sel_sp_ind, $D230, rng_out_MSB_excl, $F230) * ((1-[1]Tables!$BN$4)/[1]Tables!$BN$4) * [1]Tables!$BN$5)/[1]Tables!$AT$4, 0) - AQ334 + IFERROR(SUMIFS(rng_out_awp_post_yr1, rng_out_GB_Medispan, I$1, rng_out_sel_G_ind, N$1, rng_out_mail_ind, $B230, rng_out_sel_sp_ind, $D230)/[1]Tables!$AT$4, 0)</f>
        <v>0</v>
      </c>
      <c r="AR230" s="5" cm="1">
        <f t="array" aca="1" ref="AR230" ca="1">IFERROR(IF(OR(input_Shift="No", [1]Tables!$BN$4=1), 0, SUMIFS(rng_out_awp_post_yr2, rng_out_mail_ind, $B230, rng_out_GB_Medispan, O$1, rng_out_sel_G_ind, J$1, rng_out_sel_sp_ind, $D230, rng_out_MSB_excl, $F230) * ((1-[1]Tables!$BN$4)/[1]Tables!$BN$4) * [1]Tables!$BN$5)/[1]Tables!$AT$4, 0) - AR334 + IFERROR(SUMIFS(rng_out_awp_post_yr2, rng_out_GB_Medispan, J$1, rng_out_sel_G_ind, O$1, rng_out_mail_ind, $B230, rng_out_sel_sp_ind, $D230)/[1]Tables!$AT$4, 0)</f>
        <v>0</v>
      </c>
      <c r="AS230" s="5" cm="1">
        <f t="array" aca="1" ref="AS230" ca="1">IFERROR(IF(OR(input_Shift="No", [1]Tables!$BN$4=1), 0, SUMIFS(rng_out_awp_post_yr3, rng_out_mail_ind, $B230, rng_out_GB_Medispan, P$1, rng_out_sel_G_ind, K$1, rng_out_sel_sp_ind, $D230, rng_out_MSB_excl, $F230) * ((1-[1]Tables!$BN$4)/[1]Tables!$BN$4) * [1]Tables!$BN$5)/[1]Tables!$AT$4, 0) - AS334 + IFERROR(SUMIFS(rng_out_awp_post_yr3, rng_out_GB_Medispan, K$1, rng_out_sel_G_ind, P$1, rng_out_mail_ind, $B230, rng_out_sel_sp_ind, $D230)/[1]Tables!$AT$4, 0)</f>
        <v>0</v>
      </c>
      <c r="AT230" s="5" cm="1">
        <f t="array" aca="1" ref="AT230" ca="1">IFERROR(IF(OR(input_Shift="No", [1]Tables!$BN$4=1), 0, SUMIFS(rng_out_awp_post_yr4, rng_out_mail_ind, $B230, rng_out_GB_Medispan, Q$1, rng_out_sel_G_ind, L$1, rng_out_sel_sp_ind, $D230, rng_out_MSB_excl, $F230) * ((1-[1]Tables!$BN$4)/[1]Tables!$BN$4) * [1]Tables!$BN$5)/[1]Tables!$AT$4, 0) - AT334 + IFERROR(SUMIFS(rng_out_awp_post_yr4, rng_out_GB_Medispan, L$1, rng_out_sel_G_ind, Q$1, rng_out_mail_ind, $B230, rng_out_sel_sp_ind, $D230)/[1]Tables!$AT$4, 0)</f>
        <v>0</v>
      </c>
      <c r="AU230" s="85" cm="1">
        <f t="array" aca="1" ref="AU230" ca="1">IFERROR(IF(OR(input_Shift="No", [1]Tables!$BN$4=1), 0, SUMIFS(rng_out_awp_post_yr5, rng_out_mail_ind, $B230, rng_out_GB_Medispan, R$1, rng_out_sel_G_ind, M$1, rng_out_sel_sp_ind, $D230, rng_out_MSB_excl, $F230) * ((1-[1]Tables!$BN$4)/[1]Tables!$BN$4) * [1]Tables!$BN$5)/[1]Tables!$AT$4, 0) - AU334 + IFERROR(SUMIFS(rng_out_awp_post_yr5, rng_out_GB_Medispan, M$1, rng_out_sel_G_ind, R$1, rng_out_mail_ind, $B230, rng_out_sel_sp_ind, $D230)/[1]Tables!$AT$4, 0)</f>
        <v>0</v>
      </c>
      <c r="AV230" s="86">
        <f t="shared" ca="1" si="237"/>
        <v>0</v>
      </c>
      <c r="AW230" s="75">
        <f t="shared" ca="1" si="237"/>
        <v>0</v>
      </c>
      <c r="AX230" s="75">
        <f t="shared" ca="1" si="237"/>
        <v>0</v>
      </c>
      <c r="AY230" s="75">
        <f t="shared" ca="1" si="237"/>
        <v>0</v>
      </c>
      <c r="AZ230" s="87">
        <f t="shared" ca="1" si="237"/>
        <v>0</v>
      </c>
      <c r="BG230" s="121" t="s">
        <v>7</v>
      </c>
      <c r="BH230" s="97">
        <f t="shared" ca="1" si="238"/>
        <v>0</v>
      </c>
      <c r="BI230" s="79">
        <f t="shared" ca="1" si="238"/>
        <v>0</v>
      </c>
      <c r="BJ230" s="79">
        <f t="shared" ca="1" si="238"/>
        <v>0</v>
      </c>
      <c r="BK230" s="79">
        <f t="shared" ca="1" si="238"/>
        <v>0</v>
      </c>
      <c r="BL230" s="98">
        <f t="shared" ca="1" si="238"/>
        <v>0</v>
      </c>
      <c r="BM230" s="92">
        <f t="shared" ca="1" si="239"/>
        <v>0</v>
      </c>
      <c r="BN230" s="75">
        <f t="shared" ca="1" si="239"/>
        <v>0</v>
      </c>
      <c r="BO230" s="75">
        <f t="shared" ca="1" si="239"/>
        <v>0</v>
      </c>
      <c r="BP230" s="75">
        <f t="shared" ca="1" si="239"/>
        <v>0</v>
      </c>
      <c r="BQ230" s="93">
        <f t="shared" ca="1" si="239"/>
        <v>0</v>
      </c>
      <c r="BX230" s="121" t="s">
        <v>7</v>
      </c>
      <c r="BY230" s="97">
        <f t="shared" ca="1" si="240"/>
        <v>0</v>
      </c>
      <c r="BZ230" s="79">
        <f t="shared" ca="1" si="240"/>
        <v>0</v>
      </c>
      <c r="CA230" s="79">
        <f t="shared" ca="1" si="240"/>
        <v>0</v>
      </c>
      <c r="CB230" s="79">
        <f t="shared" ca="1" si="240"/>
        <v>0</v>
      </c>
      <c r="CC230" s="98">
        <f t="shared" ca="1" si="240"/>
        <v>0</v>
      </c>
      <c r="CD230" s="92">
        <f t="shared" ca="1" si="241"/>
        <v>0</v>
      </c>
      <c r="CE230" s="75">
        <f t="shared" ca="1" si="241"/>
        <v>0</v>
      </c>
      <c r="CF230" s="75">
        <f t="shared" ca="1" si="241"/>
        <v>0</v>
      </c>
      <c r="CG230" s="75">
        <f t="shared" ca="1" si="241"/>
        <v>0</v>
      </c>
      <c r="CH230" s="93">
        <f t="shared" ca="1" si="241"/>
        <v>0</v>
      </c>
      <c r="CO230" s="213" cm="1">
        <f t="array" aca="1" ref="CO230" ca="1">_xlfn.SINGLE(IFERROR(SUMIFS(rng_out_awp_base, rng_out_GB_Medispan, "G", rng_out_sel_G_ind, "B", rng_out_mail_ind, $B230, rng_out_sel_sp_ind, $D230, rng_out_sel_excl_ind,$E230)/[1]Tables!$AT$4, 0))</f>
        <v>0</v>
      </c>
      <c r="CP230" s="214" cm="1">
        <f t="array" aca="1" ref="CP230" ca="1">_xlfn.SINGLE(IFERROR(SUMIFS(rng_out_awp_base, rng_out_GB_Medispan, "B", rng_out_sel_G_ind, "G", rng_out_mail_ind, $B230, rng_out_sel_sp_ind, $D230, rng_out_sel_excl_ind,$E230)/[1]Tables!$AT$4, 0))</f>
        <v>0</v>
      </c>
      <c r="CQ230" s="220">
        <f ca="1">SUM(CO230:CP230)</f>
        <v>0</v>
      </c>
      <c r="CR230" s="92">
        <f t="shared" ca="1" si="242"/>
        <v>0</v>
      </c>
      <c r="CS230" s="93">
        <f t="shared" ca="1" si="242"/>
        <v>0</v>
      </c>
      <c r="CT230" s="358">
        <f t="shared" ca="1" si="242"/>
        <v>0</v>
      </c>
    </row>
    <row r="231" spans="2:98" ht="15" thickBot="1" x14ac:dyDescent="0.4">
      <c r="B231" s="122"/>
      <c r="C231" s="123"/>
      <c r="D231" s="123" t="s">
        <v>13</v>
      </c>
      <c r="E231" s="124" t="s">
        <v>12</v>
      </c>
      <c r="F231" s="106">
        <v>1</v>
      </c>
      <c r="H231" s="118" t="s">
        <v>17</v>
      </c>
      <c r="I231" s="72" t="e" cm="1">
        <f t="array" aca="1" ref="I231" ca="1">SUMIFS(rng_out_awp_pre_yr1, rng_out_GB_Medispan, "G", rng_out_sel_G_ind, "B", rng_out_sel_sp_ind, $D231) - I335</f>
        <v>#VALUE!</v>
      </c>
      <c r="J231" s="5" t="e" cm="1">
        <f t="array" aca="1" ref="J231" ca="1">SUMIFS(rng_out_awp_pre_yr2, rng_out_GB_Medispan, "G", rng_out_sel_G_ind, "B", rng_out_sel_sp_ind, $D231) - J335</f>
        <v>#VALUE!</v>
      </c>
      <c r="K231" s="5" t="e" cm="1">
        <f t="array" aca="1" ref="K231" ca="1">SUMIFS(rng_out_awp_pre_yr3, rng_out_GB_Medispan, "G", rng_out_sel_G_ind, "B", rng_out_sel_sp_ind, $D231) - K335</f>
        <v>#VALUE!</v>
      </c>
      <c r="L231" s="5" t="e" cm="1">
        <f t="array" aca="1" ref="L231" ca="1">SUMIFS(rng_out_awp_pre_yr4, rng_out_GB_Medispan, "G", rng_out_sel_G_ind, "B", rng_out_sel_sp_ind, $D231) - L335</f>
        <v>#VALUE!</v>
      </c>
      <c r="M231" s="125" t="e" cm="1">
        <f t="array" aca="1" ref="M231" ca="1">SUMIFS(rng_out_awp_pre_yr5, rng_out_GB_Medispan, "G", rng_out_sel_G_ind, "B", rng_out_sel_sp_ind, $D231) - M335</f>
        <v>#VALUE!</v>
      </c>
      <c r="N231" s="74">
        <f t="shared" ca="1" si="235"/>
        <v>0</v>
      </c>
      <c r="O231" s="75">
        <f t="shared" ca="1" si="235"/>
        <v>0</v>
      </c>
      <c r="P231" s="75">
        <f t="shared" ca="1" si="235"/>
        <v>0</v>
      </c>
      <c r="Q231" s="75">
        <f t="shared" ca="1" si="235"/>
        <v>0</v>
      </c>
      <c r="R231" s="126">
        <f t="shared" ca="1" si="235"/>
        <v>0</v>
      </c>
      <c r="Y231" s="119" t="s">
        <v>17</v>
      </c>
      <c r="Z231" s="127">
        <f ca="1">IFERROR(I231/[1]Tables!$AT$4, 0)</f>
        <v>0</v>
      </c>
      <c r="AA231" s="128">
        <f ca="1">IFERROR(J231/[1]Tables!$AT$4, 0)</f>
        <v>0</v>
      </c>
      <c r="AB231" s="128">
        <f ca="1">IFERROR(K231/[1]Tables!$AT$4, 0)</f>
        <v>0</v>
      </c>
      <c r="AC231" s="128">
        <f ca="1">IFERROR(L231/[1]Tables!$AT$4, 0)</f>
        <v>0</v>
      </c>
      <c r="AD231" s="129">
        <f ca="1">IFERROR(M231/[1]Tables!$AT$4, 0)</f>
        <v>0</v>
      </c>
      <c r="AE231" s="130">
        <f t="shared" ca="1" si="236"/>
        <v>0</v>
      </c>
      <c r="AF231" s="131">
        <f t="shared" ca="1" si="236"/>
        <v>0</v>
      </c>
      <c r="AG231" s="131">
        <f t="shared" ca="1" si="236"/>
        <v>0</v>
      </c>
      <c r="AH231" s="131">
        <f t="shared" ca="1" si="236"/>
        <v>0</v>
      </c>
      <c r="AI231" s="132">
        <f t="shared" ca="1" si="236"/>
        <v>0</v>
      </c>
      <c r="AP231" s="120" t="s">
        <v>17</v>
      </c>
      <c r="AQ231" s="167" cm="1">
        <f t="array" aca="1" ref="AQ231" ca="1">IFERROR(IF(OR(input_Shift="No", [1]Tables!$BN$4=1), 0, SUMIFS(rng_out_awp_post_yr1, rng_out_GB_Medispan, N$1, rng_out_sel_G_ind, I$1, rng_out_sel_sp_ind, $D231, rng_out_MSB_excl, $F231) * ((1-[1]Tables!$BN$4)/[1]Tables!$BN$4) * [1]Tables!$BN$5)/[1]Tables!$AT$4, 0) - AQ335 + IFERROR(SUMIFS(rng_out_awp_post_yr1, rng_out_GB_Medispan, I$1, rng_out_sel_G_ind, N$1, rng_out_sel_sp_ind, $D231)/[1]Tables!$AT$4, 0)</f>
        <v>0</v>
      </c>
      <c r="AR231" s="134" cm="1">
        <f t="array" aca="1" ref="AR231" ca="1">IFERROR(IF(OR(input_Shift="No", [1]Tables!$BN$4=1), 0, SUMIFS(rng_out_awp_post_yr2, rng_out_GB_Medispan, O$1, rng_out_sel_G_ind, J$1, rng_out_sel_sp_ind, $D231, rng_out_MSB_excl, $F231) * ((1-[1]Tables!$BN$4)/[1]Tables!$BN$4) * [1]Tables!$BN$5)/[1]Tables!$AT$4, 0) - AR335 + IFERROR(SUMIFS(rng_out_awp_post_yr2, rng_out_GB_Medispan, J$1, rng_out_sel_G_ind, O$1, rng_out_sel_sp_ind, $D231)/[1]Tables!$AT$4, 0)</f>
        <v>0</v>
      </c>
      <c r="AS231" s="134" cm="1">
        <f t="array" aca="1" ref="AS231" ca="1">IFERROR(IF(OR(input_Shift="No", [1]Tables!$BN$4=1), 0, SUMIFS(rng_out_awp_post_yr3, rng_out_GB_Medispan, P$1, rng_out_sel_G_ind, K$1, rng_out_sel_sp_ind, $D231, rng_out_MSB_excl, $F231) * ((1-[1]Tables!$BN$4)/[1]Tables!$BN$4) * [1]Tables!$BN$5)/[1]Tables!$AT$4, 0) - AS335 + IFERROR(SUMIFS(rng_out_awp_post_yr3, rng_out_GB_Medispan, K$1, rng_out_sel_G_ind, P$1, rng_out_sel_sp_ind, $D231)/[1]Tables!$AT$4, 0)</f>
        <v>0</v>
      </c>
      <c r="AT231" s="134" cm="1">
        <f t="array" aca="1" ref="AT231" ca="1">IFERROR(IF(OR(input_Shift="No", [1]Tables!$BN$4=1), 0, SUMIFS(rng_out_awp_post_yr4, rng_out_GB_Medispan, Q$1, rng_out_sel_G_ind, L$1, rng_out_sel_sp_ind, $D231, rng_out_MSB_excl, $F231) * ((1-[1]Tables!$BN$4)/[1]Tables!$BN$4) * [1]Tables!$BN$5)/[1]Tables!$AT$4, 0) - AT335 + IFERROR(SUMIFS(rng_out_awp_post_yr4, rng_out_GB_Medispan, L$1, rng_out_sel_G_ind, Q$1, rng_out_sel_sp_ind, $D231)/[1]Tables!$AT$4, 0)</f>
        <v>0</v>
      </c>
      <c r="AU231" s="135" cm="1">
        <f t="array" aca="1" ref="AU231" ca="1">IFERROR(IF(OR(input_Shift="No", [1]Tables!$BN$4=1), 0, SUMIFS(rng_out_awp_post_yr5, rng_out_GB_Medispan, R$1, rng_out_sel_G_ind, M$1, rng_out_sel_sp_ind, $D231, rng_out_MSB_excl, $F231) * ((1-[1]Tables!$BN$4)/[1]Tables!$BN$4) * [1]Tables!$BN$5)/[1]Tables!$AT$4, 0) - AU335 + IFERROR(SUMIFS(rng_out_awp_post_yr5, rng_out_GB_Medispan, M$1, rng_out_sel_G_ind, R$1, rng_out_sel_sp_ind, $D231)/[1]Tables!$AT$4, 0)</f>
        <v>0</v>
      </c>
      <c r="AV231" s="136">
        <f t="shared" ca="1" si="237"/>
        <v>0</v>
      </c>
      <c r="AW231" s="137">
        <f t="shared" ca="1" si="237"/>
        <v>0</v>
      </c>
      <c r="AX231" s="137">
        <f t="shared" ca="1" si="237"/>
        <v>0</v>
      </c>
      <c r="AY231" s="137">
        <f t="shared" ca="1" si="237"/>
        <v>0</v>
      </c>
      <c r="AZ231" s="138">
        <f t="shared" ca="1" si="237"/>
        <v>0</v>
      </c>
      <c r="BG231" s="121" t="s">
        <v>17</v>
      </c>
      <c r="BH231" s="145">
        <f t="shared" ca="1" si="238"/>
        <v>0</v>
      </c>
      <c r="BI231" s="146">
        <f t="shared" ca="1" si="238"/>
        <v>0</v>
      </c>
      <c r="BJ231" s="146">
        <f t="shared" ca="1" si="238"/>
        <v>0</v>
      </c>
      <c r="BK231" s="146">
        <f t="shared" ca="1" si="238"/>
        <v>0</v>
      </c>
      <c r="BL231" s="147">
        <f t="shared" ca="1" si="238"/>
        <v>0</v>
      </c>
      <c r="BM231" s="142">
        <f t="shared" ca="1" si="239"/>
        <v>0</v>
      </c>
      <c r="BN231" s="143">
        <f t="shared" ca="1" si="239"/>
        <v>0</v>
      </c>
      <c r="BO231" s="143">
        <f t="shared" ca="1" si="239"/>
        <v>0</v>
      </c>
      <c r="BP231" s="143">
        <f t="shared" ca="1" si="239"/>
        <v>0</v>
      </c>
      <c r="BQ231" s="144">
        <f t="shared" ca="1" si="239"/>
        <v>0</v>
      </c>
      <c r="BX231" s="121" t="s">
        <v>17</v>
      </c>
      <c r="BY231" s="145">
        <f t="shared" ca="1" si="240"/>
        <v>0</v>
      </c>
      <c r="BZ231" s="146">
        <f t="shared" ca="1" si="240"/>
        <v>0</v>
      </c>
      <c r="CA231" s="146">
        <f t="shared" ca="1" si="240"/>
        <v>0</v>
      </c>
      <c r="CB231" s="146">
        <f t="shared" ca="1" si="240"/>
        <v>0</v>
      </c>
      <c r="CC231" s="147">
        <f t="shared" ca="1" si="240"/>
        <v>0</v>
      </c>
      <c r="CD231" s="142">
        <f t="shared" ca="1" si="241"/>
        <v>0</v>
      </c>
      <c r="CE231" s="143">
        <f t="shared" ca="1" si="241"/>
        <v>0</v>
      </c>
      <c r="CF231" s="143">
        <f t="shared" ca="1" si="241"/>
        <v>0</v>
      </c>
      <c r="CG231" s="143">
        <f t="shared" ca="1" si="241"/>
        <v>0</v>
      </c>
      <c r="CH231" s="144">
        <f t="shared" ca="1" si="241"/>
        <v>0</v>
      </c>
      <c r="CO231" s="231" cm="1">
        <f t="array" aca="1" ref="CO231" ca="1">_xlfn.SINGLE(IFERROR(SUMIFS(rng_out_awp_base, rng_out_GB_Medispan, "G", rng_out_sel_G_ind, "B", rng_out_sel_sp_ind, $D231, rng_out_sel_excl_ind,$E231)/[1]Tables!$AT$4, 0))</f>
        <v>0</v>
      </c>
      <c r="CP231" s="233" cm="1">
        <f t="array" aca="1" ref="CP231" ca="1">_xlfn.SINGLE(IFERROR(SUMIFS(rng_out_awp_base, rng_out_GB_Medispan, "B", rng_out_sel_G_ind, "G", rng_out_sel_sp_ind, $D231, rng_out_sel_excl_ind,$E231)/[1]Tables!$AT$4, 0))</f>
        <v>0</v>
      </c>
      <c r="CQ231" s="234">
        <f ca="1">SUM(CO231:CP231)</f>
        <v>0</v>
      </c>
      <c r="CR231" s="142">
        <f t="shared" ca="1" si="242"/>
        <v>0</v>
      </c>
      <c r="CS231" s="144">
        <f t="shared" ca="1" si="242"/>
        <v>0</v>
      </c>
      <c r="CT231" s="177">
        <f t="shared" ca="1" si="242"/>
        <v>0</v>
      </c>
    </row>
    <row r="232" spans="2:98" ht="15" thickBot="1" x14ac:dyDescent="0.4">
      <c r="B232" s="106"/>
      <c r="C232" s="236"/>
      <c r="D232" s="236" t="s">
        <v>29</v>
      </c>
      <c r="E232" s="237" t="str">
        <f>IF(sel_excl_nonRebatable=1, "Y", "N")</f>
        <v>N</v>
      </c>
      <c r="H232" s="154" t="s">
        <v>18</v>
      </c>
      <c r="I232" s="155" t="e">
        <f ca="1">SUM(I228:I231)</f>
        <v>#VALUE!</v>
      </c>
      <c r="J232" s="155" t="e">
        <f ca="1">SUM(J228:J231)</f>
        <v>#VALUE!</v>
      </c>
      <c r="K232" s="155" t="e">
        <f ca="1">SUM(K228:K231)</f>
        <v>#VALUE!</v>
      </c>
      <c r="L232" s="155" t="e">
        <f ca="1">SUM(L228:L231)</f>
        <v>#VALUE!</v>
      </c>
      <c r="M232" s="156" t="e">
        <f ca="1">SUM(M228:M231)</f>
        <v>#VALUE!</v>
      </c>
      <c r="N232" s="157">
        <f t="shared" ca="1" si="235"/>
        <v>0</v>
      </c>
      <c r="O232" s="157">
        <f t="shared" ca="1" si="235"/>
        <v>0</v>
      </c>
      <c r="P232" s="157">
        <f t="shared" ca="1" si="235"/>
        <v>0</v>
      </c>
      <c r="Q232" s="157">
        <f t="shared" ca="1" si="235"/>
        <v>0</v>
      </c>
      <c r="R232" s="158">
        <f t="shared" ca="1" si="235"/>
        <v>0</v>
      </c>
      <c r="Y232" s="159" t="s">
        <v>18</v>
      </c>
      <c r="Z232" s="160">
        <f ca="1">SUM(Z228:Z231)</f>
        <v>0</v>
      </c>
      <c r="AA232" s="161">
        <f ca="1">SUM(AA228:AA231)</f>
        <v>0</v>
      </c>
      <c r="AB232" s="161">
        <f ca="1">SUM(AB228:AB231)</f>
        <v>0</v>
      </c>
      <c r="AC232" s="161">
        <f ca="1">SUM(AC228:AC231)</f>
        <v>0</v>
      </c>
      <c r="AD232" s="162">
        <f ca="1">SUM(AD228:AD231)</f>
        <v>0</v>
      </c>
      <c r="AE232" s="163">
        <f t="shared" ca="1" si="236"/>
        <v>0</v>
      </c>
      <c r="AF232" s="164">
        <f t="shared" ca="1" si="236"/>
        <v>0</v>
      </c>
      <c r="AG232" s="164">
        <f t="shared" ca="1" si="236"/>
        <v>0</v>
      </c>
      <c r="AH232" s="164">
        <f t="shared" ca="1" si="236"/>
        <v>0</v>
      </c>
      <c r="AI232" s="165">
        <f t="shared" ca="1" si="236"/>
        <v>0</v>
      </c>
      <c r="AP232" s="166" t="s">
        <v>18</v>
      </c>
      <c r="AQ232" s="167">
        <f ca="1">SUM(AQ228:AQ231)</f>
        <v>0</v>
      </c>
      <c r="AR232" s="134">
        <f ca="1">SUM(AR228:AR231)</f>
        <v>0</v>
      </c>
      <c r="AS232" s="134">
        <f ca="1">SUM(AS228:AS231)</f>
        <v>0</v>
      </c>
      <c r="AT232" s="134">
        <f ca="1">SUM(AT228:AT231)</f>
        <v>0</v>
      </c>
      <c r="AU232" s="135">
        <f ca="1">SUM(AU228:AU231)</f>
        <v>0</v>
      </c>
      <c r="AV232" s="168">
        <f t="shared" ca="1" si="237"/>
        <v>0</v>
      </c>
      <c r="AW232" s="169">
        <f t="shared" ca="1" si="237"/>
        <v>0</v>
      </c>
      <c r="AX232" s="169">
        <f t="shared" ca="1" si="237"/>
        <v>0</v>
      </c>
      <c r="AY232" s="169">
        <f t="shared" ca="1" si="237"/>
        <v>0</v>
      </c>
      <c r="AZ232" s="170">
        <f t="shared" ca="1" si="237"/>
        <v>0</v>
      </c>
      <c r="BG232" s="171" t="s">
        <v>18</v>
      </c>
      <c r="BH232" s="172">
        <f ca="1">SUM(BH228:BH231)</f>
        <v>0</v>
      </c>
      <c r="BI232" s="173">
        <f ca="1">SUM(BI228:BI231)</f>
        <v>0</v>
      </c>
      <c r="BJ232" s="173">
        <f ca="1">SUM(BJ228:BJ231)</f>
        <v>0</v>
      </c>
      <c r="BK232" s="173">
        <f ca="1">SUM(BK228:BK231)</f>
        <v>0</v>
      </c>
      <c r="BL232" s="174">
        <f ca="1">SUM(BL228:BL231)</f>
        <v>0</v>
      </c>
      <c r="BM232" s="175">
        <f t="shared" ca="1" si="239"/>
        <v>0</v>
      </c>
      <c r="BN232" s="176">
        <f t="shared" ca="1" si="239"/>
        <v>0</v>
      </c>
      <c r="BO232" s="176">
        <f t="shared" ca="1" si="239"/>
        <v>0</v>
      </c>
      <c r="BP232" s="176">
        <f t="shared" ca="1" si="239"/>
        <v>0</v>
      </c>
      <c r="BQ232" s="177">
        <f t="shared" ca="1" si="239"/>
        <v>0</v>
      </c>
      <c r="BX232" s="171" t="s">
        <v>18</v>
      </c>
      <c r="BY232" s="172">
        <f ca="1">SUM(BY228:BY231)</f>
        <v>0</v>
      </c>
      <c r="BZ232" s="173">
        <f ca="1">SUM(BZ228:BZ231)</f>
        <v>0</v>
      </c>
      <c r="CA232" s="173">
        <f ca="1">SUM(CA228:CA231)</f>
        <v>0</v>
      </c>
      <c r="CB232" s="173">
        <f ca="1">SUM(CB228:CB231)</f>
        <v>0</v>
      </c>
      <c r="CC232" s="174">
        <f ca="1">SUM(CC228:CC231)</f>
        <v>0</v>
      </c>
      <c r="CD232" s="175">
        <f ca="1">IFERROR(BY232/BY185, 0)</f>
        <v>0</v>
      </c>
      <c r="CE232" s="176">
        <f ca="1">IFERROR(BZ232/BZ185, 0)</f>
        <v>0</v>
      </c>
      <c r="CF232" s="176">
        <f ca="1">IFERROR(CA232/CA185, 0)</f>
        <v>0</v>
      </c>
      <c r="CG232" s="176">
        <f ca="1">IFERROR(CB232/CB185, 0)</f>
        <v>0</v>
      </c>
      <c r="CH232" s="177">
        <f ca="1">IFERROR(CC232/CC185, 0)</f>
        <v>0</v>
      </c>
      <c r="CO232" s="246">
        <f ca="1">SUM(CO228:CO231)</f>
        <v>0</v>
      </c>
      <c r="CP232" s="247">
        <f ca="1">SUM(CP228:CP231)</f>
        <v>0</v>
      </c>
      <c r="CQ232" s="247">
        <f ca="1">SUM(CQ228:CQ231)</f>
        <v>0</v>
      </c>
      <c r="CR232" s="359">
        <f t="shared" ca="1" si="242"/>
        <v>0</v>
      </c>
      <c r="CS232" s="360">
        <f t="shared" ca="1" si="242"/>
        <v>0</v>
      </c>
      <c r="CT232" s="360">
        <f t="shared" ca="1" si="242"/>
        <v>0</v>
      </c>
    </row>
    <row r="233" spans="2:98" ht="15" thickBot="1" x14ac:dyDescent="0.4"/>
    <row r="234" spans="2:98" ht="15" thickBot="1" x14ac:dyDescent="0.4">
      <c r="I234" s="21" t="s">
        <v>61</v>
      </c>
      <c r="J234" s="22"/>
      <c r="K234" s="22"/>
      <c r="L234" s="22"/>
      <c r="M234" s="22"/>
      <c r="N234" s="22"/>
      <c r="O234" s="22"/>
      <c r="P234" s="22"/>
      <c r="Q234" s="22"/>
      <c r="R234" s="23"/>
      <c r="S234" s="301"/>
      <c r="Z234" s="24" t="s">
        <v>61</v>
      </c>
      <c r="AA234" s="25"/>
      <c r="AB234" s="25"/>
      <c r="AC234" s="25"/>
      <c r="AD234" s="25"/>
      <c r="AE234" s="25"/>
      <c r="AF234" s="25"/>
      <c r="AG234" s="25"/>
      <c r="AH234" s="25"/>
      <c r="AI234" s="26"/>
      <c r="AQ234" s="354" t="s">
        <v>61</v>
      </c>
      <c r="AR234" s="29"/>
      <c r="AS234" s="29"/>
      <c r="AT234" s="29"/>
      <c r="AU234" s="29"/>
      <c r="AV234" s="29"/>
      <c r="AW234" s="29"/>
      <c r="AX234" s="29"/>
      <c r="AY234" s="29"/>
      <c r="AZ234" s="355"/>
      <c r="BH234" s="31" t="s">
        <v>61</v>
      </c>
      <c r="BI234" s="32"/>
      <c r="BJ234" s="32"/>
      <c r="BK234" s="32"/>
      <c r="BL234" s="32"/>
      <c r="BM234" s="32"/>
      <c r="BN234" s="32"/>
      <c r="BO234" s="32"/>
      <c r="BP234" s="32"/>
      <c r="BQ234" s="33"/>
      <c r="BY234" s="34" t="s">
        <v>61</v>
      </c>
      <c r="BZ234" s="35"/>
      <c r="CA234" s="35"/>
      <c r="CB234" s="35"/>
      <c r="CC234" s="35"/>
      <c r="CD234" s="35"/>
      <c r="CE234" s="35"/>
      <c r="CF234" s="35"/>
      <c r="CG234" s="35"/>
      <c r="CH234" s="36"/>
      <c r="CO234" s="196" t="s">
        <v>61</v>
      </c>
      <c r="CP234" s="197"/>
      <c r="CQ234" s="197"/>
      <c r="CR234" s="197"/>
      <c r="CS234" s="197"/>
      <c r="CT234" s="198"/>
    </row>
    <row r="235" spans="2:98" ht="15" thickBot="1" x14ac:dyDescent="0.4">
      <c r="H235" s="37"/>
      <c r="I235" s="302" t="s">
        <v>70</v>
      </c>
      <c r="J235" s="303"/>
      <c r="K235" s="303"/>
      <c r="L235" s="303"/>
      <c r="M235" s="304"/>
      <c r="N235" s="302" t="s">
        <v>71</v>
      </c>
      <c r="O235" s="303"/>
      <c r="P235" s="303"/>
      <c r="Q235" s="303"/>
      <c r="R235" s="304"/>
      <c r="Z235" s="41" t="s">
        <v>70</v>
      </c>
      <c r="AA235" s="42"/>
      <c r="AB235" s="42"/>
      <c r="AC235" s="42"/>
      <c r="AD235" s="43"/>
      <c r="AE235" s="41" t="s">
        <v>71</v>
      </c>
      <c r="AF235" s="42"/>
      <c r="AG235" s="42"/>
      <c r="AH235" s="42"/>
      <c r="AI235" s="43"/>
      <c r="AQ235" s="44" t="s">
        <v>70</v>
      </c>
      <c r="AR235" s="45"/>
      <c r="AS235" s="45"/>
      <c r="AT235" s="45"/>
      <c r="AU235" s="46"/>
      <c r="AV235" s="44" t="s">
        <v>71</v>
      </c>
      <c r="AW235" s="45"/>
      <c r="AX235" s="45"/>
      <c r="AY235" s="45"/>
      <c r="AZ235" s="46"/>
      <c r="BH235" s="305" t="s">
        <v>70</v>
      </c>
      <c r="BI235" s="306"/>
      <c r="BJ235" s="306"/>
      <c r="BK235" s="306"/>
      <c r="BL235" s="307"/>
      <c r="BM235" s="305" t="s">
        <v>71</v>
      </c>
      <c r="BN235" s="306"/>
      <c r="BO235" s="306"/>
      <c r="BP235" s="306"/>
      <c r="BQ235" s="307"/>
      <c r="BY235" s="305" t="s">
        <v>70</v>
      </c>
      <c r="BZ235" s="306"/>
      <c r="CA235" s="306"/>
      <c r="CB235" s="306"/>
      <c r="CC235" s="307"/>
      <c r="CD235" s="305" t="s">
        <v>71</v>
      </c>
      <c r="CE235" s="306"/>
      <c r="CF235" s="306"/>
      <c r="CG235" s="306"/>
      <c r="CH235" s="307"/>
      <c r="CO235" s="199" t="s">
        <v>38</v>
      </c>
      <c r="CP235" s="200"/>
      <c r="CQ235" s="200"/>
      <c r="CR235" s="200"/>
      <c r="CS235" s="200"/>
      <c r="CT235" s="201"/>
    </row>
    <row r="236" spans="2:98" ht="29.5" thickBot="1" x14ac:dyDescent="0.4">
      <c r="H236" s="55"/>
      <c r="I236" s="56" t="str">
        <f>[1]Tables!$AA$4</f>
        <v>07/27 - 06/28</v>
      </c>
      <c r="J236" s="55" t="str">
        <f>[1]Tables!$AA$5</f>
        <v>07/28 - 06/29</v>
      </c>
      <c r="K236" s="55" t="str">
        <f>[1]Tables!$AA$6</f>
        <v>07/29 - 06/30</v>
      </c>
      <c r="L236" s="55" t="str">
        <f>[1]Tables!$AA$7</f>
        <v>07/30 - 06/31</v>
      </c>
      <c r="M236" s="57" t="str">
        <f>[1]Tables!$AA$8</f>
        <v>07/31 - 06/32</v>
      </c>
      <c r="N236" s="56" t="str">
        <f>[1]Tables!$AA$4</f>
        <v>07/27 - 06/28</v>
      </c>
      <c r="O236" s="55" t="str">
        <f>[1]Tables!$AA$5</f>
        <v>07/28 - 06/29</v>
      </c>
      <c r="P236" s="55" t="str">
        <f>[1]Tables!$AA$6</f>
        <v>07/29 - 06/30</v>
      </c>
      <c r="Q236" s="55" t="str">
        <f>[1]Tables!$AA$7</f>
        <v>07/30 - 06/31</v>
      </c>
      <c r="R236" s="57" t="str">
        <f>[1]Tables!$AA$8</f>
        <v>07/31 - 06/32</v>
      </c>
      <c r="Y236" s="58"/>
      <c r="Z236" s="59" t="str">
        <f>[1]Tables!$AA$4</f>
        <v>07/27 - 06/28</v>
      </c>
      <c r="AA236" s="60" t="str">
        <f>[1]Tables!$AA$5</f>
        <v>07/28 - 06/29</v>
      </c>
      <c r="AB236" s="60" t="str">
        <f>[1]Tables!$AA$6</f>
        <v>07/29 - 06/30</v>
      </c>
      <c r="AC236" s="60" t="str">
        <f>[1]Tables!$AA$7</f>
        <v>07/30 - 06/31</v>
      </c>
      <c r="AD236" s="61" t="str">
        <f>[1]Tables!$AA$8</f>
        <v>07/31 - 06/32</v>
      </c>
      <c r="AE236" s="59" t="str">
        <f>[1]Tables!$AA$4</f>
        <v>07/27 - 06/28</v>
      </c>
      <c r="AF236" s="60" t="str">
        <f>[1]Tables!$AA$5</f>
        <v>07/28 - 06/29</v>
      </c>
      <c r="AG236" s="60" t="str">
        <f>[1]Tables!$AA$6</f>
        <v>07/29 - 06/30</v>
      </c>
      <c r="AH236" s="60" t="str">
        <f>[1]Tables!$AA$7</f>
        <v>07/30 - 06/31</v>
      </c>
      <c r="AI236" s="61" t="str">
        <f>[1]Tables!$AA$8</f>
        <v>07/31 - 06/32</v>
      </c>
      <c r="AP236" s="58"/>
      <c r="AQ236" s="62" t="str">
        <f>[1]Tables!$AA$4</f>
        <v>07/27 - 06/28</v>
      </c>
      <c r="AR236" s="63" t="str">
        <f>[1]Tables!$AA$5</f>
        <v>07/28 - 06/29</v>
      </c>
      <c r="AS236" s="63" t="str">
        <f>[1]Tables!$AA$6</f>
        <v>07/29 - 06/30</v>
      </c>
      <c r="AT236" s="63" t="str">
        <f>[1]Tables!$AA$7</f>
        <v>07/30 - 06/31</v>
      </c>
      <c r="AU236" s="64" t="str">
        <f>[1]Tables!$AA$8</f>
        <v>07/31 - 06/32</v>
      </c>
      <c r="AV236" s="62" t="str">
        <f>[1]Tables!$AA$4</f>
        <v>07/27 - 06/28</v>
      </c>
      <c r="AW236" s="63" t="str">
        <f>[1]Tables!$AA$5</f>
        <v>07/28 - 06/29</v>
      </c>
      <c r="AX236" s="63" t="str">
        <f>[1]Tables!$AA$6</f>
        <v>07/29 - 06/30</v>
      </c>
      <c r="AY236" s="63" t="str">
        <f>[1]Tables!$AA$7</f>
        <v>07/30 - 06/31</v>
      </c>
      <c r="AZ236" s="64" t="str">
        <f>[1]Tables!$AA$8</f>
        <v>07/31 - 06/32</v>
      </c>
      <c r="BG236" s="58"/>
      <c r="BH236" s="65" t="str">
        <f>[1]Tables!$AA$4</f>
        <v>07/27 - 06/28</v>
      </c>
      <c r="BI236" s="66" t="str">
        <f>[1]Tables!$AA$5</f>
        <v>07/28 - 06/29</v>
      </c>
      <c r="BJ236" s="66" t="str">
        <f>[1]Tables!$AA$6</f>
        <v>07/29 - 06/30</v>
      </c>
      <c r="BK236" s="66" t="str">
        <f>[1]Tables!$AA$7</f>
        <v>07/30 - 06/31</v>
      </c>
      <c r="BL236" s="67" t="str">
        <f>[1]Tables!$AA$8</f>
        <v>07/31 - 06/32</v>
      </c>
      <c r="BM236" s="65" t="str">
        <f>[1]Tables!$AA$4</f>
        <v>07/27 - 06/28</v>
      </c>
      <c r="BN236" s="66" t="str">
        <f>[1]Tables!$AA$5</f>
        <v>07/28 - 06/29</v>
      </c>
      <c r="BO236" s="66" t="str">
        <f>[1]Tables!$AA$6</f>
        <v>07/29 - 06/30</v>
      </c>
      <c r="BP236" s="66" t="str">
        <f>[1]Tables!$AA$7</f>
        <v>07/30 - 06/31</v>
      </c>
      <c r="BQ236" s="67" t="str">
        <f>[1]Tables!$AA$8</f>
        <v>07/31 - 06/32</v>
      </c>
      <c r="BX236" s="58"/>
      <c r="BY236" s="65" t="str">
        <f>[1]Tables!$AA$4</f>
        <v>07/27 - 06/28</v>
      </c>
      <c r="BZ236" s="66" t="str">
        <f>[1]Tables!$AA$5</f>
        <v>07/28 - 06/29</v>
      </c>
      <c r="CA236" s="66" t="str">
        <f>[1]Tables!$AA$6</f>
        <v>07/29 - 06/30</v>
      </c>
      <c r="CB236" s="66" t="str">
        <f>[1]Tables!$AA$7</f>
        <v>07/30 - 06/31</v>
      </c>
      <c r="CC236" s="67" t="str">
        <f>[1]Tables!$AA$8</f>
        <v>07/31 - 06/32</v>
      </c>
      <c r="CD236" s="65" t="str">
        <f>[1]Tables!$AA$4</f>
        <v>07/27 - 06/28</v>
      </c>
      <c r="CE236" s="66" t="str">
        <f>[1]Tables!$AA$5</f>
        <v>07/28 - 06/29</v>
      </c>
      <c r="CF236" s="66" t="str">
        <f>[1]Tables!$AA$6</f>
        <v>07/29 - 06/30</v>
      </c>
      <c r="CG236" s="66" t="str">
        <f>[1]Tables!$AA$7</f>
        <v>07/30 - 06/31</v>
      </c>
      <c r="CH236" s="67" t="str">
        <f>[1]Tables!$AA$8</f>
        <v>07/31 - 06/32</v>
      </c>
      <c r="CO236" s="65" t="s">
        <v>70</v>
      </c>
      <c r="CP236" s="66" t="s">
        <v>72</v>
      </c>
      <c r="CQ236" s="202" t="s">
        <v>18</v>
      </c>
      <c r="CR236" s="65" t="s">
        <v>71</v>
      </c>
      <c r="CS236" s="66" t="s">
        <v>73</v>
      </c>
      <c r="CT236" s="202" t="s">
        <v>44</v>
      </c>
    </row>
    <row r="237" spans="2:98" x14ac:dyDescent="0.35">
      <c r="B237" s="68" t="s">
        <v>11</v>
      </c>
      <c r="C237" s="69">
        <v>30</v>
      </c>
      <c r="D237" s="69" t="s">
        <v>12</v>
      </c>
      <c r="E237" s="70" t="s">
        <v>12</v>
      </c>
      <c r="F237" s="106">
        <v>1</v>
      </c>
      <c r="H237" s="71" t="s">
        <v>14</v>
      </c>
      <c r="I237" s="72" t="e" cm="1">
        <f t="array" aca="1" ref="I237" ca="1">SUMIFS(rng_out_awp_pre_yr1, rng_out_GB_Medispan, "G", rng_out_mail_ind, $B237, rng_out_ds, $C237, rng_out_sel_sp_ind, $D237) - I341</f>
        <v>#VALUE!</v>
      </c>
      <c r="J237" s="5" t="e" cm="1">
        <f t="array" aca="1" ref="J237" ca="1">SUMIFS(rng_out_awp_pre_yr2, rng_out_GB_Medispan, "G", rng_out_mail_ind, $B237, rng_out_ds, $C237, rng_out_sel_sp_ind, $D237) - J341</f>
        <v>#VALUE!</v>
      </c>
      <c r="K237" s="5" t="e" cm="1">
        <f t="array" aca="1" ref="K237" ca="1">SUMIFS(rng_out_awp_pre_yr3, rng_out_GB_Medispan, "G", rng_out_mail_ind, $B237, rng_out_ds, $C237, rng_out_sel_sp_ind, $D237) - K341</f>
        <v>#VALUE!</v>
      </c>
      <c r="L237" s="5" t="e" cm="1">
        <f t="array" aca="1" ref="L237" ca="1">SUMIFS(rng_out_awp_pre_yr4, rng_out_GB_Medispan, "G", rng_out_mail_ind, $B237, rng_out_ds, $C237, rng_out_sel_sp_ind, $D237) - L341</f>
        <v>#VALUE!</v>
      </c>
      <c r="M237" s="73" t="e" cm="1">
        <f t="array" aca="1" ref="M237" ca="1">SUMIFS(rng_out_awp_pre_yr5, rng_out_GB_Medispan, "G", rng_out_mail_ind, $B237, rng_out_ds, $C237, rng_out_sel_sp_ind, $D237) - M341</f>
        <v>#VALUE!</v>
      </c>
      <c r="N237" s="74">
        <f t="shared" ref="N237:R241" ca="1" si="243">IFERROR(I237/I190, 0)</f>
        <v>0</v>
      </c>
      <c r="O237" s="75">
        <f t="shared" ca="1" si="243"/>
        <v>0</v>
      </c>
      <c r="P237" s="75">
        <f t="shared" ca="1" si="243"/>
        <v>0</v>
      </c>
      <c r="Q237" s="75">
        <f t="shared" ca="1" si="243"/>
        <v>0</v>
      </c>
      <c r="R237" s="76">
        <f t="shared" ca="1" si="243"/>
        <v>0</v>
      </c>
      <c r="Y237" s="77" t="s">
        <v>14</v>
      </c>
      <c r="Z237" s="78">
        <f ca="1">IFERROR(I237/[1]Tables!$AT$4, 0)</f>
        <v>0</v>
      </c>
      <c r="AA237" s="79">
        <f ca="1">IFERROR(J237/[1]Tables!$AT$4, 0)</f>
        <v>0</v>
      </c>
      <c r="AB237" s="79">
        <f ca="1">IFERROR(K237/[1]Tables!$AT$4, 0)</f>
        <v>0</v>
      </c>
      <c r="AC237" s="79">
        <f ca="1">IFERROR(L237/[1]Tables!$AT$4, 0)</f>
        <v>0</v>
      </c>
      <c r="AD237" s="80">
        <f ca="1">IFERROR(M237/[1]Tables!$AT$4, 0)</f>
        <v>0</v>
      </c>
      <c r="AE237" s="81">
        <f t="shared" ref="AE237:AI241" ca="1" si="244">IFERROR(Z237/Z190, 0)</f>
        <v>0</v>
      </c>
      <c r="AF237" s="75">
        <f t="shared" ca="1" si="244"/>
        <v>0</v>
      </c>
      <c r="AG237" s="75">
        <f t="shared" ca="1" si="244"/>
        <v>0</v>
      </c>
      <c r="AH237" s="75">
        <f t="shared" ca="1" si="244"/>
        <v>0</v>
      </c>
      <c r="AI237" s="82">
        <f t="shared" ca="1" si="244"/>
        <v>0</v>
      </c>
      <c r="AP237" s="83" t="s">
        <v>14</v>
      </c>
      <c r="AQ237" s="356" cm="1">
        <f t="array" aca="1" ref="AQ237" ca="1">IFERROR(IF(OR(input_Shift="No", [1]Tables!$BN$4=1), 0, SUMIFS(rng_out_awp_post_yr1, rng_out_mail_ind, $B237, rng_out_GB_Medispan, "B", rng_out_ds, $C237, rng_out_sel_sp_ind, $D237, rng_out_MSB_excl, $F237) * ((1-[1]Tables!$BN$4)/[1]Tables!$BN$4) * [1]Tables!$BN$5)/[1]Tables!$AT$4, 0) - AQ341 + IFERROR(SUMIFS(rng_out_awp_post_yr1, rng_out_GB_Medispan, "G", rng_out_mail_ind, $B237, rng_out_ds, $C237, rng_out_sel_sp_ind, $D237)/[1]Tables!$AT$4, 0)</f>
        <v>0</v>
      </c>
      <c r="AR237" s="5" cm="1">
        <f t="array" aca="1" ref="AR237" ca="1">IFERROR(IF(OR(input_Shift="No", [1]Tables!$BN$4=1), 0, SUMIFS(rng_out_awp_post_yr2, rng_out_mail_ind, $B237, rng_out_GB_Medispan, "B", rng_out_ds, $C237, rng_out_sel_sp_ind, $D237, rng_out_MSB_excl, $F237) * ((1-[1]Tables!$BN$4)/[1]Tables!$BN$4) * [1]Tables!$BN$5)/[1]Tables!$AT$4, 0) - AR341 + IFERROR(SUMIFS(rng_out_awp_post_yr2, rng_out_GB_Medispan, "G", rng_out_mail_ind, $B237, rng_out_ds, $C237, rng_out_sel_sp_ind, $D237)/[1]Tables!$AT$4, 0)</f>
        <v>0</v>
      </c>
      <c r="AS237" s="5" cm="1">
        <f t="array" aca="1" ref="AS237" ca="1">IFERROR(IF(OR(input_Shift="No", [1]Tables!$BN$4=1), 0, SUMIFS(rng_out_awp_post_yr3, rng_out_mail_ind, $B237, rng_out_GB_Medispan, "B", rng_out_ds, $C237, rng_out_sel_sp_ind, $D237, rng_out_MSB_excl, $F237) * ((1-[1]Tables!$BN$4)/[1]Tables!$BN$4) * [1]Tables!$BN$5)/[1]Tables!$AT$4, 0) - AS341 + IFERROR(SUMIFS(rng_out_awp_post_yr3, rng_out_GB_Medispan, "G", rng_out_mail_ind, $B237, rng_out_ds, $C237, rng_out_sel_sp_ind, $D237)/[1]Tables!$AT$4, 0)</f>
        <v>0</v>
      </c>
      <c r="AT237" s="5" cm="1">
        <f t="array" aca="1" ref="AT237" ca="1">IFERROR(IF(OR(input_Shift="No", [1]Tables!$BN$4=1), 0, SUMIFS(rng_out_awp_post_yr4, rng_out_mail_ind, $B237, rng_out_GB_Medispan, "B", rng_out_ds, $C237, rng_out_sel_sp_ind, $D237, rng_out_MSB_excl, $F237) * ((1-[1]Tables!$BN$4)/[1]Tables!$BN$4) * [1]Tables!$BN$5)/[1]Tables!$AT$4, 0) - AT341 + IFERROR(SUMIFS(rng_out_awp_post_yr4, rng_out_GB_Medispan, "G", rng_out_mail_ind, $B237, rng_out_ds, $C237, rng_out_sel_sp_ind, $D237)/[1]Tables!$AT$4, 0)</f>
        <v>0</v>
      </c>
      <c r="AU237" s="85" cm="1">
        <f t="array" aca="1" ref="AU237" ca="1">IFERROR(IF(OR(input_Shift="No", [1]Tables!$BN$4=1), 0, SUMIFS(rng_out_awp_post_yr5, rng_out_mail_ind, $B237, rng_out_GB_Medispan, "B", rng_out_ds, $C237, rng_out_sel_sp_ind, $D237, rng_out_MSB_excl, $F237) * ((1-[1]Tables!$BN$4)/[1]Tables!$BN$4) * [1]Tables!$BN$5)/[1]Tables!$AT$4, 0) - AU341 + IFERROR(SUMIFS(rng_out_awp_post_yr5, rng_out_GB_Medispan, "G", rng_out_mail_ind, $B237, rng_out_ds, $C237, rng_out_sel_sp_ind, $D237)/[1]Tables!$AT$4, 0)</f>
        <v>0</v>
      </c>
      <c r="AV237" s="86">
        <f t="shared" ref="AV237:AZ241" ca="1" si="245">IFERROR(AQ237/AQ190, 0)</f>
        <v>0</v>
      </c>
      <c r="AW237" s="75">
        <f t="shared" ca="1" si="245"/>
        <v>0</v>
      </c>
      <c r="AX237" s="75">
        <f t="shared" ca="1" si="245"/>
        <v>0</v>
      </c>
      <c r="AY237" s="75">
        <f t="shared" ca="1" si="245"/>
        <v>0</v>
      </c>
      <c r="AZ237" s="87">
        <f t="shared" ca="1" si="245"/>
        <v>0</v>
      </c>
      <c r="BG237" s="88" t="s">
        <v>14</v>
      </c>
      <c r="BH237" s="97">
        <f t="shared" ref="BH237:BL240" ca="1" si="246">AQ237</f>
        <v>0</v>
      </c>
      <c r="BI237" s="79">
        <f t="shared" ca="1" si="246"/>
        <v>0</v>
      </c>
      <c r="BJ237" s="79">
        <f t="shared" ca="1" si="246"/>
        <v>0</v>
      </c>
      <c r="BK237" s="79">
        <f t="shared" ca="1" si="246"/>
        <v>0</v>
      </c>
      <c r="BL237" s="98">
        <f t="shared" ca="1" si="246"/>
        <v>0</v>
      </c>
      <c r="BM237" s="92">
        <f t="shared" ref="BM237:BQ241" ca="1" si="247">IFERROR(BH237/BH190, 0)</f>
        <v>0</v>
      </c>
      <c r="BN237" s="75">
        <f t="shared" ca="1" si="247"/>
        <v>0</v>
      </c>
      <c r="BO237" s="75">
        <f t="shared" ca="1" si="247"/>
        <v>0</v>
      </c>
      <c r="BP237" s="75">
        <f t="shared" ca="1" si="247"/>
        <v>0</v>
      </c>
      <c r="BQ237" s="93">
        <f t="shared" ca="1" si="247"/>
        <v>0</v>
      </c>
      <c r="BX237" s="88" t="s">
        <v>14</v>
      </c>
      <c r="BY237" s="97" t="e">
        <f t="shared" ref="BY237:CC240" ca="1" si="248">CD237*BY190</f>
        <v>#VALUE!</v>
      </c>
      <c r="BZ237" s="79" t="e">
        <f t="shared" ca="1" si="248"/>
        <v>#VALUE!</v>
      </c>
      <c r="CA237" s="79" t="e">
        <f t="shared" ca="1" si="248"/>
        <v>#VALUE!</v>
      </c>
      <c r="CB237" s="79" t="e">
        <f t="shared" ca="1" si="248"/>
        <v>#VALUE!</v>
      </c>
      <c r="CC237" s="98" t="e">
        <f t="shared" ca="1" si="248"/>
        <v>#VALUE!</v>
      </c>
      <c r="CD237" s="92">
        <f t="shared" ref="CD237:CH240" ca="1" si="249">BM237</f>
        <v>0</v>
      </c>
      <c r="CE237" s="75">
        <f t="shared" ca="1" si="249"/>
        <v>0</v>
      </c>
      <c r="CF237" s="75">
        <f t="shared" ca="1" si="249"/>
        <v>0</v>
      </c>
      <c r="CG237" s="75">
        <f t="shared" ca="1" si="249"/>
        <v>0</v>
      </c>
      <c r="CH237" s="93">
        <f t="shared" ca="1" si="249"/>
        <v>0</v>
      </c>
      <c r="CO237" s="215" cm="1">
        <f t="array" aca="1" ref="CO237" ca="1">_xlfn.SINGLE(IFERROR(SUMIFS(rng_out_awp_base, rng_out_GB_Medispan, "G", rng_out_mail_ind, $B237, rng_out_ds, $C237, rng_out_sel_sp_ind, $D237, rng_out_sel_excl_ind,$E237)/[1]Tables!$AT$4, 0))</f>
        <v>0</v>
      </c>
      <c r="CP237" s="217" cm="1">
        <f t="array" aca="1" ref="CP237" ca="1">_xlfn.SINGLE(IFERROR(SUMIFS(rng_out_awp_base, rng_out_GB_Medispan, "B", rng_out_mail_ind, $B237, rng_out_ds, $C237, rng_out_sel_sp_ind, $D237, rng_out_sel_excl_ind,$E237)/[1]Tables!$AT$4, 0))</f>
        <v>0</v>
      </c>
      <c r="CQ237" s="218">
        <f ca="1">SUM(CO237:CP237)</f>
        <v>0</v>
      </c>
      <c r="CR237" s="94">
        <f t="shared" ref="CR237:CT241" ca="1" si="250">IFERROR(CO237/CO190, 0)</f>
        <v>0</v>
      </c>
      <c r="CS237" s="96">
        <f t="shared" ca="1" si="250"/>
        <v>0</v>
      </c>
      <c r="CT237" s="357">
        <f t="shared" ca="1" si="250"/>
        <v>0</v>
      </c>
    </row>
    <row r="238" spans="2:98" x14ac:dyDescent="0.35">
      <c r="B238" s="105" t="s">
        <v>11</v>
      </c>
      <c r="C238" s="106">
        <v>90</v>
      </c>
      <c r="D238" s="106" t="s">
        <v>12</v>
      </c>
      <c r="E238" s="107" t="s">
        <v>12</v>
      </c>
      <c r="F238" s="106">
        <v>1</v>
      </c>
      <c r="H238" s="108" t="s">
        <v>15</v>
      </c>
      <c r="I238" s="72" t="e" cm="1">
        <f t="array" aca="1" ref="I238" ca="1">SUMIFS(rng_out_awp_pre_yr1, rng_out_GB_Medispan, "G", rng_out_mail_ind, $B238, rng_out_ds, $C238, rng_out_sel_sp_ind, $D238) - I342</f>
        <v>#VALUE!</v>
      </c>
      <c r="J238" s="5" t="e" cm="1">
        <f t="array" aca="1" ref="J238" ca="1">SUMIFS(rng_out_awp_pre_yr2, rng_out_GB_Medispan, "G", rng_out_mail_ind, $B238, rng_out_ds, $C238, rng_out_sel_sp_ind, $D238) - J342</f>
        <v>#VALUE!</v>
      </c>
      <c r="K238" s="5" t="e" cm="1">
        <f t="array" aca="1" ref="K238" ca="1">SUMIFS(rng_out_awp_pre_yr3, rng_out_GB_Medispan, "G", rng_out_mail_ind, $B238, rng_out_ds, $C238, rng_out_sel_sp_ind, $D238) - K342</f>
        <v>#VALUE!</v>
      </c>
      <c r="L238" s="5" t="e" cm="1">
        <f t="array" aca="1" ref="L238" ca="1">SUMIFS(rng_out_awp_pre_yr4, rng_out_GB_Medispan, "G", rng_out_mail_ind, $B238, rng_out_ds, $C238, rng_out_sel_sp_ind, $D238) - L342</f>
        <v>#VALUE!</v>
      </c>
      <c r="M238" s="73" t="e" cm="1">
        <f t="array" aca="1" ref="M238" ca="1">SUMIFS(rng_out_awp_pre_yr5, rng_out_GB_Medispan, "G", rng_out_mail_ind, $B238, rng_out_ds, $C238, rng_out_sel_sp_ind, $D238) - M342</f>
        <v>#VALUE!</v>
      </c>
      <c r="N238" s="74">
        <f t="shared" ca="1" si="243"/>
        <v>0</v>
      </c>
      <c r="O238" s="75">
        <f t="shared" ca="1" si="243"/>
        <v>0</v>
      </c>
      <c r="P238" s="75">
        <f t="shared" ca="1" si="243"/>
        <v>0</v>
      </c>
      <c r="Q238" s="75">
        <f t="shared" ca="1" si="243"/>
        <v>0</v>
      </c>
      <c r="R238" s="76">
        <f t="shared" ca="1" si="243"/>
        <v>0</v>
      </c>
      <c r="Y238" s="109" t="s">
        <v>15</v>
      </c>
      <c r="Z238" s="78">
        <f ca="1">IFERROR(I238/[1]Tables!$AT$4, 0)</f>
        <v>0</v>
      </c>
      <c r="AA238" s="79">
        <f ca="1">IFERROR(J238/[1]Tables!$AT$4, 0)</f>
        <v>0</v>
      </c>
      <c r="AB238" s="79">
        <f ca="1">IFERROR(K238/[1]Tables!$AT$4, 0)</f>
        <v>0</v>
      </c>
      <c r="AC238" s="79">
        <f ca="1">IFERROR(L238/[1]Tables!$AT$4, 0)</f>
        <v>0</v>
      </c>
      <c r="AD238" s="80">
        <f ca="1">IFERROR(M238/[1]Tables!$AT$4, 0)</f>
        <v>0</v>
      </c>
      <c r="AE238" s="81">
        <f t="shared" ca="1" si="244"/>
        <v>0</v>
      </c>
      <c r="AF238" s="75">
        <f t="shared" ca="1" si="244"/>
        <v>0</v>
      </c>
      <c r="AG238" s="75">
        <f t="shared" ca="1" si="244"/>
        <v>0</v>
      </c>
      <c r="AH238" s="75">
        <f t="shared" ca="1" si="244"/>
        <v>0</v>
      </c>
      <c r="AI238" s="82">
        <f t="shared" ca="1" si="244"/>
        <v>0</v>
      </c>
      <c r="AP238" s="110" t="s">
        <v>15</v>
      </c>
      <c r="AQ238" s="356" cm="1">
        <f t="array" aca="1" ref="AQ238" ca="1">IFERROR(IF(OR(input_Shift="No", [1]Tables!$BN$4=1), 0, SUMIFS(rng_out_awp_post_yr1, rng_out_mail_ind, $B238, rng_out_GB_Medispan, "B", rng_out_ds, $C238, rng_out_sel_sp_ind, $D238, rng_out_MSB_excl, $F238) * ((1-[1]Tables!$BN$4)/[1]Tables!$BN$4) * [1]Tables!$BN$5)/[1]Tables!$AT$4, 0) - AQ342 + IFERROR(SUMIFS(rng_out_awp_post_yr1, rng_out_GB_Medispan, "G", rng_out_mail_ind, $B238, rng_out_ds, $C238, rng_out_sel_sp_ind, $D238)/[1]Tables!$AT$4, 0)</f>
        <v>0</v>
      </c>
      <c r="AR238" s="5" cm="1">
        <f t="array" aca="1" ref="AR238" ca="1">IFERROR(IF(OR(input_Shift="No", [1]Tables!$BN$4=1), 0, SUMIFS(rng_out_awp_post_yr2, rng_out_mail_ind, $B238, rng_out_GB_Medispan, "B", rng_out_ds, $C238, rng_out_sel_sp_ind, $D238, rng_out_MSB_excl, $F238) * ((1-[1]Tables!$BN$4)/[1]Tables!$BN$4) * [1]Tables!$BN$5)/[1]Tables!$AT$4, 0) - AR342 + IFERROR(SUMIFS(rng_out_awp_post_yr2, rng_out_GB_Medispan, "G", rng_out_mail_ind, $B238, rng_out_ds, $C238, rng_out_sel_sp_ind, $D238)/[1]Tables!$AT$4, 0)</f>
        <v>0</v>
      </c>
      <c r="AS238" s="5" cm="1">
        <f t="array" aca="1" ref="AS238" ca="1">IFERROR(IF(OR(input_Shift="No", [1]Tables!$BN$4=1), 0, SUMIFS(rng_out_awp_post_yr3, rng_out_mail_ind, $B238, rng_out_GB_Medispan, "B", rng_out_ds, $C238, rng_out_sel_sp_ind, $D238, rng_out_MSB_excl, $F238) * ((1-[1]Tables!$BN$4)/[1]Tables!$BN$4) * [1]Tables!$BN$5)/[1]Tables!$AT$4, 0) - AS342 + IFERROR(SUMIFS(rng_out_awp_post_yr3, rng_out_GB_Medispan, "G", rng_out_mail_ind, $B238, rng_out_ds, $C238, rng_out_sel_sp_ind, $D238)/[1]Tables!$AT$4, 0)</f>
        <v>0</v>
      </c>
      <c r="AT238" s="5" cm="1">
        <f t="array" aca="1" ref="AT238" ca="1">IFERROR(IF(OR(input_Shift="No", [1]Tables!$BN$4=1), 0, SUMIFS(rng_out_awp_post_yr4, rng_out_mail_ind, $B238, rng_out_GB_Medispan, "B", rng_out_ds, $C238, rng_out_sel_sp_ind, $D238, rng_out_MSB_excl, $F238) * ((1-[1]Tables!$BN$4)/[1]Tables!$BN$4) * [1]Tables!$BN$5)/[1]Tables!$AT$4, 0) - AT342 + IFERROR(SUMIFS(rng_out_awp_post_yr4, rng_out_GB_Medispan, "G", rng_out_mail_ind, $B238, rng_out_ds, $C238, rng_out_sel_sp_ind, $D238)/[1]Tables!$AT$4, 0)</f>
        <v>0</v>
      </c>
      <c r="AU238" s="85" cm="1">
        <f t="array" aca="1" ref="AU238" ca="1">IFERROR(IF(OR(input_Shift="No", [1]Tables!$BN$4=1), 0, SUMIFS(rng_out_awp_post_yr5, rng_out_mail_ind, $B238, rng_out_GB_Medispan, "B", rng_out_ds, $C238, rng_out_sel_sp_ind, $D238, rng_out_MSB_excl, $F238) * ((1-[1]Tables!$BN$4)/[1]Tables!$BN$4) * [1]Tables!$BN$5)/[1]Tables!$AT$4, 0) - AU342 + IFERROR(SUMIFS(rng_out_awp_post_yr5, rng_out_GB_Medispan, "G", rng_out_mail_ind, $B238, rng_out_ds, $C238, rng_out_sel_sp_ind, $D238)/[1]Tables!$AT$4, 0)</f>
        <v>0</v>
      </c>
      <c r="AV238" s="86">
        <f t="shared" ca="1" si="245"/>
        <v>0</v>
      </c>
      <c r="AW238" s="75">
        <f t="shared" ca="1" si="245"/>
        <v>0</v>
      </c>
      <c r="AX238" s="75">
        <f t="shared" ca="1" si="245"/>
        <v>0</v>
      </c>
      <c r="AY238" s="75">
        <f t="shared" ca="1" si="245"/>
        <v>0</v>
      </c>
      <c r="AZ238" s="87">
        <f t="shared" ca="1" si="245"/>
        <v>0</v>
      </c>
      <c r="BG238" s="111" t="s">
        <v>15</v>
      </c>
      <c r="BH238" s="97">
        <f t="shared" ca="1" si="246"/>
        <v>0</v>
      </c>
      <c r="BI238" s="79">
        <f t="shared" ca="1" si="246"/>
        <v>0</v>
      </c>
      <c r="BJ238" s="79">
        <f t="shared" ca="1" si="246"/>
        <v>0</v>
      </c>
      <c r="BK238" s="79">
        <f t="shared" ca="1" si="246"/>
        <v>0</v>
      </c>
      <c r="BL238" s="98">
        <f t="shared" ca="1" si="246"/>
        <v>0</v>
      </c>
      <c r="BM238" s="92">
        <f t="shared" ca="1" si="247"/>
        <v>0</v>
      </c>
      <c r="BN238" s="75">
        <f t="shared" ca="1" si="247"/>
        <v>0</v>
      </c>
      <c r="BO238" s="75">
        <f t="shared" ca="1" si="247"/>
        <v>0</v>
      </c>
      <c r="BP238" s="75">
        <f t="shared" ca="1" si="247"/>
        <v>0</v>
      </c>
      <c r="BQ238" s="93">
        <f t="shared" ca="1" si="247"/>
        <v>0</v>
      </c>
      <c r="BX238" s="111" t="s">
        <v>15</v>
      </c>
      <c r="BY238" s="97" t="e">
        <f t="shared" ca="1" si="248"/>
        <v>#VALUE!</v>
      </c>
      <c r="BZ238" s="79" t="e">
        <f t="shared" ca="1" si="248"/>
        <v>#VALUE!</v>
      </c>
      <c r="CA238" s="79" t="e">
        <f t="shared" ca="1" si="248"/>
        <v>#VALUE!</v>
      </c>
      <c r="CB238" s="79" t="e">
        <f t="shared" ca="1" si="248"/>
        <v>#VALUE!</v>
      </c>
      <c r="CC238" s="98" t="e">
        <f t="shared" ca="1" si="248"/>
        <v>#VALUE!</v>
      </c>
      <c r="CD238" s="92">
        <f t="shared" ca="1" si="249"/>
        <v>0</v>
      </c>
      <c r="CE238" s="75">
        <f t="shared" ca="1" si="249"/>
        <v>0</v>
      </c>
      <c r="CF238" s="75">
        <f t="shared" ca="1" si="249"/>
        <v>0</v>
      </c>
      <c r="CG238" s="75">
        <f t="shared" ca="1" si="249"/>
        <v>0</v>
      </c>
      <c r="CH238" s="93">
        <f t="shared" ca="1" si="249"/>
        <v>0</v>
      </c>
      <c r="CO238" s="213" cm="1">
        <f t="array" aca="1" ref="CO238" ca="1">_xlfn.SINGLE(IFERROR(SUMIFS(rng_out_awp_base, rng_out_GB_Medispan, "G", rng_out_mail_ind, $B238, rng_out_ds, $C238, rng_out_sel_sp_ind, $D238, rng_out_sel_excl_ind,$E238)/[1]Tables!$AT$4, 0))</f>
        <v>0</v>
      </c>
      <c r="CP238" s="214" cm="1">
        <f t="array" aca="1" ref="CP238" ca="1">_xlfn.SINGLE(IFERROR(SUMIFS(rng_out_awp_base, rng_out_GB_Medispan, "B", rng_out_mail_ind, $B238, rng_out_ds, $C238, rng_out_sel_sp_ind, $D238, rng_out_sel_excl_ind,$E238)/[1]Tables!$AT$4, 0))</f>
        <v>0</v>
      </c>
      <c r="CQ238" s="220">
        <f ca="1">SUM(CO238:CP238)</f>
        <v>0</v>
      </c>
      <c r="CR238" s="92">
        <f t="shared" ca="1" si="250"/>
        <v>0</v>
      </c>
      <c r="CS238" s="93">
        <f t="shared" ca="1" si="250"/>
        <v>0</v>
      </c>
      <c r="CT238" s="358">
        <f t="shared" ca="1" si="250"/>
        <v>0</v>
      </c>
    </row>
    <row r="239" spans="2:98" x14ac:dyDescent="0.35">
      <c r="B239" s="105" t="s">
        <v>16</v>
      </c>
      <c r="C239" s="106"/>
      <c r="D239" s="106" t="s">
        <v>12</v>
      </c>
      <c r="E239" s="107" t="s">
        <v>12</v>
      </c>
      <c r="F239" s="106">
        <v>1</v>
      </c>
      <c r="H239" s="118" t="s">
        <v>7</v>
      </c>
      <c r="I239" s="72" t="e" cm="1">
        <f t="array" aca="1" ref="I239" ca="1">SUMIFS(rng_out_awp_pre_yr1, rng_out_GB_Medispan, "G", rng_out_mail_ind, $B239, rng_out_sel_sp_ind, $D239) - I343</f>
        <v>#VALUE!</v>
      </c>
      <c r="J239" s="5" t="e" cm="1">
        <f t="array" aca="1" ref="J239" ca="1">SUMIFS(rng_out_awp_pre_yr2, rng_out_GB_Medispan, "G", rng_out_mail_ind, $B239, rng_out_sel_sp_ind, $D239) - J343</f>
        <v>#VALUE!</v>
      </c>
      <c r="K239" s="5" t="e" cm="1">
        <f t="array" aca="1" ref="K239" ca="1">SUMIFS(rng_out_awp_pre_yr3, rng_out_GB_Medispan, "G", rng_out_mail_ind, $B239, rng_out_sel_sp_ind, $D239) - K343</f>
        <v>#VALUE!</v>
      </c>
      <c r="L239" s="5" t="e" cm="1">
        <f t="array" aca="1" ref="L239" ca="1">SUMIFS(rng_out_awp_pre_yr4, rng_out_GB_Medispan, "G", rng_out_mail_ind, $B239, rng_out_sel_sp_ind, $D239) - L343</f>
        <v>#VALUE!</v>
      </c>
      <c r="M239" s="73" t="e" cm="1">
        <f t="array" aca="1" ref="M239" ca="1">SUMIFS(rng_out_awp_pre_yr5, rng_out_GB_Medispan, "G", rng_out_mail_ind, $B239, rng_out_sel_sp_ind, $D239) - M343</f>
        <v>#VALUE!</v>
      </c>
      <c r="N239" s="74">
        <f t="shared" ca="1" si="243"/>
        <v>0</v>
      </c>
      <c r="O239" s="75">
        <f t="shared" ca="1" si="243"/>
        <v>0</v>
      </c>
      <c r="P239" s="75">
        <f t="shared" ca="1" si="243"/>
        <v>0</v>
      </c>
      <c r="Q239" s="75">
        <f t="shared" ca="1" si="243"/>
        <v>0</v>
      </c>
      <c r="R239" s="76">
        <f t="shared" ca="1" si="243"/>
        <v>0</v>
      </c>
      <c r="Y239" s="119" t="s">
        <v>7</v>
      </c>
      <c r="Z239" s="78">
        <f ca="1">IFERROR(I239/[1]Tables!$AT$4, 0)</f>
        <v>0</v>
      </c>
      <c r="AA239" s="79">
        <f ca="1">IFERROR(J239/[1]Tables!$AT$4, 0)</f>
        <v>0</v>
      </c>
      <c r="AB239" s="79">
        <f ca="1">IFERROR(K239/[1]Tables!$AT$4, 0)</f>
        <v>0</v>
      </c>
      <c r="AC239" s="79">
        <f ca="1">IFERROR(L239/[1]Tables!$AT$4, 0)</f>
        <v>0</v>
      </c>
      <c r="AD239" s="80">
        <f ca="1">IFERROR(M239/[1]Tables!$AT$4, 0)</f>
        <v>0</v>
      </c>
      <c r="AE239" s="81">
        <f t="shared" ca="1" si="244"/>
        <v>0</v>
      </c>
      <c r="AF239" s="75">
        <f t="shared" ca="1" si="244"/>
        <v>0</v>
      </c>
      <c r="AG239" s="75">
        <f t="shared" ca="1" si="244"/>
        <v>0</v>
      </c>
      <c r="AH239" s="75">
        <f t="shared" ca="1" si="244"/>
        <v>0</v>
      </c>
      <c r="AI239" s="82">
        <f t="shared" ca="1" si="244"/>
        <v>0</v>
      </c>
      <c r="AP239" s="120" t="s">
        <v>7</v>
      </c>
      <c r="AQ239" s="356" cm="1">
        <f t="array" aca="1" ref="AQ239" ca="1">IFERROR(IF(OR(input_Shift="No", [1]Tables!$BN$4=1), 0, SUMIFS(rng_out_awp_post_yr1, rng_out_mail_ind, $B239, rng_out_GB_Medispan, "B", rng_out_sel_sp_ind, $D239, rng_out_MSB_excl, $F239) * ((1-[1]Tables!$BN$4)/[1]Tables!$BN$4) * [1]Tables!$BN$5)/[1]Tables!$AT$4, 0) - AQ343 + IFERROR(SUMIFS(rng_out_awp_post_yr1, rng_out_GB_Medispan, "G", rng_out_mail_ind, $B239, rng_out_sel_sp_ind, $D239)/[1]Tables!$AT$4, 0)</f>
        <v>0</v>
      </c>
      <c r="AR239" s="5" cm="1">
        <f t="array" aca="1" ref="AR239" ca="1">IFERROR(IF(OR(input_Shift="No", [1]Tables!$BN$4=1), 0, SUMIFS(rng_out_awp_post_yr2, rng_out_mail_ind, $B239, rng_out_GB_Medispan, "B", rng_out_sel_sp_ind, $D239, rng_out_MSB_excl, $F239) * ((1-[1]Tables!$BN$4)/[1]Tables!$BN$4) * [1]Tables!$BN$5)/[1]Tables!$AT$4, 0) - AR343 + IFERROR(SUMIFS(rng_out_awp_post_yr2, rng_out_GB_Medispan, "G", rng_out_mail_ind, $B239, rng_out_sel_sp_ind, $D239)/[1]Tables!$AT$4, 0)</f>
        <v>0</v>
      </c>
      <c r="AS239" s="5" cm="1">
        <f t="array" aca="1" ref="AS239" ca="1">IFERROR(IF(OR(input_Shift="No", [1]Tables!$BN$4=1), 0, SUMIFS(rng_out_awp_post_yr3, rng_out_mail_ind, $B239, rng_out_GB_Medispan, "B", rng_out_sel_sp_ind, $D239, rng_out_MSB_excl, $F239) * ((1-[1]Tables!$BN$4)/[1]Tables!$BN$4) * [1]Tables!$BN$5)/[1]Tables!$AT$4, 0) - AS343 + IFERROR(SUMIFS(rng_out_awp_post_yr3, rng_out_GB_Medispan, "G", rng_out_mail_ind, $B239, rng_out_sel_sp_ind, $D239)/[1]Tables!$AT$4, 0)</f>
        <v>0</v>
      </c>
      <c r="AT239" s="5" cm="1">
        <f t="array" aca="1" ref="AT239" ca="1">IFERROR(IF(OR(input_Shift="No", [1]Tables!$BN$4=1), 0, SUMIFS(rng_out_awp_post_yr4, rng_out_mail_ind, $B239, rng_out_GB_Medispan, "B", rng_out_sel_sp_ind, $D239, rng_out_MSB_excl, $F239) * ((1-[1]Tables!$BN$4)/[1]Tables!$BN$4) * [1]Tables!$BN$5)/[1]Tables!$AT$4, 0) - AT343 + IFERROR(SUMIFS(rng_out_awp_post_yr4, rng_out_GB_Medispan, "G", rng_out_mail_ind, $B239, rng_out_sel_sp_ind, $D239)/[1]Tables!$AT$4, 0)</f>
        <v>0</v>
      </c>
      <c r="AU239" s="85" cm="1">
        <f t="array" aca="1" ref="AU239" ca="1">IFERROR(IF(OR(input_Shift="No", [1]Tables!$BN$4=1), 0, SUMIFS(rng_out_awp_post_yr5, rng_out_mail_ind, $B239, rng_out_GB_Medispan, "B", rng_out_sel_sp_ind, $D239, rng_out_MSB_excl, $F239) * ((1-[1]Tables!$BN$4)/[1]Tables!$BN$4) * [1]Tables!$BN$5)/[1]Tables!$AT$4, 0) - AU343 + IFERROR(SUMIFS(rng_out_awp_post_yr5, rng_out_GB_Medispan, "G", rng_out_mail_ind, $B239, rng_out_sel_sp_ind, $D239)/[1]Tables!$AT$4, 0)</f>
        <v>0</v>
      </c>
      <c r="AV239" s="86">
        <f t="shared" ca="1" si="245"/>
        <v>0</v>
      </c>
      <c r="AW239" s="75">
        <f t="shared" ca="1" si="245"/>
        <v>0</v>
      </c>
      <c r="AX239" s="75">
        <f t="shared" ca="1" si="245"/>
        <v>0</v>
      </c>
      <c r="AY239" s="75">
        <f t="shared" ca="1" si="245"/>
        <v>0</v>
      </c>
      <c r="AZ239" s="87">
        <f t="shared" ca="1" si="245"/>
        <v>0</v>
      </c>
      <c r="BG239" s="121" t="s">
        <v>7</v>
      </c>
      <c r="BH239" s="97">
        <f t="shared" ca="1" si="246"/>
        <v>0</v>
      </c>
      <c r="BI239" s="79">
        <f t="shared" ca="1" si="246"/>
        <v>0</v>
      </c>
      <c r="BJ239" s="79">
        <f t="shared" ca="1" si="246"/>
        <v>0</v>
      </c>
      <c r="BK239" s="79">
        <f t="shared" ca="1" si="246"/>
        <v>0</v>
      </c>
      <c r="BL239" s="98">
        <f t="shared" ca="1" si="246"/>
        <v>0</v>
      </c>
      <c r="BM239" s="92">
        <f t="shared" ca="1" si="247"/>
        <v>0</v>
      </c>
      <c r="BN239" s="75">
        <f t="shared" ca="1" si="247"/>
        <v>0</v>
      </c>
      <c r="BO239" s="75">
        <f t="shared" ca="1" si="247"/>
        <v>0</v>
      </c>
      <c r="BP239" s="75">
        <f t="shared" ca="1" si="247"/>
        <v>0</v>
      </c>
      <c r="BQ239" s="93">
        <f t="shared" ca="1" si="247"/>
        <v>0</v>
      </c>
      <c r="BX239" s="121" t="s">
        <v>7</v>
      </c>
      <c r="BY239" s="97" t="e">
        <f t="shared" ca="1" si="248"/>
        <v>#VALUE!</v>
      </c>
      <c r="BZ239" s="79" t="e">
        <f t="shared" ca="1" si="248"/>
        <v>#VALUE!</v>
      </c>
      <c r="CA239" s="79" t="e">
        <f t="shared" ca="1" si="248"/>
        <v>#VALUE!</v>
      </c>
      <c r="CB239" s="79" t="e">
        <f t="shared" ca="1" si="248"/>
        <v>#VALUE!</v>
      </c>
      <c r="CC239" s="98" t="e">
        <f t="shared" ca="1" si="248"/>
        <v>#VALUE!</v>
      </c>
      <c r="CD239" s="92">
        <f t="shared" ca="1" si="249"/>
        <v>0</v>
      </c>
      <c r="CE239" s="75">
        <f t="shared" ca="1" si="249"/>
        <v>0</v>
      </c>
      <c r="CF239" s="75">
        <f t="shared" ca="1" si="249"/>
        <v>0</v>
      </c>
      <c r="CG239" s="75">
        <f t="shared" ca="1" si="249"/>
        <v>0</v>
      </c>
      <c r="CH239" s="93">
        <f t="shared" ca="1" si="249"/>
        <v>0</v>
      </c>
      <c r="CO239" s="213" cm="1">
        <f t="array" aca="1" ref="CO239" ca="1">_xlfn.SINGLE(IFERROR(SUMIFS(rng_out_awp_base, rng_out_GB_Medispan, "G", rng_out_mail_ind, $B239, rng_out_sel_sp_ind, $D239, rng_out_sel_excl_ind,$E239)/[1]Tables!$AT$4, 0))</f>
        <v>0</v>
      </c>
      <c r="CP239" s="214" cm="1">
        <f t="array" aca="1" ref="CP239" ca="1">_xlfn.SINGLE(IFERROR(SUMIFS(rng_out_awp_base, rng_out_GB_Medispan, "B", rng_out_mail_ind, $B239, rng_out_sel_sp_ind, $D239, rng_out_sel_excl_ind,$E239)/[1]Tables!$AT$4, 0))</f>
        <v>0</v>
      </c>
      <c r="CQ239" s="220">
        <f ca="1">SUM(CO239:CP239)</f>
        <v>0</v>
      </c>
      <c r="CR239" s="92">
        <f t="shared" ca="1" si="250"/>
        <v>0</v>
      </c>
      <c r="CS239" s="93">
        <f t="shared" ca="1" si="250"/>
        <v>0</v>
      </c>
      <c r="CT239" s="358">
        <f t="shared" ca="1" si="250"/>
        <v>0</v>
      </c>
    </row>
    <row r="240" spans="2:98" ht="15" thickBot="1" x14ac:dyDescent="0.4">
      <c r="B240" s="122"/>
      <c r="C240" s="123"/>
      <c r="D240" s="123" t="s">
        <v>13</v>
      </c>
      <c r="E240" s="124" t="s">
        <v>12</v>
      </c>
      <c r="F240" s="106">
        <v>1</v>
      </c>
      <c r="H240" s="118" t="s">
        <v>17</v>
      </c>
      <c r="I240" s="72" t="e" cm="1">
        <f t="array" aca="1" ref="I240" ca="1">SUMIFS(rng_out_awp_pre_yr1, rng_out_GB_Medispan, "G", rng_out_sel_sp_ind, $D240) - I344</f>
        <v>#VALUE!</v>
      </c>
      <c r="J240" s="5" t="e" cm="1">
        <f t="array" aca="1" ref="J240" ca="1">SUMIFS(rng_out_awp_pre_yr2, rng_out_GB_Medispan, "G", rng_out_sel_sp_ind, $D240) - J344</f>
        <v>#VALUE!</v>
      </c>
      <c r="K240" s="5" t="e" cm="1">
        <f t="array" aca="1" ref="K240" ca="1">SUMIFS(rng_out_awp_pre_yr3, rng_out_GB_Medispan, "G", rng_out_sel_sp_ind, $D240) - K344</f>
        <v>#VALUE!</v>
      </c>
      <c r="L240" s="5" t="e" cm="1">
        <f t="array" aca="1" ref="L240" ca="1">SUMIFS(rng_out_awp_pre_yr4, rng_out_GB_Medispan, "G", rng_out_sel_sp_ind, $D240) - L344</f>
        <v>#VALUE!</v>
      </c>
      <c r="M240" s="125" t="e" cm="1">
        <f t="array" aca="1" ref="M240" ca="1">SUMIFS(rng_out_awp_pre_yr5, rng_out_GB_Medispan, "G", rng_out_sel_sp_ind, $D240) - M344</f>
        <v>#VALUE!</v>
      </c>
      <c r="N240" s="74">
        <f t="shared" ca="1" si="243"/>
        <v>0</v>
      </c>
      <c r="O240" s="75">
        <f t="shared" ca="1" si="243"/>
        <v>0</v>
      </c>
      <c r="P240" s="75">
        <f t="shared" ca="1" si="243"/>
        <v>0</v>
      </c>
      <c r="Q240" s="75">
        <f t="shared" ca="1" si="243"/>
        <v>0</v>
      </c>
      <c r="R240" s="126">
        <f t="shared" ca="1" si="243"/>
        <v>0</v>
      </c>
      <c r="Y240" s="119" t="s">
        <v>17</v>
      </c>
      <c r="Z240" s="127">
        <f ca="1">IFERROR(I240/[1]Tables!$AT$4, 0)</f>
        <v>0</v>
      </c>
      <c r="AA240" s="128">
        <f ca="1">IFERROR(J240/[1]Tables!$AT$4, 0)</f>
        <v>0</v>
      </c>
      <c r="AB240" s="128">
        <f ca="1">IFERROR(K240/[1]Tables!$AT$4, 0)</f>
        <v>0</v>
      </c>
      <c r="AC240" s="128">
        <f ca="1">IFERROR(L240/[1]Tables!$AT$4, 0)</f>
        <v>0</v>
      </c>
      <c r="AD240" s="129">
        <f ca="1">IFERROR(M240/[1]Tables!$AT$4, 0)</f>
        <v>0</v>
      </c>
      <c r="AE240" s="130">
        <f t="shared" ca="1" si="244"/>
        <v>0</v>
      </c>
      <c r="AF240" s="131">
        <f t="shared" ca="1" si="244"/>
        <v>0</v>
      </c>
      <c r="AG240" s="131">
        <f t="shared" ca="1" si="244"/>
        <v>0</v>
      </c>
      <c r="AH240" s="131">
        <f t="shared" ca="1" si="244"/>
        <v>0</v>
      </c>
      <c r="AI240" s="132">
        <f t="shared" ca="1" si="244"/>
        <v>0</v>
      </c>
      <c r="AP240" s="120" t="s">
        <v>17</v>
      </c>
      <c r="AQ240" s="167" cm="1">
        <f t="array" aca="1" ref="AQ240" ca="1">IFERROR(IF(OR(input_Shift="No", [1]Tables!$BN$4=1), 0, SUMIFS(rng_out_awp_post_yr1, rng_out_GB_Medispan, "B", rng_out_sel_sp_ind, $D240, rng_out_MSB_excl, $F240) * ((1-[1]Tables!$BN$4)/[1]Tables!$BN$4) * [1]Tables!$BN$5)/[1]Tables!$AT$4, 0) - AQ344 + IFERROR(SUMIFS(rng_out_awp_post_yr1, rng_out_GB_Medispan, "G", rng_out_sel_sp_ind, $D240)/[1]Tables!$AT$4, 0)</f>
        <v>0</v>
      </c>
      <c r="AR240" s="134" cm="1">
        <f t="array" aca="1" ref="AR240" ca="1">IFERROR(IF(OR(input_Shift="No", [1]Tables!$BN$4=1), 0, SUMIFS(rng_out_awp_post_yr2, rng_out_GB_Medispan, "B", rng_out_sel_sp_ind, $D240, rng_out_MSB_excl, $F240) * ((1-[1]Tables!$BN$4)/[1]Tables!$BN$4) * [1]Tables!$BN$5)/[1]Tables!$AT$4, 0) - AR344 + IFERROR(SUMIFS(rng_out_awp_post_yr2, rng_out_GB_Medispan, "G", rng_out_sel_sp_ind, $D240)/[1]Tables!$AT$4, 0)</f>
        <v>0</v>
      </c>
      <c r="AS240" s="134" cm="1">
        <f t="array" aca="1" ref="AS240" ca="1">IFERROR(IF(OR(input_Shift="No", [1]Tables!$BN$4=1), 0, SUMIFS(rng_out_awp_post_yr3, rng_out_GB_Medispan, "B", rng_out_sel_sp_ind, $D240, rng_out_MSB_excl, $F240) * ((1-[1]Tables!$BN$4)/[1]Tables!$BN$4) * [1]Tables!$BN$5)/[1]Tables!$AT$4, 0) - AS344 + IFERROR(SUMIFS(rng_out_awp_post_yr3, rng_out_GB_Medispan, "G", rng_out_sel_sp_ind, $D240)/[1]Tables!$AT$4, 0)</f>
        <v>0</v>
      </c>
      <c r="AT240" s="134" cm="1">
        <f t="array" aca="1" ref="AT240" ca="1">IFERROR(IF(OR(input_Shift="No", [1]Tables!$BN$4=1), 0, SUMIFS(rng_out_awp_post_yr4, rng_out_GB_Medispan, "B", rng_out_sel_sp_ind, $D240, rng_out_MSB_excl, $F240) * ((1-[1]Tables!$BN$4)/[1]Tables!$BN$4) * [1]Tables!$BN$5)/[1]Tables!$AT$4, 0) - AT344 + IFERROR(SUMIFS(rng_out_awp_post_yr4, rng_out_GB_Medispan, "G", rng_out_sel_sp_ind, $D240)/[1]Tables!$AT$4, 0)</f>
        <v>0</v>
      </c>
      <c r="AU240" s="135" cm="1">
        <f t="array" aca="1" ref="AU240" ca="1">IFERROR(IF(OR(input_Shift="No", [1]Tables!$BN$4=1), 0, SUMIFS(rng_out_awp_post_yr5, rng_out_GB_Medispan, "B", rng_out_sel_sp_ind, $D240, rng_out_MSB_excl, $F240) * ((1-[1]Tables!$BN$4)/[1]Tables!$BN$4) * [1]Tables!$BN$5)/[1]Tables!$AT$4, 0) - AU344 + IFERROR(SUMIFS(rng_out_awp_post_yr5, rng_out_GB_Medispan, "G", rng_out_sel_sp_ind, $D240)/[1]Tables!$AT$4, 0)</f>
        <v>0</v>
      </c>
      <c r="AV240" s="136">
        <f t="shared" ca="1" si="245"/>
        <v>0</v>
      </c>
      <c r="AW240" s="137">
        <f t="shared" ca="1" si="245"/>
        <v>0</v>
      </c>
      <c r="AX240" s="137">
        <f t="shared" ca="1" si="245"/>
        <v>0</v>
      </c>
      <c r="AY240" s="137">
        <f t="shared" ca="1" si="245"/>
        <v>0</v>
      </c>
      <c r="AZ240" s="138">
        <f t="shared" ca="1" si="245"/>
        <v>0</v>
      </c>
      <c r="BG240" s="121" t="s">
        <v>17</v>
      </c>
      <c r="BH240" s="145">
        <f t="shared" ca="1" si="246"/>
        <v>0</v>
      </c>
      <c r="BI240" s="146">
        <f t="shared" ca="1" si="246"/>
        <v>0</v>
      </c>
      <c r="BJ240" s="146">
        <f t="shared" ca="1" si="246"/>
        <v>0</v>
      </c>
      <c r="BK240" s="146">
        <f t="shared" ca="1" si="246"/>
        <v>0</v>
      </c>
      <c r="BL240" s="147">
        <f t="shared" ca="1" si="246"/>
        <v>0</v>
      </c>
      <c r="BM240" s="142">
        <f t="shared" ca="1" si="247"/>
        <v>0</v>
      </c>
      <c r="BN240" s="143">
        <f t="shared" ca="1" si="247"/>
        <v>0</v>
      </c>
      <c r="BO240" s="143">
        <f t="shared" ca="1" si="247"/>
        <v>0</v>
      </c>
      <c r="BP240" s="143">
        <f t="shared" ca="1" si="247"/>
        <v>0</v>
      </c>
      <c r="BQ240" s="144">
        <f t="shared" ca="1" si="247"/>
        <v>0</v>
      </c>
      <c r="BX240" s="121" t="s">
        <v>17</v>
      </c>
      <c r="BY240" s="145" t="e">
        <f t="shared" ca="1" si="248"/>
        <v>#VALUE!</v>
      </c>
      <c r="BZ240" s="146" t="e">
        <f t="shared" ca="1" si="248"/>
        <v>#VALUE!</v>
      </c>
      <c r="CA240" s="146" t="e">
        <f t="shared" ca="1" si="248"/>
        <v>#VALUE!</v>
      </c>
      <c r="CB240" s="146" t="e">
        <f t="shared" ca="1" si="248"/>
        <v>#VALUE!</v>
      </c>
      <c r="CC240" s="147" t="e">
        <f t="shared" ca="1" si="248"/>
        <v>#VALUE!</v>
      </c>
      <c r="CD240" s="142">
        <f t="shared" ca="1" si="249"/>
        <v>0</v>
      </c>
      <c r="CE240" s="143">
        <f t="shared" ca="1" si="249"/>
        <v>0</v>
      </c>
      <c r="CF240" s="143">
        <f t="shared" ca="1" si="249"/>
        <v>0</v>
      </c>
      <c r="CG240" s="143">
        <f t="shared" ca="1" si="249"/>
        <v>0</v>
      </c>
      <c r="CH240" s="144">
        <f t="shared" ca="1" si="249"/>
        <v>0</v>
      </c>
      <c r="CO240" s="231" cm="1">
        <f t="array" aca="1" ref="CO240" ca="1">_xlfn.SINGLE(IFERROR(SUMIFS(rng_out_awp_base, rng_out_GB_Medispan, "G", rng_out_sel_sp_ind, $D240, rng_out_sel_excl_ind,$E240)/[1]Tables!$AT$4, 0))</f>
        <v>0</v>
      </c>
      <c r="CP240" s="233" cm="1">
        <f t="array" aca="1" ref="CP240" ca="1">_xlfn.SINGLE(IFERROR(SUMIFS(rng_out_awp_base, rng_out_GB_Medispan, "B", rng_out_sel_sp_ind, $D240, rng_out_sel_excl_ind,$E240)/[1]Tables!$AT$4, 0))</f>
        <v>0</v>
      </c>
      <c r="CQ240" s="234">
        <f ca="1">SUM(CO240:CP240)</f>
        <v>0</v>
      </c>
      <c r="CR240" s="142">
        <f t="shared" ca="1" si="250"/>
        <v>0</v>
      </c>
      <c r="CS240" s="144">
        <f t="shared" ca="1" si="250"/>
        <v>0</v>
      </c>
      <c r="CT240" s="177">
        <f t="shared" ca="1" si="250"/>
        <v>0</v>
      </c>
    </row>
    <row r="241" spans="2:135" ht="15" thickBot="1" x14ac:dyDescent="0.4">
      <c r="B241" s="106"/>
      <c r="C241" s="236"/>
      <c r="D241" s="236" t="s">
        <v>29</v>
      </c>
      <c r="E241" s="237" t="str">
        <f>IF(sel_excl_nonRebatable=1, "Y", "N")</f>
        <v>N</v>
      </c>
      <c r="H241" s="154" t="s">
        <v>18</v>
      </c>
      <c r="I241" s="155" t="e">
        <f ca="1">SUM(I237:I240)</f>
        <v>#VALUE!</v>
      </c>
      <c r="J241" s="155" t="e">
        <f ca="1">SUM(J237:J240)</f>
        <v>#VALUE!</v>
      </c>
      <c r="K241" s="155" t="e">
        <f ca="1">SUM(K237:K240)</f>
        <v>#VALUE!</v>
      </c>
      <c r="L241" s="155" t="e">
        <f ca="1">SUM(L237:L240)</f>
        <v>#VALUE!</v>
      </c>
      <c r="M241" s="156" t="e">
        <f ca="1">SUM(M237:M240)</f>
        <v>#VALUE!</v>
      </c>
      <c r="N241" s="157">
        <f t="shared" ca="1" si="243"/>
        <v>0</v>
      </c>
      <c r="O241" s="157">
        <f t="shared" ca="1" si="243"/>
        <v>0</v>
      </c>
      <c r="P241" s="157">
        <f t="shared" ca="1" si="243"/>
        <v>0</v>
      </c>
      <c r="Q241" s="157">
        <f t="shared" ca="1" si="243"/>
        <v>0</v>
      </c>
      <c r="R241" s="158">
        <f t="shared" ca="1" si="243"/>
        <v>0</v>
      </c>
      <c r="Y241" s="159" t="s">
        <v>18</v>
      </c>
      <c r="Z241" s="160">
        <f ca="1">SUM(Z237:Z240)</f>
        <v>0</v>
      </c>
      <c r="AA241" s="161">
        <f ca="1">SUM(AA237:AA240)</f>
        <v>0</v>
      </c>
      <c r="AB241" s="161">
        <f ca="1">SUM(AB237:AB240)</f>
        <v>0</v>
      </c>
      <c r="AC241" s="161">
        <f ca="1">SUM(AC237:AC240)</f>
        <v>0</v>
      </c>
      <c r="AD241" s="162">
        <f ca="1">SUM(AD237:AD240)</f>
        <v>0</v>
      </c>
      <c r="AE241" s="163">
        <f t="shared" ca="1" si="244"/>
        <v>0</v>
      </c>
      <c r="AF241" s="164">
        <f t="shared" ca="1" si="244"/>
        <v>0</v>
      </c>
      <c r="AG241" s="164">
        <f t="shared" ca="1" si="244"/>
        <v>0</v>
      </c>
      <c r="AH241" s="164">
        <f t="shared" ca="1" si="244"/>
        <v>0</v>
      </c>
      <c r="AI241" s="165">
        <f t="shared" ca="1" si="244"/>
        <v>0</v>
      </c>
      <c r="AP241" s="166" t="s">
        <v>18</v>
      </c>
      <c r="AQ241" s="167">
        <f ca="1">SUM(AQ237:AQ240)</f>
        <v>0</v>
      </c>
      <c r="AR241" s="134">
        <f ca="1">SUM(AR237:AR240)</f>
        <v>0</v>
      </c>
      <c r="AS241" s="134">
        <f ca="1">SUM(AS237:AS240)</f>
        <v>0</v>
      </c>
      <c r="AT241" s="134">
        <f ca="1">SUM(AT237:AT240)</f>
        <v>0</v>
      </c>
      <c r="AU241" s="135">
        <f ca="1">SUM(AU237:AU240)</f>
        <v>0</v>
      </c>
      <c r="AV241" s="168">
        <f t="shared" ca="1" si="245"/>
        <v>0</v>
      </c>
      <c r="AW241" s="169">
        <f t="shared" ca="1" si="245"/>
        <v>0</v>
      </c>
      <c r="AX241" s="169">
        <f t="shared" ca="1" si="245"/>
        <v>0</v>
      </c>
      <c r="AY241" s="169">
        <f t="shared" ca="1" si="245"/>
        <v>0</v>
      </c>
      <c r="AZ241" s="170">
        <f t="shared" ca="1" si="245"/>
        <v>0</v>
      </c>
      <c r="BG241" s="171" t="s">
        <v>18</v>
      </c>
      <c r="BH241" s="172">
        <f ca="1">SUM(BH237:BH240)</f>
        <v>0</v>
      </c>
      <c r="BI241" s="173">
        <f ca="1">SUM(BI237:BI240)</f>
        <v>0</v>
      </c>
      <c r="BJ241" s="173">
        <f ca="1">SUM(BJ237:BJ240)</f>
        <v>0</v>
      </c>
      <c r="BK241" s="173">
        <f ca="1">SUM(BK237:BK240)</f>
        <v>0</v>
      </c>
      <c r="BL241" s="174">
        <f ca="1">SUM(BL237:BL240)</f>
        <v>0</v>
      </c>
      <c r="BM241" s="175">
        <f t="shared" ca="1" si="247"/>
        <v>0</v>
      </c>
      <c r="BN241" s="176">
        <f t="shared" ca="1" si="247"/>
        <v>0</v>
      </c>
      <c r="BO241" s="176">
        <f t="shared" ca="1" si="247"/>
        <v>0</v>
      </c>
      <c r="BP241" s="176">
        <f t="shared" ca="1" si="247"/>
        <v>0</v>
      </c>
      <c r="BQ241" s="177">
        <f t="shared" ca="1" si="247"/>
        <v>0</v>
      </c>
      <c r="BX241" s="171" t="s">
        <v>18</v>
      </c>
      <c r="BY241" s="172" t="e">
        <f ca="1">SUM(BY237:BY240)</f>
        <v>#VALUE!</v>
      </c>
      <c r="BZ241" s="173" t="e">
        <f ca="1">SUM(BZ237:BZ240)</f>
        <v>#VALUE!</v>
      </c>
      <c r="CA241" s="173" t="e">
        <f ca="1">SUM(CA237:CA240)</f>
        <v>#VALUE!</v>
      </c>
      <c r="CB241" s="173" t="e">
        <f ca="1">SUM(CB237:CB240)</f>
        <v>#VALUE!</v>
      </c>
      <c r="CC241" s="174" t="e">
        <f ca="1">SUM(CC237:CC240)</f>
        <v>#VALUE!</v>
      </c>
      <c r="CD241" s="175">
        <f ca="1">IFERROR(BY241/BY194, 0)</f>
        <v>0</v>
      </c>
      <c r="CE241" s="176">
        <f ca="1">IFERROR(BZ241/BZ194, 0)</f>
        <v>0</v>
      </c>
      <c r="CF241" s="176">
        <f ca="1">IFERROR(CA241/CA194, 0)</f>
        <v>0</v>
      </c>
      <c r="CG241" s="176">
        <f ca="1">IFERROR(CB241/CB194, 0)</f>
        <v>0</v>
      </c>
      <c r="CH241" s="177">
        <f ca="1">IFERROR(CC241/CC194, 0)</f>
        <v>0</v>
      </c>
      <c r="CO241" s="246">
        <f ca="1">SUM(CO237:CO240)</f>
        <v>0</v>
      </c>
      <c r="CP241" s="247">
        <f ca="1">SUM(CP237:CP240)</f>
        <v>0</v>
      </c>
      <c r="CQ241" s="247">
        <f ca="1">SUM(CQ237:CQ240)</f>
        <v>0</v>
      </c>
      <c r="CR241" s="359">
        <f t="shared" ca="1" si="250"/>
        <v>0</v>
      </c>
      <c r="CS241" s="360">
        <f t="shared" ca="1" si="250"/>
        <v>0</v>
      </c>
      <c r="CT241" s="360">
        <f t="shared" ca="1" si="250"/>
        <v>0</v>
      </c>
    </row>
    <row r="242" spans="2:135" ht="15" thickBot="1" x14ac:dyDescent="0.4">
      <c r="CO242" s="252"/>
      <c r="CP242" s="252"/>
    </row>
    <row r="243" spans="2:135" ht="15" thickBot="1" x14ac:dyDescent="0.4">
      <c r="I243" s="21" t="s">
        <v>61</v>
      </c>
      <c r="J243" s="22"/>
      <c r="K243" s="22"/>
      <c r="L243" s="22"/>
      <c r="M243" s="22"/>
      <c r="N243" s="22"/>
      <c r="O243" s="22"/>
      <c r="P243" s="22"/>
      <c r="Q243" s="22"/>
      <c r="R243" s="23"/>
      <c r="Z243" s="24" t="s">
        <v>61</v>
      </c>
      <c r="AA243" s="25"/>
      <c r="AB243" s="25"/>
      <c r="AC243" s="25"/>
      <c r="AD243" s="25"/>
      <c r="AE243" s="25"/>
      <c r="AF243" s="25"/>
      <c r="AG243" s="25"/>
      <c r="AH243" s="25"/>
      <c r="AI243" s="26"/>
      <c r="AQ243" s="354" t="s">
        <v>61</v>
      </c>
      <c r="AR243" s="29"/>
      <c r="AS243" s="29"/>
      <c r="AT243" s="29"/>
      <c r="AU243" s="29"/>
      <c r="AV243" s="29"/>
      <c r="AW243" s="29"/>
      <c r="AX243" s="29"/>
      <c r="AY243" s="29"/>
      <c r="AZ243" s="355"/>
      <c r="BH243" s="31" t="s">
        <v>61</v>
      </c>
      <c r="BI243" s="32"/>
      <c r="BJ243" s="32"/>
      <c r="BK243" s="32"/>
      <c r="BL243" s="32"/>
      <c r="BM243" s="32"/>
      <c r="BN243" s="32"/>
      <c r="BO243" s="32"/>
      <c r="BP243" s="32"/>
      <c r="BQ243" s="33"/>
      <c r="BY243" s="34" t="s">
        <v>61</v>
      </c>
      <c r="BZ243" s="35"/>
      <c r="CA243" s="35"/>
      <c r="CB243" s="35"/>
      <c r="CC243" s="35"/>
      <c r="CD243" s="35"/>
      <c r="CE243" s="35"/>
      <c r="CF243" s="35"/>
      <c r="CG243" s="35"/>
      <c r="CH243" s="36"/>
      <c r="CO243" s="252"/>
      <c r="CP243" s="252"/>
    </row>
    <row r="244" spans="2:135" ht="15" thickBot="1" x14ac:dyDescent="0.4">
      <c r="H244" s="37"/>
      <c r="I244" s="302" t="s">
        <v>64</v>
      </c>
      <c r="J244" s="303"/>
      <c r="K244" s="303"/>
      <c r="L244" s="303"/>
      <c r="M244" s="304"/>
      <c r="N244" s="302" t="s">
        <v>65</v>
      </c>
      <c r="O244" s="303"/>
      <c r="P244" s="303"/>
      <c r="Q244" s="303"/>
      <c r="R244" s="304"/>
      <c r="Z244" s="41" t="s">
        <v>64</v>
      </c>
      <c r="AA244" s="42"/>
      <c r="AB244" s="42"/>
      <c r="AC244" s="42"/>
      <c r="AD244" s="43"/>
      <c r="AE244" s="41" t="s">
        <v>65</v>
      </c>
      <c r="AF244" s="42"/>
      <c r="AG244" s="42"/>
      <c r="AH244" s="42"/>
      <c r="AI244" s="43"/>
      <c r="AQ244" s="44" t="s">
        <v>64</v>
      </c>
      <c r="AR244" s="45"/>
      <c r="AS244" s="45"/>
      <c r="AT244" s="45"/>
      <c r="AU244" s="46"/>
      <c r="AV244" s="44" t="s">
        <v>65</v>
      </c>
      <c r="AW244" s="45"/>
      <c r="AX244" s="45"/>
      <c r="AY244" s="45"/>
      <c r="AZ244" s="46"/>
      <c r="BH244" s="305" t="s">
        <v>64</v>
      </c>
      <c r="BI244" s="306"/>
      <c r="BJ244" s="306"/>
      <c r="BK244" s="306"/>
      <c r="BL244" s="307"/>
      <c r="BM244" s="305" t="s">
        <v>65</v>
      </c>
      <c r="BN244" s="306"/>
      <c r="BO244" s="306"/>
      <c r="BP244" s="306"/>
      <c r="BQ244" s="307"/>
      <c r="BY244" s="305" t="s">
        <v>64</v>
      </c>
      <c r="BZ244" s="306"/>
      <c r="CA244" s="306"/>
      <c r="CB244" s="306"/>
      <c r="CC244" s="307"/>
      <c r="CD244" s="305" t="s">
        <v>65</v>
      </c>
      <c r="CE244" s="306"/>
      <c r="CF244" s="306"/>
      <c r="CG244" s="306"/>
      <c r="CH244" s="307"/>
      <c r="CO244" s="252"/>
      <c r="CP244" s="252"/>
    </row>
    <row r="245" spans="2:135" ht="15" thickBot="1" x14ac:dyDescent="0.4">
      <c r="H245" s="55"/>
      <c r="I245" s="56" t="str">
        <f>[1]Tables!$AA$4</f>
        <v>07/27 - 06/28</v>
      </c>
      <c r="J245" s="55" t="str">
        <f>[1]Tables!$AA$5</f>
        <v>07/28 - 06/29</v>
      </c>
      <c r="K245" s="55" t="str">
        <f>[1]Tables!$AA$6</f>
        <v>07/29 - 06/30</v>
      </c>
      <c r="L245" s="55" t="str">
        <f>[1]Tables!$AA$7</f>
        <v>07/30 - 06/31</v>
      </c>
      <c r="M245" s="57" t="str">
        <f>[1]Tables!$AA$8</f>
        <v>07/31 - 06/32</v>
      </c>
      <c r="N245" s="56" t="str">
        <f>[1]Tables!$AA$4</f>
        <v>07/27 - 06/28</v>
      </c>
      <c r="O245" s="55" t="str">
        <f>[1]Tables!$AA$5</f>
        <v>07/28 - 06/29</v>
      </c>
      <c r="P245" s="55" t="str">
        <f>[1]Tables!$AA$6</f>
        <v>07/29 - 06/30</v>
      </c>
      <c r="Q245" s="55" t="str">
        <f>[1]Tables!$AA$7</f>
        <v>07/30 - 06/31</v>
      </c>
      <c r="R245" s="57" t="str">
        <f>[1]Tables!$AA$8</f>
        <v>07/31 - 06/32</v>
      </c>
      <c r="Y245" s="58"/>
      <c r="Z245" s="59" t="str">
        <f>[1]Tables!$AA$4</f>
        <v>07/27 - 06/28</v>
      </c>
      <c r="AA245" s="60" t="str">
        <f>[1]Tables!$AA$5</f>
        <v>07/28 - 06/29</v>
      </c>
      <c r="AB245" s="60" t="str">
        <f>[1]Tables!$AA$6</f>
        <v>07/29 - 06/30</v>
      </c>
      <c r="AC245" s="60" t="str">
        <f>[1]Tables!$AA$7</f>
        <v>07/30 - 06/31</v>
      </c>
      <c r="AD245" s="61" t="str">
        <f>[1]Tables!$AA$8</f>
        <v>07/31 - 06/32</v>
      </c>
      <c r="AE245" s="59" t="str">
        <f>[1]Tables!$AA$4</f>
        <v>07/27 - 06/28</v>
      </c>
      <c r="AF245" s="60" t="str">
        <f>[1]Tables!$AA$5</f>
        <v>07/28 - 06/29</v>
      </c>
      <c r="AG245" s="60" t="str">
        <f>[1]Tables!$AA$6</f>
        <v>07/29 - 06/30</v>
      </c>
      <c r="AH245" s="60" t="str">
        <f>[1]Tables!$AA$7</f>
        <v>07/30 - 06/31</v>
      </c>
      <c r="AI245" s="61" t="str">
        <f>[1]Tables!$AA$8</f>
        <v>07/31 - 06/32</v>
      </c>
      <c r="AP245" s="58"/>
      <c r="AQ245" s="62" t="str">
        <f>[1]Tables!$AA$4</f>
        <v>07/27 - 06/28</v>
      </c>
      <c r="AR245" s="63" t="str">
        <f>[1]Tables!$AA$5</f>
        <v>07/28 - 06/29</v>
      </c>
      <c r="AS245" s="63" t="str">
        <f>[1]Tables!$AA$6</f>
        <v>07/29 - 06/30</v>
      </c>
      <c r="AT245" s="63" t="str">
        <f>[1]Tables!$AA$7</f>
        <v>07/30 - 06/31</v>
      </c>
      <c r="AU245" s="64" t="str">
        <f>[1]Tables!$AA$8</f>
        <v>07/31 - 06/32</v>
      </c>
      <c r="AV245" s="62" t="str">
        <f>[1]Tables!$AA$4</f>
        <v>07/27 - 06/28</v>
      </c>
      <c r="AW245" s="63" t="str">
        <f>[1]Tables!$AA$5</f>
        <v>07/28 - 06/29</v>
      </c>
      <c r="AX245" s="63" t="str">
        <f>[1]Tables!$AA$6</f>
        <v>07/29 - 06/30</v>
      </c>
      <c r="AY245" s="63" t="str">
        <f>[1]Tables!$AA$7</f>
        <v>07/30 - 06/31</v>
      </c>
      <c r="AZ245" s="64" t="str">
        <f>[1]Tables!$AA$8</f>
        <v>07/31 - 06/32</v>
      </c>
      <c r="BG245" s="58"/>
      <c r="BH245" s="65" t="str">
        <f>[1]Tables!$AA$4</f>
        <v>07/27 - 06/28</v>
      </c>
      <c r="BI245" s="66" t="str">
        <f>[1]Tables!$AA$5</f>
        <v>07/28 - 06/29</v>
      </c>
      <c r="BJ245" s="66" t="str">
        <f>[1]Tables!$AA$6</f>
        <v>07/29 - 06/30</v>
      </c>
      <c r="BK245" s="66" t="str">
        <f>[1]Tables!$AA$7</f>
        <v>07/30 - 06/31</v>
      </c>
      <c r="BL245" s="67" t="str">
        <f>[1]Tables!$AA$8</f>
        <v>07/31 - 06/32</v>
      </c>
      <c r="BM245" s="65" t="str">
        <f>[1]Tables!$AA$4</f>
        <v>07/27 - 06/28</v>
      </c>
      <c r="BN245" s="66" t="str">
        <f>[1]Tables!$AA$5</f>
        <v>07/28 - 06/29</v>
      </c>
      <c r="BO245" s="66" t="str">
        <f>[1]Tables!$AA$6</f>
        <v>07/29 - 06/30</v>
      </c>
      <c r="BP245" s="66" t="str">
        <f>[1]Tables!$AA$7</f>
        <v>07/30 - 06/31</v>
      </c>
      <c r="BQ245" s="67" t="str">
        <f>[1]Tables!$AA$8</f>
        <v>07/31 - 06/32</v>
      </c>
      <c r="BX245" s="58"/>
      <c r="BY245" s="65" t="str">
        <f>[1]Tables!$AA$4</f>
        <v>07/27 - 06/28</v>
      </c>
      <c r="BZ245" s="66" t="str">
        <f>[1]Tables!$AA$5</f>
        <v>07/28 - 06/29</v>
      </c>
      <c r="CA245" s="66" t="str">
        <f>[1]Tables!$AA$6</f>
        <v>07/29 - 06/30</v>
      </c>
      <c r="CB245" s="66" t="str">
        <f>[1]Tables!$AA$7</f>
        <v>07/30 - 06/31</v>
      </c>
      <c r="CC245" s="67" t="str">
        <f>[1]Tables!$AA$8</f>
        <v>07/31 - 06/32</v>
      </c>
      <c r="CD245" s="65" t="str">
        <f>[1]Tables!$AA$4</f>
        <v>07/27 - 06/28</v>
      </c>
      <c r="CE245" s="66" t="str">
        <f>[1]Tables!$AA$5</f>
        <v>07/28 - 06/29</v>
      </c>
      <c r="CF245" s="66" t="str">
        <f>[1]Tables!$AA$6</f>
        <v>07/29 - 06/30</v>
      </c>
      <c r="CG245" s="66" t="str">
        <f>[1]Tables!$AA$7</f>
        <v>07/30 - 06/31</v>
      </c>
      <c r="CH245" s="67" t="str">
        <f>[1]Tables!$AA$8</f>
        <v>07/31 - 06/32</v>
      </c>
      <c r="CO245" s="252"/>
      <c r="CP245" s="252"/>
    </row>
    <row r="246" spans="2:135" x14ac:dyDescent="0.35">
      <c r="B246" s="68" t="s">
        <v>11</v>
      </c>
      <c r="C246" s="69">
        <v>30</v>
      </c>
      <c r="D246" s="69" t="s">
        <v>12</v>
      </c>
      <c r="E246" s="70" t="s">
        <v>12</v>
      </c>
      <c r="F246" s="106"/>
      <c r="H246" s="71" t="s">
        <v>14</v>
      </c>
      <c r="I246" s="72" t="e" cm="1">
        <f t="array" aca="1" ref="I246" ca="1">SUMIFS(rng_out_awp_pre_yr1, rng_out_GB_Medispan, "B", rng_out_sel_G_ind, "B", rng_out_mail_ind, $B246, rng_out_ds, $C246, rng_out_sel_sp_ind, $D246) - I350</f>
        <v>#VALUE!</v>
      </c>
      <c r="J246" s="5" t="e" cm="1">
        <f t="array" aca="1" ref="J246" ca="1">SUMIFS(rng_out_awp_pre_yr2, rng_out_GB_Medispan, "B", rng_out_sel_G_ind, "B", rng_out_mail_ind, $B246, rng_out_ds, $C246, rng_out_sel_sp_ind, $D246) - J350</f>
        <v>#VALUE!</v>
      </c>
      <c r="K246" s="5" t="e" cm="1">
        <f t="array" aca="1" ref="K246" ca="1">SUMIFS(rng_out_awp_pre_yr3, rng_out_GB_Medispan, "B", rng_out_sel_G_ind, "B", rng_out_mail_ind, $B246, rng_out_ds, $C246, rng_out_sel_sp_ind, $D246) - K350</f>
        <v>#VALUE!</v>
      </c>
      <c r="L246" s="5" t="e" cm="1">
        <f t="array" aca="1" ref="L246" ca="1">SUMIFS(rng_out_awp_pre_yr4, rng_out_GB_Medispan, "B", rng_out_sel_G_ind, "B", rng_out_mail_ind, $B246, rng_out_ds, $C246, rng_out_sel_sp_ind, $D246) - L350</f>
        <v>#VALUE!</v>
      </c>
      <c r="M246" s="73" t="e" cm="1">
        <f t="array" aca="1" ref="M246" ca="1">SUMIFS(rng_out_awp_pre_yr5, rng_out_GB_Medispan, "B", rng_out_sel_G_ind, "B", rng_out_mail_ind, $B246, rng_out_ds, $C246, rng_out_sel_sp_ind, $D246) - M350</f>
        <v>#VALUE!</v>
      </c>
      <c r="N246" s="74">
        <f t="shared" ref="N246:R250" ca="1" si="251">IFERROR(I246/N172, 0)</f>
        <v>0</v>
      </c>
      <c r="O246" s="75">
        <f t="shared" ca="1" si="251"/>
        <v>0</v>
      </c>
      <c r="P246" s="75">
        <f t="shared" ca="1" si="251"/>
        <v>0</v>
      </c>
      <c r="Q246" s="75">
        <f t="shared" ca="1" si="251"/>
        <v>0</v>
      </c>
      <c r="R246" s="76">
        <f t="shared" ca="1" si="251"/>
        <v>0</v>
      </c>
      <c r="Y246" s="77" t="s">
        <v>14</v>
      </c>
      <c r="Z246" s="78">
        <f ca="1">IFERROR(I246/[1]Tables!$AT$4, 0)</f>
        <v>0</v>
      </c>
      <c r="AA246" s="79">
        <f ca="1">IFERROR(J246/[1]Tables!$AT$4, 0)</f>
        <v>0</v>
      </c>
      <c r="AB246" s="79">
        <f ca="1">IFERROR(K246/[1]Tables!$AT$4, 0)</f>
        <v>0</v>
      </c>
      <c r="AC246" s="79">
        <f ca="1">IFERROR(L246/[1]Tables!$AT$4, 0)</f>
        <v>0</v>
      </c>
      <c r="AD246" s="80">
        <f ca="1">IFERROR(M246/[1]Tables!$AT$4, 0)</f>
        <v>0</v>
      </c>
      <c r="AE246" s="81">
        <f t="shared" ref="AE246:AI250" ca="1" si="252">IFERROR(Z246/AE172, 0)</f>
        <v>0</v>
      </c>
      <c r="AF246" s="75">
        <f t="shared" ca="1" si="252"/>
        <v>0</v>
      </c>
      <c r="AG246" s="75">
        <f t="shared" ca="1" si="252"/>
        <v>0</v>
      </c>
      <c r="AH246" s="75">
        <f t="shared" ca="1" si="252"/>
        <v>0</v>
      </c>
      <c r="AI246" s="82">
        <f t="shared" ca="1" si="252"/>
        <v>0</v>
      </c>
      <c r="AP246" s="83" t="s">
        <v>14</v>
      </c>
      <c r="AQ246" s="356" t="e" cm="1">
        <f t="array" aca="1" ref="AQ246" ca="1">SUMIFS(rng_out_awp_post_yr1, rng_out_GB_Medispan, "B", rng_out_sel_G_ind, "B", rng_out_mail_ind, $B246, rng_out_ds, $C246, rng_out_sel_sp_ind, $D246)/[1]Tables!$AT$4 - AQ350</f>
        <v>#VALUE!</v>
      </c>
      <c r="AR246" s="5" t="e" cm="1">
        <f t="array" aca="1" ref="AR246" ca="1">SUMIFS(rng_out_awp_post_yr2, rng_out_GB_Medispan, "B", rng_out_sel_G_ind, "B", rng_out_mail_ind, $B246, rng_out_ds, $C246, rng_out_sel_sp_ind, $D246)/[1]Tables!$AT$4 - AR350</f>
        <v>#VALUE!</v>
      </c>
      <c r="AS246" s="5" t="e" cm="1">
        <f t="array" aca="1" ref="AS246" ca="1">SUMIFS(rng_out_awp_post_yr3, rng_out_GB_Medispan, "B", rng_out_sel_G_ind, "B", rng_out_mail_ind, $B246, rng_out_ds, $C246, rng_out_sel_sp_ind, $D246)/[1]Tables!$AT$4 - AS350</f>
        <v>#VALUE!</v>
      </c>
      <c r="AT246" s="5" t="e" cm="1">
        <f t="array" aca="1" ref="AT246" ca="1">SUMIFS(rng_out_awp_post_yr4, rng_out_GB_Medispan, "B", rng_out_sel_G_ind, "B", rng_out_mail_ind, $B246, rng_out_ds, $C246, rng_out_sel_sp_ind, $D246)/[1]Tables!$AT$4 - AT350</f>
        <v>#VALUE!</v>
      </c>
      <c r="AU246" s="85" t="e" cm="1">
        <f t="array" aca="1" ref="AU246" ca="1">SUMIFS(rng_out_awp_post_yr5, rng_out_GB_Medispan, "B", rng_out_sel_G_ind, "B", rng_out_mail_ind, $B246, rng_out_ds, $C246, rng_out_sel_sp_ind, $D246)/[1]Tables!$AT$4 - AU350</f>
        <v>#VALUE!</v>
      </c>
      <c r="AV246" s="86">
        <f t="shared" ref="AV246:AZ250" ca="1" si="253">IFERROR(AQ246/AV172, 0)</f>
        <v>0</v>
      </c>
      <c r="AW246" s="75">
        <f t="shared" ca="1" si="253"/>
        <v>0</v>
      </c>
      <c r="AX246" s="75">
        <f t="shared" ca="1" si="253"/>
        <v>0</v>
      </c>
      <c r="AY246" s="75">
        <f t="shared" ca="1" si="253"/>
        <v>0</v>
      </c>
      <c r="AZ246" s="87">
        <f t="shared" ca="1" si="253"/>
        <v>0</v>
      </c>
      <c r="BG246" s="88" t="s">
        <v>14</v>
      </c>
      <c r="BH246" s="97" t="e">
        <f t="shared" ref="BH246:BL249" ca="1" si="254">AQ246</f>
        <v>#VALUE!</v>
      </c>
      <c r="BI246" s="79" t="e">
        <f t="shared" ca="1" si="254"/>
        <v>#VALUE!</v>
      </c>
      <c r="BJ246" s="79" t="e">
        <f t="shared" ca="1" si="254"/>
        <v>#VALUE!</v>
      </c>
      <c r="BK246" s="79" t="e">
        <f t="shared" ca="1" si="254"/>
        <v>#VALUE!</v>
      </c>
      <c r="BL246" s="98" t="e">
        <f t="shared" ca="1" si="254"/>
        <v>#VALUE!</v>
      </c>
      <c r="BM246" s="92">
        <f t="shared" ref="BM246:BQ250" ca="1" si="255">IFERROR(BH246/BM172, 0)</f>
        <v>0</v>
      </c>
      <c r="BN246" s="75">
        <f t="shared" ca="1" si="255"/>
        <v>0</v>
      </c>
      <c r="BO246" s="75">
        <f t="shared" ca="1" si="255"/>
        <v>0</v>
      </c>
      <c r="BP246" s="75">
        <f t="shared" ca="1" si="255"/>
        <v>0</v>
      </c>
      <c r="BQ246" s="93">
        <f t="shared" ca="1" si="255"/>
        <v>0</v>
      </c>
      <c r="BX246" s="88" t="s">
        <v>14</v>
      </c>
      <c r="BY246" s="97" t="e">
        <f t="shared" ref="BY246:CC249" ca="1" si="256">CD246*CD172</f>
        <v>#VALUE!</v>
      </c>
      <c r="BZ246" s="79" t="e">
        <f t="shared" ca="1" si="256"/>
        <v>#VALUE!</v>
      </c>
      <c r="CA246" s="79" t="e">
        <f t="shared" ca="1" si="256"/>
        <v>#VALUE!</v>
      </c>
      <c r="CB246" s="79" t="e">
        <f t="shared" ca="1" si="256"/>
        <v>#VALUE!</v>
      </c>
      <c r="CC246" s="98" t="e">
        <f t="shared" ca="1" si="256"/>
        <v>#VALUE!</v>
      </c>
      <c r="CD246" s="92">
        <f t="shared" ref="CD246:CH249" ca="1" si="257">BM246</f>
        <v>0</v>
      </c>
      <c r="CE246" s="75">
        <f t="shared" ca="1" si="257"/>
        <v>0</v>
      </c>
      <c r="CF246" s="75">
        <f t="shared" ca="1" si="257"/>
        <v>0</v>
      </c>
      <c r="CG246" s="75">
        <f t="shared" ca="1" si="257"/>
        <v>0</v>
      </c>
      <c r="CH246" s="93">
        <f t="shared" ca="1" si="257"/>
        <v>0</v>
      </c>
      <c r="CO246" s="252"/>
      <c r="CP246" s="252"/>
    </row>
    <row r="247" spans="2:135" x14ac:dyDescent="0.35">
      <c r="B247" s="105" t="s">
        <v>11</v>
      </c>
      <c r="C247" s="106">
        <v>90</v>
      </c>
      <c r="D247" s="106" t="s">
        <v>12</v>
      </c>
      <c r="E247" s="107" t="s">
        <v>12</v>
      </c>
      <c r="F247" s="106"/>
      <c r="H247" s="108" t="s">
        <v>15</v>
      </c>
      <c r="I247" s="72" t="e" cm="1">
        <f t="array" aca="1" ref="I247" ca="1">SUMIFS(rng_out_awp_pre_yr1, rng_out_GB_Medispan, "B", rng_out_sel_G_ind, "B", rng_out_mail_ind, $B247, rng_out_ds, $C247, rng_out_sel_sp_ind, $D247) - I351</f>
        <v>#VALUE!</v>
      </c>
      <c r="J247" s="5" t="e" cm="1">
        <f t="array" aca="1" ref="J247" ca="1">SUMIFS(rng_out_awp_pre_yr2, rng_out_GB_Medispan, "B", rng_out_sel_G_ind, "B", rng_out_mail_ind, $B247, rng_out_ds, $C247, rng_out_sel_sp_ind, $D247) - J351</f>
        <v>#VALUE!</v>
      </c>
      <c r="K247" s="5" t="e" cm="1">
        <f t="array" aca="1" ref="K247" ca="1">SUMIFS(rng_out_awp_pre_yr3, rng_out_GB_Medispan, "B", rng_out_sel_G_ind, "B", rng_out_mail_ind, $B247, rng_out_ds, $C247, rng_out_sel_sp_ind, $D247) - K351</f>
        <v>#VALUE!</v>
      </c>
      <c r="L247" s="5" t="e" cm="1">
        <f t="array" aca="1" ref="L247" ca="1">SUMIFS(rng_out_awp_pre_yr4, rng_out_GB_Medispan, "B", rng_out_sel_G_ind, "B", rng_out_mail_ind, $B247, rng_out_ds, $C247, rng_out_sel_sp_ind, $D247) - L351</f>
        <v>#VALUE!</v>
      </c>
      <c r="M247" s="73" t="e" cm="1">
        <f t="array" aca="1" ref="M247" ca="1">SUMIFS(rng_out_awp_pre_yr5, rng_out_GB_Medispan, "B", rng_out_sel_G_ind, "B", rng_out_mail_ind, $B247, rng_out_ds, $C247, rng_out_sel_sp_ind, $D247) - M351</f>
        <v>#VALUE!</v>
      </c>
      <c r="N247" s="74">
        <f t="shared" ca="1" si="251"/>
        <v>0</v>
      </c>
      <c r="O247" s="75">
        <f t="shared" ca="1" si="251"/>
        <v>0</v>
      </c>
      <c r="P247" s="75">
        <f t="shared" ca="1" si="251"/>
        <v>0</v>
      </c>
      <c r="Q247" s="75">
        <f t="shared" ca="1" si="251"/>
        <v>0</v>
      </c>
      <c r="R247" s="76">
        <f t="shared" ca="1" si="251"/>
        <v>0</v>
      </c>
      <c r="Y247" s="109" t="s">
        <v>15</v>
      </c>
      <c r="Z247" s="78">
        <f ca="1">IFERROR(I247/[1]Tables!$AT$4, 0)</f>
        <v>0</v>
      </c>
      <c r="AA247" s="79">
        <f ca="1">IFERROR(J247/[1]Tables!$AT$4, 0)</f>
        <v>0</v>
      </c>
      <c r="AB247" s="79">
        <f ca="1">IFERROR(K247/[1]Tables!$AT$4, 0)</f>
        <v>0</v>
      </c>
      <c r="AC247" s="79">
        <f ca="1">IFERROR(L247/[1]Tables!$AT$4, 0)</f>
        <v>0</v>
      </c>
      <c r="AD247" s="80">
        <f ca="1">IFERROR(M247/[1]Tables!$AT$4, 0)</f>
        <v>0</v>
      </c>
      <c r="AE247" s="81">
        <f t="shared" ca="1" si="252"/>
        <v>0</v>
      </c>
      <c r="AF247" s="75">
        <f t="shared" ca="1" si="252"/>
        <v>0</v>
      </c>
      <c r="AG247" s="75">
        <f t="shared" ca="1" si="252"/>
        <v>0</v>
      </c>
      <c r="AH247" s="75">
        <f t="shared" ca="1" si="252"/>
        <v>0</v>
      </c>
      <c r="AI247" s="82">
        <f t="shared" ca="1" si="252"/>
        <v>0</v>
      </c>
      <c r="AP247" s="110" t="s">
        <v>15</v>
      </c>
      <c r="AQ247" s="356" t="e" cm="1">
        <f t="array" aca="1" ref="AQ247" ca="1">SUMIFS(rng_out_awp_post_yr1, rng_out_GB_Medispan, "B", rng_out_sel_G_ind, "B", rng_out_mail_ind, $B247, rng_out_ds, $C247, rng_out_sel_sp_ind, $D247)/[1]Tables!$AT$4 - AQ351</f>
        <v>#VALUE!</v>
      </c>
      <c r="AR247" s="5" t="e" cm="1">
        <f t="array" aca="1" ref="AR247" ca="1">SUMIFS(rng_out_awp_post_yr2, rng_out_GB_Medispan, "B", rng_out_sel_G_ind, "B", rng_out_mail_ind, $B247, rng_out_ds, $C247, rng_out_sel_sp_ind, $D247)/[1]Tables!$AT$4 - AR351</f>
        <v>#VALUE!</v>
      </c>
      <c r="AS247" s="5" t="e" cm="1">
        <f t="array" aca="1" ref="AS247" ca="1">SUMIFS(rng_out_awp_post_yr3, rng_out_GB_Medispan, "B", rng_out_sel_G_ind, "B", rng_out_mail_ind, $B247, rng_out_ds, $C247, rng_out_sel_sp_ind, $D247)/[1]Tables!$AT$4 - AS351</f>
        <v>#VALUE!</v>
      </c>
      <c r="AT247" s="5" t="e" cm="1">
        <f t="array" aca="1" ref="AT247" ca="1">SUMIFS(rng_out_awp_post_yr4, rng_out_GB_Medispan, "B", rng_out_sel_G_ind, "B", rng_out_mail_ind, $B247, rng_out_ds, $C247, rng_out_sel_sp_ind, $D247)/[1]Tables!$AT$4 - AT351</f>
        <v>#VALUE!</v>
      </c>
      <c r="AU247" s="85" t="e" cm="1">
        <f t="array" aca="1" ref="AU247" ca="1">SUMIFS(rng_out_awp_post_yr5, rng_out_GB_Medispan, "B", rng_out_sel_G_ind, "B", rng_out_mail_ind, $B247, rng_out_ds, $C247, rng_out_sel_sp_ind, $D247)/[1]Tables!$AT$4 - AU351</f>
        <v>#VALUE!</v>
      </c>
      <c r="AV247" s="86">
        <f t="shared" ca="1" si="253"/>
        <v>0</v>
      </c>
      <c r="AW247" s="75">
        <f t="shared" ca="1" si="253"/>
        <v>0</v>
      </c>
      <c r="AX247" s="75">
        <f t="shared" ca="1" si="253"/>
        <v>0</v>
      </c>
      <c r="AY247" s="75">
        <f t="shared" ca="1" si="253"/>
        <v>0</v>
      </c>
      <c r="AZ247" s="87">
        <f t="shared" ca="1" si="253"/>
        <v>0</v>
      </c>
      <c r="BG247" s="111" t="s">
        <v>15</v>
      </c>
      <c r="BH247" s="97" t="e">
        <f t="shared" ca="1" si="254"/>
        <v>#VALUE!</v>
      </c>
      <c r="BI247" s="79" t="e">
        <f t="shared" ca="1" si="254"/>
        <v>#VALUE!</v>
      </c>
      <c r="BJ247" s="79" t="e">
        <f t="shared" ca="1" si="254"/>
        <v>#VALUE!</v>
      </c>
      <c r="BK247" s="79" t="e">
        <f t="shared" ca="1" si="254"/>
        <v>#VALUE!</v>
      </c>
      <c r="BL247" s="98" t="e">
        <f t="shared" ca="1" si="254"/>
        <v>#VALUE!</v>
      </c>
      <c r="BM247" s="92">
        <f t="shared" ca="1" si="255"/>
        <v>0</v>
      </c>
      <c r="BN247" s="75">
        <f t="shared" ca="1" si="255"/>
        <v>0</v>
      </c>
      <c r="BO247" s="75">
        <f t="shared" ca="1" si="255"/>
        <v>0</v>
      </c>
      <c r="BP247" s="75">
        <f t="shared" ca="1" si="255"/>
        <v>0</v>
      </c>
      <c r="BQ247" s="93">
        <f t="shared" ca="1" si="255"/>
        <v>0</v>
      </c>
      <c r="BX247" s="111" t="s">
        <v>15</v>
      </c>
      <c r="BY247" s="97" t="e">
        <f t="shared" ca="1" si="256"/>
        <v>#VALUE!</v>
      </c>
      <c r="BZ247" s="79" t="e">
        <f t="shared" ca="1" si="256"/>
        <v>#VALUE!</v>
      </c>
      <c r="CA247" s="79" t="e">
        <f t="shared" ca="1" si="256"/>
        <v>#VALUE!</v>
      </c>
      <c r="CB247" s="79" t="e">
        <f t="shared" ca="1" si="256"/>
        <v>#VALUE!</v>
      </c>
      <c r="CC247" s="98" t="e">
        <f t="shared" ca="1" si="256"/>
        <v>#VALUE!</v>
      </c>
      <c r="CD247" s="92">
        <f t="shared" ca="1" si="257"/>
        <v>0</v>
      </c>
      <c r="CE247" s="75">
        <f t="shared" ca="1" si="257"/>
        <v>0</v>
      </c>
      <c r="CF247" s="75">
        <f t="shared" ca="1" si="257"/>
        <v>0</v>
      </c>
      <c r="CG247" s="75">
        <f t="shared" ca="1" si="257"/>
        <v>0</v>
      </c>
      <c r="CH247" s="93">
        <f t="shared" ca="1" si="257"/>
        <v>0</v>
      </c>
      <c r="CO247" s="252"/>
      <c r="CP247" s="252"/>
    </row>
    <row r="248" spans="2:135" x14ac:dyDescent="0.35">
      <c r="B248" s="105" t="s">
        <v>16</v>
      </c>
      <c r="C248" s="106"/>
      <c r="D248" s="106" t="s">
        <v>12</v>
      </c>
      <c r="E248" s="107" t="s">
        <v>12</v>
      </c>
      <c r="F248" s="106"/>
      <c r="H248" s="118" t="s">
        <v>7</v>
      </c>
      <c r="I248" s="72" t="e" cm="1">
        <f t="array" aca="1" ref="I248" ca="1">SUMIFS(rng_out_awp_pre_yr1, rng_out_GB_Medispan, "B", rng_out_sel_G_ind, "B", rng_out_mail_ind, $B248, rng_out_sel_sp_ind, $D248) - I352</f>
        <v>#VALUE!</v>
      </c>
      <c r="J248" s="5" t="e" cm="1">
        <f t="array" aca="1" ref="J248" ca="1">SUMIFS(rng_out_awp_pre_yr2, rng_out_GB_Medispan, "B", rng_out_sel_G_ind, "B", rng_out_mail_ind, $B248, rng_out_sel_sp_ind, $D248) - J352</f>
        <v>#VALUE!</v>
      </c>
      <c r="K248" s="5" t="e" cm="1">
        <f t="array" aca="1" ref="K248" ca="1">SUMIFS(rng_out_awp_pre_yr3, rng_out_GB_Medispan, "B", rng_out_sel_G_ind, "B", rng_out_mail_ind, $B248, rng_out_sel_sp_ind, $D248) - K352</f>
        <v>#VALUE!</v>
      </c>
      <c r="L248" s="5" t="e" cm="1">
        <f t="array" aca="1" ref="L248" ca="1">SUMIFS(rng_out_awp_pre_yr4, rng_out_GB_Medispan, "B", rng_out_sel_G_ind, "B", rng_out_mail_ind, $B248, rng_out_sel_sp_ind, $D248) - L352</f>
        <v>#VALUE!</v>
      </c>
      <c r="M248" s="73" t="e" cm="1">
        <f t="array" aca="1" ref="M248" ca="1">SUMIFS(rng_out_awp_pre_yr5, rng_out_GB_Medispan, "B", rng_out_sel_G_ind, "B", rng_out_mail_ind, $B248, rng_out_sel_sp_ind, $D248) - M352</f>
        <v>#VALUE!</v>
      </c>
      <c r="N248" s="74">
        <f t="shared" ca="1" si="251"/>
        <v>0</v>
      </c>
      <c r="O248" s="75">
        <f t="shared" ca="1" si="251"/>
        <v>0</v>
      </c>
      <c r="P248" s="75">
        <f t="shared" ca="1" si="251"/>
        <v>0</v>
      </c>
      <c r="Q248" s="75">
        <f t="shared" ca="1" si="251"/>
        <v>0</v>
      </c>
      <c r="R248" s="76">
        <f t="shared" ca="1" si="251"/>
        <v>0</v>
      </c>
      <c r="Y248" s="119" t="s">
        <v>7</v>
      </c>
      <c r="Z248" s="78">
        <f ca="1">IFERROR(I248/[1]Tables!$AT$4, 0)</f>
        <v>0</v>
      </c>
      <c r="AA248" s="79">
        <f ca="1">IFERROR(J248/[1]Tables!$AT$4, 0)</f>
        <v>0</v>
      </c>
      <c r="AB248" s="79">
        <f ca="1">IFERROR(K248/[1]Tables!$AT$4, 0)</f>
        <v>0</v>
      </c>
      <c r="AC248" s="79">
        <f ca="1">IFERROR(L248/[1]Tables!$AT$4, 0)</f>
        <v>0</v>
      </c>
      <c r="AD248" s="80">
        <f ca="1">IFERROR(M248/[1]Tables!$AT$4, 0)</f>
        <v>0</v>
      </c>
      <c r="AE248" s="81">
        <f t="shared" ca="1" si="252"/>
        <v>0</v>
      </c>
      <c r="AF248" s="75">
        <f t="shared" ca="1" si="252"/>
        <v>0</v>
      </c>
      <c r="AG248" s="75">
        <f t="shared" ca="1" si="252"/>
        <v>0</v>
      </c>
      <c r="AH248" s="75">
        <f t="shared" ca="1" si="252"/>
        <v>0</v>
      </c>
      <c r="AI248" s="82">
        <f t="shared" ca="1" si="252"/>
        <v>0</v>
      </c>
      <c r="AP248" s="120" t="s">
        <v>7</v>
      </c>
      <c r="AQ248" s="356" t="e" cm="1">
        <f t="array" aca="1" ref="AQ248" ca="1">SUMIFS(rng_out_awp_post_yr1, rng_out_GB_Medispan, "B", rng_out_sel_G_ind, "B", rng_out_mail_ind, $B248, rng_out_sel_sp_ind, $D248)/[1]Tables!$AT$4 - AQ352</f>
        <v>#VALUE!</v>
      </c>
      <c r="AR248" s="5" t="e" cm="1">
        <f t="array" aca="1" ref="AR248" ca="1">SUMIFS(rng_out_awp_post_yr2, rng_out_GB_Medispan, "B", rng_out_sel_G_ind, "B", rng_out_mail_ind, $B248, rng_out_sel_sp_ind, $D248)/[1]Tables!$AT$4 - AR352</f>
        <v>#VALUE!</v>
      </c>
      <c r="AS248" s="5" t="e" cm="1">
        <f t="array" aca="1" ref="AS248" ca="1">SUMIFS(rng_out_awp_post_yr3, rng_out_GB_Medispan, "B", rng_out_sel_G_ind, "B", rng_out_mail_ind, $B248, rng_out_sel_sp_ind, $D248)/[1]Tables!$AT$4 - AS352</f>
        <v>#VALUE!</v>
      </c>
      <c r="AT248" s="5" t="e" cm="1">
        <f t="array" aca="1" ref="AT248" ca="1">SUMIFS(rng_out_awp_post_yr4, rng_out_GB_Medispan, "B", rng_out_sel_G_ind, "B", rng_out_mail_ind, $B248, rng_out_sel_sp_ind, $D248)/[1]Tables!$AT$4 - AT352</f>
        <v>#VALUE!</v>
      </c>
      <c r="AU248" s="85" t="e" cm="1">
        <f t="array" aca="1" ref="AU248" ca="1">SUMIFS(rng_out_awp_post_yr5, rng_out_GB_Medispan, "B", rng_out_sel_G_ind, "B", rng_out_mail_ind, $B248, rng_out_sel_sp_ind, $D248)/[1]Tables!$AT$4 - AU352</f>
        <v>#VALUE!</v>
      </c>
      <c r="AV248" s="86">
        <f t="shared" ca="1" si="253"/>
        <v>0</v>
      </c>
      <c r="AW248" s="75">
        <f t="shared" ca="1" si="253"/>
        <v>0</v>
      </c>
      <c r="AX248" s="75">
        <f t="shared" ca="1" si="253"/>
        <v>0</v>
      </c>
      <c r="AY248" s="75">
        <f t="shared" ca="1" si="253"/>
        <v>0</v>
      </c>
      <c r="AZ248" s="87">
        <f t="shared" ca="1" si="253"/>
        <v>0</v>
      </c>
      <c r="BG248" s="121" t="s">
        <v>7</v>
      </c>
      <c r="BH248" s="97" t="e">
        <f t="shared" ca="1" si="254"/>
        <v>#VALUE!</v>
      </c>
      <c r="BI248" s="79" t="e">
        <f t="shared" ca="1" si="254"/>
        <v>#VALUE!</v>
      </c>
      <c r="BJ248" s="79" t="e">
        <f t="shared" ca="1" si="254"/>
        <v>#VALUE!</v>
      </c>
      <c r="BK248" s="79" t="e">
        <f t="shared" ca="1" si="254"/>
        <v>#VALUE!</v>
      </c>
      <c r="BL248" s="98" t="e">
        <f t="shared" ca="1" si="254"/>
        <v>#VALUE!</v>
      </c>
      <c r="BM248" s="92">
        <f t="shared" ca="1" si="255"/>
        <v>0</v>
      </c>
      <c r="BN248" s="75">
        <f t="shared" ca="1" si="255"/>
        <v>0</v>
      </c>
      <c r="BO248" s="75">
        <f t="shared" ca="1" si="255"/>
        <v>0</v>
      </c>
      <c r="BP248" s="75">
        <f t="shared" ca="1" si="255"/>
        <v>0</v>
      </c>
      <c r="BQ248" s="93">
        <f t="shared" ca="1" si="255"/>
        <v>0</v>
      </c>
      <c r="BX248" s="121" t="s">
        <v>7</v>
      </c>
      <c r="BY248" s="97" t="e">
        <f t="shared" ca="1" si="256"/>
        <v>#VALUE!</v>
      </c>
      <c r="BZ248" s="79" t="e">
        <f t="shared" ca="1" si="256"/>
        <v>#VALUE!</v>
      </c>
      <c r="CA248" s="79" t="e">
        <f t="shared" ca="1" si="256"/>
        <v>#VALUE!</v>
      </c>
      <c r="CB248" s="79" t="e">
        <f t="shared" ca="1" si="256"/>
        <v>#VALUE!</v>
      </c>
      <c r="CC248" s="98" t="e">
        <f t="shared" ca="1" si="256"/>
        <v>#VALUE!</v>
      </c>
      <c r="CD248" s="92">
        <f t="shared" ca="1" si="257"/>
        <v>0</v>
      </c>
      <c r="CE248" s="75">
        <f t="shared" ca="1" si="257"/>
        <v>0</v>
      </c>
      <c r="CF248" s="75">
        <f t="shared" ca="1" si="257"/>
        <v>0</v>
      </c>
      <c r="CG248" s="75">
        <f t="shared" ca="1" si="257"/>
        <v>0</v>
      </c>
      <c r="CH248" s="93">
        <f t="shared" ca="1" si="257"/>
        <v>0</v>
      </c>
      <c r="CO248" s="252"/>
      <c r="CP248" s="252"/>
    </row>
    <row r="249" spans="2:135" ht="15" thickBot="1" x14ac:dyDescent="0.4">
      <c r="B249" s="122"/>
      <c r="C249" s="123"/>
      <c r="D249" s="123" t="s">
        <v>13</v>
      </c>
      <c r="E249" s="124" t="s">
        <v>12</v>
      </c>
      <c r="F249" s="106"/>
      <c r="H249" s="118" t="s">
        <v>17</v>
      </c>
      <c r="I249" s="72" t="e" cm="1">
        <f t="array" aca="1" ref="I249" ca="1">SUMIFS(rng_out_awp_pre_yr1, rng_out_GB_Medispan, "B", rng_out_sel_G_ind, "B", rng_out_sel_sp_ind, $D249) - I353</f>
        <v>#VALUE!</v>
      </c>
      <c r="J249" s="5" t="e" cm="1">
        <f t="array" aca="1" ref="J249" ca="1">SUMIFS(rng_out_awp_pre_yr2, rng_out_GB_Medispan, "B", rng_out_sel_G_ind, "B", rng_out_sel_sp_ind, $D249) - J353</f>
        <v>#VALUE!</v>
      </c>
      <c r="K249" s="5" t="e" cm="1">
        <f t="array" aca="1" ref="K249" ca="1">SUMIFS(rng_out_awp_pre_yr3, rng_out_GB_Medispan, "B", rng_out_sel_G_ind, "B", rng_out_sel_sp_ind, $D249) - K353</f>
        <v>#VALUE!</v>
      </c>
      <c r="L249" s="5" t="e" cm="1">
        <f t="array" aca="1" ref="L249" ca="1">SUMIFS(rng_out_awp_pre_yr4, rng_out_GB_Medispan, "B", rng_out_sel_G_ind, "B", rng_out_sel_sp_ind, $D249) - L353</f>
        <v>#VALUE!</v>
      </c>
      <c r="M249" s="125" t="e" cm="1">
        <f t="array" aca="1" ref="M249" ca="1">SUMIFS(rng_out_awp_pre_yr5, rng_out_GB_Medispan, "B", rng_out_sel_G_ind, "B", rng_out_sel_sp_ind, $D249) - M353</f>
        <v>#VALUE!</v>
      </c>
      <c r="N249" s="74">
        <f t="shared" ca="1" si="251"/>
        <v>0</v>
      </c>
      <c r="O249" s="75">
        <f t="shared" ca="1" si="251"/>
        <v>0</v>
      </c>
      <c r="P249" s="75">
        <f t="shared" ca="1" si="251"/>
        <v>0</v>
      </c>
      <c r="Q249" s="75">
        <f t="shared" ca="1" si="251"/>
        <v>0</v>
      </c>
      <c r="R249" s="126">
        <f t="shared" ca="1" si="251"/>
        <v>0</v>
      </c>
      <c r="Y249" s="119" t="s">
        <v>17</v>
      </c>
      <c r="Z249" s="127">
        <f ca="1">IFERROR(I249/[1]Tables!$AT$4, 0)</f>
        <v>0</v>
      </c>
      <c r="AA249" s="128">
        <f ca="1">IFERROR(J249/[1]Tables!$AT$4, 0)</f>
        <v>0</v>
      </c>
      <c r="AB249" s="128">
        <f ca="1">IFERROR(K249/[1]Tables!$AT$4, 0)</f>
        <v>0</v>
      </c>
      <c r="AC249" s="128">
        <f ca="1">IFERROR(L249/[1]Tables!$AT$4, 0)</f>
        <v>0</v>
      </c>
      <c r="AD249" s="129">
        <f ca="1">IFERROR(M249/[1]Tables!$AT$4, 0)</f>
        <v>0</v>
      </c>
      <c r="AE249" s="130">
        <f t="shared" ca="1" si="252"/>
        <v>0</v>
      </c>
      <c r="AF249" s="131">
        <f t="shared" ca="1" si="252"/>
        <v>0</v>
      </c>
      <c r="AG249" s="131">
        <f t="shared" ca="1" si="252"/>
        <v>0</v>
      </c>
      <c r="AH249" s="131">
        <f t="shared" ca="1" si="252"/>
        <v>0</v>
      </c>
      <c r="AI249" s="132">
        <f t="shared" ca="1" si="252"/>
        <v>0</v>
      </c>
      <c r="AP249" s="120" t="s">
        <v>17</v>
      </c>
      <c r="AQ249" s="167" t="e" cm="1">
        <f t="array" aca="1" ref="AQ249" ca="1">SUMIFS(rng_out_awp_post_yr1, rng_out_GB_Medispan, "B", rng_out_sel_G_ind, "B", rng_out_sel_sp_ind, $D249)/[1]Tables!$AT$4 - AQ353</f>
        <v>#VALUE!</v>
      </c>
      <c r="AR249" s="134" t="e" cm="1">
        <f t="array" aca="1" ref="AR249" ca="1">SUMIFS(rng_out_awp_post_yr2, rng_out_GB_Medispan, "B", rng_out_sel_G_ind, "B", rng_out_sel_sp_ind, $D249)/[1]Tables!$AT$4 - AR353</f>
        <v>#VALUE!</v>
      </c>
      <c r="AS249" s="134" t="e" cm="1">
        <f t="array" aca="1" ref="AS249" ca="1">SUMIFS(rng_out_awp_post_yr3, rng_out_GB_Medispan, "B", rng_out_sel_G_ind, "B", rng_out_sel_sp_ind, $D249)/[1]Tables!$AT$4 - AS353</f>
        <v>#VALUE!</v>
      </c>
      <c r="AT249" s="134" t="e" cm="1">
        <f t="array" aca="1" ref="AT249" ca="1">SUMIFS(rng_out_awp_post_yr4, rng_out_GB_Medispan, "B", rng_out_sel_G_ind, "B", rng_out_sel_sp_ind, $D249)/[1]Tables!$AT$4 - AT353</f>
        <v>#VALUE!</v>
      </c>
      <c r="AU249" s="135" t="e" cm="1">
        <f t="array" aca="1" ref="AU249" ca="1">SUMIFS(rng_out_awp_post_yr5, rng_out_GB_Medispan, "B", rng_out_sel_G_ind, "B", rng_out_sel_sp_ind, $D249)/[1]Tables!$AT$4 - AU353</f>
        <v>#VALUE!</v>
      </c>
      <c r="AV249" s="136">
        <f t="shared" ca="1" si="253"/>
        <v>0</v>
      </c>
      <c r="AW249" s="137">
        <f t="shared" ca="1" si="253"/>
        <v>0</v>
      </c>
      <c r="AX249" s="137">
        <f t="shared" ca="1" si="253"/>
        <v>0</v>
      </c>
      <c r="AY249" s="137">
        <f t="shared" ca="1" si="253"/>
        <v>0</v>
      </c>
      <c r="AZ249" s="138">
        <f t="shared" ca="1" si="253"/>
        <v>0</v>
      </c>
      <c r="BG249" s="121" t="s">
        <v>17</v>
      </c>
      <c r="BH249" s="145" t="e">
        <f t="shared" ca="1" si="254"/>
        <v>#VALUE!</v>
      </c>
      <c r="BI249" s="146" t="e">
        <f t="shared" ca="1" si="254"/>
        <v>#VALUE!</v>
      </c>
      <c r="BJ249" s="146" t="e">
        <f t="shared" ca="1" si="254"/>
        <v>#VALUE!</v>
      </c>
      <c r="BK249" s="146" t="e">
        <f t="shared" ca="1" si="254"/>
        <v>#VALUE!</v>
      </c>
      <c r="BL249" s="147" t="e">
        <f t="shared" ca="1" si="254"/>
        <v>#VALUE!</v>
      </c>
      <c r="BM249" s="142">
        <f t="shared" ca="1" si="255"/>
        <v>0</v>
      </c>
      <c r="BN249" s="143">
        <f t="shared" ca="1" si="255"/>
        <v>0</v>
      </c>
      <c r="BO249" s="143">
        <f t="shared" ca="1" si="255"/>
        <v>0</v>
      </c>
      <c r="BP249" s="143">
        <f t="shared" ca="1" si="255"/>
        <v>0</v>
      </c>
      <c r="BQ249" s="144">
        <f t="shared" ca="1" si="255"/>
        <v>0</v>
      </c>
      <c r="BX249" s="121" t="s">
        <v>17</v>
      </c>
      <c r="BY249" s="145" t="e">
        <f t="shared" ca="1" si="256"/>
        <v>#VALUE!</v>
      </c>
      <c r="BZ249" s="146" t="e">
        <f t="shared" ca="1" si="256"/>
        <v>#VALUE!</v>
      </c>
      <c r="CA249" s="146" t="e">
        <f t="shared" ca="1" si="256"/>
        <v>#VALUE!</v>
      </c>
      <c r="CB249" s="146" t="e">
        <f t="shared" ca="1" si="256"/>
        <v>#VALUE!</v>
      </c>
      <c r="CC249" s="147" t="e">
        <f t="shared" ca="1" si="256"/>
        <v>#VALUE!</v>
      </c>
      <c r="CD249" s="142">
        <f t="shared" ca="1" si="257"/>
        <v>0</v>
      </c>
      <c r="CE249" s="143">
        <f t="shared" ca="1" si="257"/>
        <v>0</v>
      </c>
      <c r="CF249" s="143">
        <f t="shared" ca="1" si="257"/>
        <v>0</v>
      </c>
      <c r="CG249" s="143">
        <f t="shared" ca="1" si="257"/>
        <v>0</v>
      </c>
      <c r="CH249" s="144">
        <f t="shared" ca="1" si="257"/>
        <v>0</v>
      </c>
      <c r="CO249" s="252"/>
      <c r="CP249" s="252"/>
    </row>
    <row r="250" spans="2:135" ht="15" thickBot="1" x14ac:dyDescent="0.4">
      <c r="B250" s="106"/>
      <c r="C250" s="236"/>
      <c r="D250" s="236" t="s">
        <v>29</v>
      </c>
      <c r="E250" s="237" t="str">
        <f>IF(sel_excl_nonRebatable=1, "Y", "N")</f>
        <v>N</v>
      </c>
      <c r="H250" s="154" t="s">
        <v>18</v>
      </c>
      <c r="I250" s="155" t="e">
        <f ca="1">SUM(I246:I249)</f>
        <v>#VALUE!</v>
      </c>
      <c r="J250" s="155" t="e">
        <f ca="1">SUM(J246:J249)</f>
        <v>#VALUE!</v>
      </c>
      <c r="K250" s="155" t="e">
        <f ca="1">SUM(K246:K249)</f>
        <v>#VALUE!</v>
      </c>
      <c r="L250" s="155" t="e">
        <f ca="1">SUM(L246:L249)</f>
        <v>#VALUE!</v>
      </c>
      <c r="M250" s="156" t="e">
        <f ca="1">SUM(M246:M249)</f>
        <v>#VALUE!</v>
      </c>
      <c r="N250" s="157">
        <f t="shared" ca="1" si="251"/>
        <v>0</v>
      </c>
      <c r="O250" s="157">
        <f t="shared" ca="1" si="251"/>
        <v>0</v>
      </c>
      <c r="P250" s="157">
        <f t="shared" ca="1" si="251"/>
        <v>0</v>
      </c>
      <c r="Q250" s="157">
        <f t="shared" ca="1" si="251"/>
        <v>0</v>
      </c>
      <c r="R250" s="158">
        <f t="shared" ca="1" si="251"/>
        <v>0</v>
      </c>
      <c r="Y250" s="159" t="s">
        <v>18</v>
      </c>
      <c r="Z250" s="160">
        <f ca="1">SUM(Z246:Z249)</f>
        <v>0</v>
      </c>
      <c r="AA250" s="161">
        <f ca="1">SUM(AA246:AA249)</f>
        <v>0</v>
      </c>
      <c r="AB250" s="161">
        <f ca="1">SUM(AB246:AB249)</f>
        <v>0</v>
      </c>
      <c r="AC250" s="161">
        <f ca="1">SUM(AC246:AC249)</f>
        <v>0</v>
      </c>
      <c r="AD250" s="162">
        <f ca="1">SUM(AD246:AD249)</f>
        <v>0</v>
      </c>
      <c r="AE250" s="163">
        <f t="shared" ca="1" si="252"/>
        <v>0</v>
      </c>
      <c r="AF250" s="164">
        <f t="shared" ca="1" si="252"/>
        <v>0</v>
      </c>
      <c r="AG250" s="164">
        <f t="shared" ca="1" si="252"/>
        <v>0</v>
      </c>
      <c r="AH250" s="164">
        <f t="shared" ca="1" si="252"/>
        <v>0</v>
      </c>
      <c r="AI250" s="165">
        <f t="shared" ca="1" si="252"/>
        <v>0</v>
      </c>
      <c r="AP250" s="166" t="s">
        <v>18</v>
      </c>
      <c r="AQ250" s="167" t="e">
        <f ca="1">SUM(AQ246:AQ249)</f>
        <v>#VALUE!</v>
      </c>
      <c r="AR250" s="134" t="e">
        <f ca="1">SUM(AR246:AR249)</f>
        <v>#VALUE!</v>
      </c>
      <c r="AS250" s="134" t="e">
        <f ca="1">SUM(AS246:AS249)</f>
        <v>#VALUE!</v>
      </c>
      <c r="AT250" s="134" t="e">
        <f ca="1">SUM(AT246:AT249)</f>
        <v>#VALUE!</v>
      </c>
      <c r="AU250" s="135" t="e">
        <f ca="1">SUM(AU246:AU249)</f>
        <v>#VALUE!</v>
      </c>
      <c r="AV250" s="168">
        <f t="shared" ca="1" si="253"/>
        <v>0</v>
      </c>
      <c r="AW250" s="169">
        <f t="shared" ca="1" si="253"/>
        <v>0</v>
      </c>
      <c r="AX250" s="169">
        <f t="shared" ca="1" si="253"/>
        <v>0</v>
      </c>
      <c r="AY250" s="169">
        <f t="shared" ca="1" si="253"/>
        <v>0</v>
      </c>
      <c r="AZ250" s="170">
        <f t="shared" ca="1" si="253"/>
        <v>0</v>
      </c>
      <c r="BG250" s="171" t="s">
        <v>18</v>
      </c>
      <c r="BH250" s="172" t="e">
        <f ca="1">SUM(BH246:BH249)</f>
        <v>#VALUE!</v>
      </c>
      <c r="BI250" s="173" t="e">
        <f ca="1">SUM(BI246:BI249)</f>
        <v>#VALUE!</v>
      </c>
      <c r="BJ250" s="173" t="e">
        <f ca="1">SUM(BJ246:BJ249)</f>
        <v>#VALUE!</v>
      </c>
      <c r="BK250" s="173" t="e">
        <f ca="1">SUM(BK246:BK249)</f>
        <v>#VALUE!</v>
      </c>
      <c r="BL250" s="174" t="e">
        <f ca="1">SUM(BL246:BL249)</f>
        <v>#VALUE!</v>
      </c>
      <c r="BM250" s="175">
        <f t="shared" ca="1" si="255"/>
        <v>0</v>
      </c>
      <c r="BN250" s="176">
        <f t="shared" ca="1" si="255"/>
        <v>0</v>
      </c>
      <c r="BO250" s="176">
        <f t="shared" ca="1" si="255"/>
        <v>0</v>
      </c>
      <c r="BP250" s="176">
        <f t="shared" ca="1" si="255"/>
        <v>0</v>
      </c>
      <c r="BQ250" s="177">
        <f t="shared" ca="1" si="255"/>
        <v>0</v>
      </c>
      <c r="BX250" s="171" t="s">
        <v>18</v>
      </c>
      <c r="BY250" s="172" t="e">
        <f ca="1">SUM(BY246:BY249)</f>
        <v>#VALUE!</v>
      </c>
      <c r="BZ250" s="173" t="e">
        <f ca="1">SUM(BZ246:BZ249)</f>
        <v>#VALUE!</v>
      </c>
      <c r="CA250" s="173" t="e">
        <f ca="1">SUM(CA246:CA249)</f>
        <v>#VALUE!</v>
      </c>
      <c r="CB250" s="173" t="e">
        <f ca="1">SUM(CB246:CB249)</f>
        <v>#VALUE!</v>
      </c>
      <c r="CC250" s="174" t="e">
        <f ca="1">SUM(CC246:CC249)</f>
        <v>#VALUE!</v>
      </c>
      <c r="CD250" s="175">
        <f ca="1">IFERROR(BY250/CD176, 0)</f>
        <v>0</v>
      </c>
      <c r="CE250" s="176">
        <f ca="1">IFERROR(BZ250/CE176, 0)</f>
        <v>0</v>
      </c>
      <c r="CF250" s="176">
        <f ca="1">IFERROR(CA250/CF176, 0)</f>
        <v>0</v>
      </c>
      <c r="CG250" s="176">
        <f ca="1">IFERROR(CB250/CG176, 0)</f>
        <v>0</v>
      </c>
      <c r="CH250" s="177">
        <f ca="1">IFERROR(CC250/CH176, 0)</f>
        <v>0</v>
      </c>
      <c r="CO250" s="252"/>
      <c r="CP250" s="252"/>
    </row>
    <row r="251" spans="2:135" ht="15" thickBot="1" x14ac:dyDescent="0.4">
      <c r="S251" s="301"/>
      <c r="CO251" s="252"/>
      <c r="CP251" s="252"/>
    </row>
    <row r="252" spans="2:135" ht="15" thickBot="1" x14ac:dyDescent="0.4">
      <c r="I252" s="21" t="s">
        <v>61</v>
      </c>
      <c r="J252" s="22"/>
      <c r="K252" s="22"/>
      <c r="L252" s="22"/>
      <c r="M252" s="22"/>
      <c r="N252" s="22"/>
      <c r="O252" s="22"/>
      <c r="P252" s="22"/>
      <c r="Q252" s="22"/>
      <c r="R252" s="23"/>
      <c r="Z252" s="24" t="s">
        <v>61</v>
      </c>
      <c r="AA252" s="25"/>
      <c r="AB252" s="25"/>
      <c r="AC252" s="25"/>
      <c r="AD252" s="25"/>
      <c r="AE252" s="25"/>
      <c r="AF252" s="25"/>
      <c r="AG252" s="25"/>
      <c r="AH252" s="25"/>
      <c r="AI252" s="26"/>
      <c r="AQ252" s="354" t="s">
        <v>61</v>
      </c>
      <c r="AR252" s="29"/>
      <c r="AS252" s="29"/>
      <c r="AT252" s="29"/>
      <c r="AU252" s="29"/>
      <c r="AV252" s="29"/>
      <c r="AW252" s="29"/>
      <c r="AX252" s="29"/>
      <c r="AY252" s="29"/>
      <c r="AZ252" s="355"/>
      <c r="BH252" s="31" t="s">
        <v>61</v>
      </c>
      <c r="BI252" s="32"/>
      <c r="BJ252" s="32"/>
      <c r="BK252" s="32"/>
      <c r="BL252" s="32"/>
      <c r="BM252" s="32"/>
      <c r="BN252" s="32"/>
      <c r="BO252" s="32"/>
      <c r="BP252" s="32"/>
      <c r="BQ252" s="33"/>
      <c r="BY252" s="34" t="s">
        <v>61</v>
      </c>
      <c r="BZ252" s="35"/>
      <c r="CA252" s="35"/>
      <c r="CB252" s="35"/>
      <c r="CC252" s="35"/>
      <c r="CD252" s="35"/>
      <c r="CE252" s="35"/>
      <c r="CF252" s="35"/>
      <c r="CG252" s="35"/>
      <c r="CH252" s="36"/>
      <c r="CO252" s="252"/>
      <c r="CP252" s="252"/>
      <c r="EE252" s="5"/>
    </row>
    <row r="253" spans="2:135" ht="15" thickBot="1" x14ac:dyDescent="0.4">
      <c r="H253" s="37"/>
      <c r="I253" s="302" t="s">
        <v>68</v>
      </c>
      <c r="J253" s="303"/>
      <c r="K253" s="303"/>
      <c r="L253" s="303"/>
      <c r="M253" s="304"/>
      <c r="N253" s="302" t="s">
        <v>69</v>
      </c>
      <c r="O253" s="303"/>
      <c r="P253" s="303"/>
      <c r="Q253" s="303"/>
      <c r="R253" s="304"/>
      <c r="Z253" s="41" t="s">
        <v>68</v>
      </c>
      <c r="AA253" s="42"/>
      <c r="AB253" s="42"/>
      <c r="AC253" s="42"/>
      <c r="AD253" s="43"/>
      <c r="AE253" s="41" t="s">
        <v>69</v>
      </c>
      <c r="AF253" s="42"/>
      <c r="AG253" s="42"/>
      <c r="AH253" s="42"/>
      <c r="AI253" s="43"/>
      <c r="AQ253" s="44" t="s">
        <v>68</v>
      </c>
      <c r="AR253" s="45"/>
      <c r="AS253" s="45"/>
      <c r="AT253" s="45"/>
      <c r="AU253" s="46"/>
      <c r="AV253" s="44" t="s">
        <v>69</v>
      </c>
      <c r="AW253" s="45"/>
      <c r="AX253" s="45"/>
      <c r="AY253" s="45"/>
      <c r="AZ253" s="46"/>
      <c r="BH253" s="305" t="s">
        <v>68</v>
      </c>
      <c r="BI253" s="306"/>
      <c r="BJ253" s="306"/>
      <c r="BK253" s="306"/>
      <c r="BL253" s="307"/>
      <c r="BM253" s="305" t="s">
        <v>69</v>
      </c>
      <c r="BN253" s="306"/>
      <c r="BO253" s="306"/>
      <c r="BP253" s="306"/>
      <c r="BQ253" s="307"/>
      <c r="BY253" s="305" t="s">
        <v>68</v>
      </c>
      <c r="BZ253" s="306"/>
      <c r="CA253" s="306"/>
      <c r="CB253" s="306"/>
      <c r="CC253" s="307"/>
      <c r="CD253" s="305" t="s">
        <v>69</v>
      </c>
      <c r="CE253" s="306"/>
      <c r="CF253" s="306"/>
      <c r="CG253" s="306"/>
      <c r="CH253" s="307"/>
      <c r="CO253" s="252"/>
      <c r="CP253" s="252"/>
      <c r="EE253" s="5"/>
    </row>
    <row r="254" spans="2:135" ht="15" thickBot="1" x14ac:dyDescent="0.4">
      <c r="H254" s="55"/>
      <c r="I254" s="56" t="str">
        <f>[1]Tables!$AA$4</f>
        <v>07/27 - 06/28</v>
      </c>
      <c r="J254" s="55" t="str">
        <f>[1]Tables!$AA$5</f>
        <v>07/28 - 06/29</v>
      </c>
      <c r="K254" s="55" t="str">
        <f>[1]Tables!$AA$6</f>
        <v>07/29 - 06/30</v>
      </c>
      <c r="L254" s="55" t="str">
        <f>[1]Tables!$AA$7</f>
        <v>07/30 - 06/31</v>
      </c>
      <c r="M254" s="57" t="str">
        <f>[1]Tables!$AA$8</f>
        <v>07/31 - 06/32</v>
      </c>
      <c r="N254" s="56" t="str">
        <f>[1]Tables!$AA$4</f>
        <v>07/27 - 06/28</v>
      </c>
      <c r="O254" s="55" t="str">
        <f>[1]Tables!$AA$5</f>
        <v>07/28 - 06/29</v>
      </c>
      <c r="P254" s="55" t="str">
        <f>[1]Tables!$AA$6</f>
        <v>07/29 - 06/30</v>
      </c>
      <c r="Q254" s="55" t="str">
        <f>[1]Tables!$AA$7</f>
        <v>07/30 - 06/31</v>
      </c>
      <c r="R254" s="57" t="str">
        <f>[1]Tables!$AA$8</f>
        <v>07/31 - 06/32</v>
      </c>
      <c r="Y254" s="58"/>
      <c r="Z254" s="59" t="str">
        <f>[1]Tables!$AA$4</f>
        <v>07/27 - 06/28</v>
      </c>
      <c r="AA254" s="60" t="str">
        <f>[1]Tables!$AA$5</f>
        <v>07/28 - 06/29</v>
      </c>
      <c r="AB254" s="60" t="str">
        <f>[1]Tables!$AA$6</f>
        <v>07/29 - 06/30</v>
      </c>
      <c r="AC254" s="60" t="str">
        <f>[1]Tables!$AA$7</f>
        <v>07/30 - 06/31</v>
      </c>
      <c r="AD254" s="61" t="str">
        <f>[1]Tables!$AA$8</f>
        <v>07/31 - 06/32</v>
      </c>
      <c r="AE254" s="59" t="str">
        <f>[1]Tables!$AA$4</f>
        <v>07/27 - 06/28</v>
      </c>
      <c r="AF254" s="60" t="str">
        <f>[1]Tables!$AA$5</f>
        <v>07/28 - 06/29</v>
      </c>
      <c r="AG254" s="60" t="str">
        <f>[1]Tables!$AA$6</f>
        <v>07/29 - 06/30</v>
      </c>
      <c r="AH254" s="60" t="str">
        <f>[1]Tables!$AA$7</f>
        <v>07/30 - 06/31</v>
      </c>
      <c r="AI254" s="61" t="str">
        <f>[1]Tables!$AA$8</f>
        <v>07/31 - 06/32</v>
      </c>
      <c r="AP254" s="58"/>
      <c r="AQ254" s="62" t="str">
        <f>[1]Tables!$AA$4</f>
        <v>07/27 - 06/28</v>
      </c>
      <c r="AR254" s="63" t="str">
        <f>[1]Tables!$AA$5</f>
        <v>07/28 - 06/29</v>
      </c>
      <c r="AS254" s="63" t="str">
        <f>[1]Tables!$AA$6</f>
        <v>07/29 - 06/30</v>
      </c>
      <c r="AT254" s="63" t="str">
        <f>[1]Tables!$AA$7</f>
        <v>07/30 - 06/31</v>
      </c>
      <c r="AU254" s="64" t="str">
        <f>[1]Tables!$AA$8</f>
        <v>07/31 - 06/32</v>
      </c>
      <c r="AV254" s="62" t="str">
        <f>[1]Tables!$AA$4</f>
        <v>07/27 - 06/28</v>
      </c>
      <c r="AW254" s="63" t="str">
        <f>[1]Tables!$AA$5</f>
        <v>07/28 - 06/29</v>
      </c>
      <c r="AX254" s="63" t="str">
        <f>[1]Tables!$AA$6</f>
        <v>07/29 - 06/30</v>
      </c>
      <c r="AY254" s="63" t="str">
        <f>[1]Tables!$AA$7</f>
        <v>07/30 - 06/31</v>
      </c>
      <c r="AZ254" s="64" t="str">
        <f>[1]Tables!$AA$8</f>
        <v>07/31 - 06/32</v>
      </c>
      <c r="BG254" s="58"/>
      <c r="BH254" s="65" t="str">
        <f>[1]Tables!$AA$4</f>
        <v>07/27 - 06/28</v>
      </c>
      <c r="BI254" s="66" t="str">
        <f>[1]Tables!$AA$5</f>
        <v>07/28 - 06/29</v>
      </c>
      <c r="BJ254" s="66" t="str">
        <f>[1]Tables!$AA$6</f>
        <v>07/29 - 06/30</v>
      </c>
      <c r="BK254" s="66" t="str">
        <f>[1]Tables!$AA$7</f>
        <v>07/30 - 06/31</v>
      </c>
      <c r="BL254" s="67" t="str">
        <f>[1]Tables!$AA$8</f>
        <v>07/31 - 06/32</v>
      </c>
      <c r="BM254" s="65" t="str">
        <f>[1]Tables!$AA$4</f>
        <v>07/27 - 06/28</v>
      </c>
      <c r="BN254" s="66" t="str">
        <f>[1]Tables!$AA$5</f>
        <v>07/28 - 06/29</v>
      </c>
      <c r="BO254" s="66" t="str">
        <f>[1]Tables!$AA$6</f>
        <v>07/29 - 06/30</v>
      </c>
      <c r="BP254" s="66" t="str">
        <f>[1]Tables!$AA$7</f>
        <v>07/30 - 06/31</v>
      </c>
      <c r="BQ254" s="67" t="str">
        <f>[1]Tables!$AA$8</f>
        <v>07/31 - 06/32</v>
      </c>
      <c r="BX254" s="58"/>
      <c r="BY254" s="65" t="str">
        <f>[1]Tables!$AA$4</f>
        <v>07/27 - 06/28</v>
      </c>
      <c r="BZ254" s="66" t="str">
        <f>[1]Tables!$AA$5</f>
        <v>07/28 - 06/29</v>
      </c>
      <c r="CA254" s="66" t="str">
        <f>[1]Tables!$AA$6</f>
        <v>07/29 - 06/30</v>
      </c>
      <c r="CB254" s="66" t="str">
        <f>[1]Tables!$AA$7</f>
        <v>07/30 - 06/31</v>
      </c>
      <c r="CC254" s="67" t="str">
        <f>[1]Tables!$AA$8</f>
        <v>07/31 - 06/32</v>
      </c>
      <c r="CD254" s="65" t="str">
        <f>[1]Tables!$AA$4</f>
        <v>07/27 - 06/28</v>
      </c>
      <c r="CE254" s="66" t="str">
        <f>[1]Tables!$AA$5</f>
        <v>07/28 - 06/29</v>
      </c>
      <c r="CF254" s="66" t="str">
        <f>[1]Tables!$AA$6</f>
        <v>07/29 - 06/30</v>
      </c>
      <c r="CG254" s="66" t="str">
        <f>[1]Tables!$AA$7</f>
        <v>07/30 - 06/31</v>
      </c>
      <c r="CH254" s="67" t="str">
        <f>[1]Tables!$AA$8</f>
        <v>07/31 - 06/32</v>
      </c>
      <c r="CO254" s="252"/>
      <c r="CP254" s="252"/>
      <c r="EE254" s="5"/>
    </row>
    <row r="255" spans="2:135" x14ac:dyDescent="0.35">
      <c r="B255" s="68" t="s">
        <v>11</v>
      </c>
      <c r="C255" s="69">
        <v>30</v>
      </c>
      <c r="D255" s="69" t="s">
        <v>12</v>
      </c>
      <c r="E255" s="70" t="s">
        <v>12</v>
      </c>
      <c r="F255" s="106"/>
      <c r="H255" s="71" t="s">
        <v>14</v>
      </c>
      <c r="I255" s="72" t="e" cm="1">
        <f t="array" aca="1" ref="I255" ca="1">SUMIFS(rng_out_awp_pre_yr1, rng_out_GB_Medispan, "B", rng_out_sel_G_ind, "G", rng_out_mail_ind, $B255, rng_out_ds, $C255, rng_out_sel_sp_ind, $D255) - I359</f>
        <v>#VALUE!</v>
      </c>
      <c r="J255" s="5" t="e" cm="1">
        <f t="array" aca="1" ref="J255" ca="1">SUMIFS(rng_out_awp_pre_yr2, rng_out_GB_Medispan, "B", rng_out_sel_G_ind, "G", rng_out_mail_ind, $B255, rng_out_ds, $C255, rng_out_sel_sp_ind, $D255) - J359</f>
        <v>#VALUE!</v>
      </c>
      <c r="K255" s="5" t="e" cm="1">
        <f t="array" aca="1" ref="K255" ca="1">SUMIFS(rng_out_awp_pre_yr3, rng_out_GB_Medispan, "B", rng_out_sel_G_ind, "G", rng_out_mail_ind, $B255, rng_out_ds, $C255, rng_out_sel_sp_ind, $D255) - K359</f>
        <v>#VALUE!</v>
      </c>
      <c r="L255" s="5" t="e" cm="1">
        <f t="array" aca="1" ref="L255" ca="1">SUMIFS(rng_out_awp_pre_yr4, rng_out_GB_Medispan, "B", rng_out_sel_G_ind, "G", rng_out_mail_ind, $B255, rng_out_ds, $C255, rng_out_sel_sp_ind, $D255) - L359</f>
        <v>#VALUE!</v>
      </c>
      <c r="M255" s="73" t="e" cm="1">
        <f t="array" aca="1" ref="M255" ca="1">SUMIFS(rng_out_awp_pre_yr5, rng_out_GB_Medispan, "B", rng_out_sel_G_ind, "G", rng_out_mail_ind, $B255, rng_out_ds, $C255, rng_out_sel_sp_ind, $D255) - M359</f>
        <v>#VALUE!</v>
      </c>
      <c r="N255" s="74">
        <f t="shared" ref="N255:R259" ca="1" si="258">IFERROR(I255/N181, 0)</f>
        <v>0</v>
      </c>
      <c r="O255" s="75">
        <f t="shared" ca="1" si="258"/>
        <v>0</v>
      </c>
      <c r="P255" s="75">
        <f t="shared" ca="1" si="258"/>
        <v>0</v>
      </c>
      <c r="Q255" s="75">
        <f t="shared" ca="1" si="258"/>
        <v>0</v>
      </c>
      <c r="R255" s="76">
        <f t="shared" ca="1" si="258"/>
        <v>0</v>
      </c>
      <c r="Y255" s="77" t="s">
        <v>14</v>
      </c>
      <c r="Z255" s="78">
        <f ca="1">IFERROR(I255/[1]Tables!$AT$4, 0)</f>
        <v>0</v>
      </c>
      <c r="AA255" s="79">
        <f ca="1">IFERROR(J255/[1]Tables!$AT$4, 0)</f>
        <v>0</v>
      </c>
      <c r="AB255" s="79">
        <f ca="1">IFERROR(K255/[1]Tables!$AT$4, 0)</f>
        <v>0</v>
      </c>
      <c r="AC255" s="79">
        <f ca="1">IFERROR(L255/[1]Tables!$AT$4, 0)</f>
        <v>0</v>
      </c>
      <c r="AD255" s="80">
        <f ca="1">IFERROR(M255/[1]Tables!$AT$4, 0)</f>
        <v>0</v>
      </c>
      <c r="AE255" s="81">
        <f t="shared" ref="AE255:AI259" ca="1" si="259">IFERROR(Z255/AE181, 0)</f>
        <v>0</v>
      </c>
      <c r="AF255" s="75">
        <f t="shared" ca="1" si="259"/>
        <v>0</v>
      </c>
      <c r="AG255" s="75">
        <f t="shared" ca="1" si="259"/>
        <v>0</v>
      </c>
      <c r="AH255" s="75">
        <f t="shared" ca="1" si="259"/>
        <v>0</v>
      </c>
      <c r="AI255" s="82">
        <f t="shared" ca="1" si="259"/>
        <v>0</v>
      </c>
      <c r="AP255" s="83" t="s">
        <v>14</v>
      </c>
      <c r="AQ255" s="356" t="e" cm="1">
        <f t="array" aca="1" ref="AQ255" ca="1">SUMIFS(rng_out_awp_post_yr1, rng_out_GB_Medispan, "B", rng_out_sel_G_ind, "G", rng_out_mail_ind, $B255, rng_out_ds, $C255, rng_out_sel_sp_ind, $D255)/[1]Tables!$AT$4 - AQ359</f>
        <v>#VALUE!</v>
      </c>
      <c r="AR255" s="5" t="e" cm="1">
        <f t="array" aca="1" ref="AR255" ca="1">SUMIFS(rng_out_awp_post_yr2, rng_out_GB_Medispan, "B", rng_out_sel_G_ind, "G", rng_out_mail_ind, $B255, rng_out_ds, $C255, rng_out_sel_sp_ind, $D255)/[1]Tables!$AT$4 - AR359</f>
        <v>#VALUE!</v>
      </c>
      <c r="AS255" s="5" t="e" cm="1">
        <f t="array" aca="1" ref="AS255" ca="1">SUMIFS(rng_out_awp_post_yr3, rng_out_GB_Medispan, "B", rng_out_sel_G_ind, "G", rng_out_mail_ind, $B255, rng_out_ds, $C255, rng_out_sel_sp_ind, $D255)/[1]Tables!$AT$4 - AS359</f>
        <v>#VALUE!</v>
      </c>
      <c r="AT255" s="5" t="e" cm="1">
        <f t="array" aca="1" ref="AT255" ca="1">SUMIFS(rng_out_awp_post_yr4, rng_out_GB_Medispan, "B", rng_out_sel_G_ind, "G", rng_out_mail_ind, $B255, rng_out_ds, $C255, rng_out_sel_sp_ind, $D255)/[1]Tables!$AT$4 - AT359</f>
        <v>#VALUE!</v>
      </c>
      <c r="AU255" s="85" t="e" cm="1">
        <f t="array" aca="1" ref="AU255" ca="1">SUMIFS(rng_out_awp_post_yr5, rng_out_GB_Medispan, "B", rng_out_sel_G_ind, "G", rng_out_mail_ind, $B255, rng_out_ds, $C255, rng_out_sel_sp_ind, $D255)/[1]Tables!$AT$4 - AU359</f>
        <v>#VALUE!</v>
      </c>
      <c r="AV255" s="86">
        <f t="shared" ref="AV255:AZ259" ca="1" si="260">IFERROR(AQ255/AV181, 0)</f>
        <v>0</v>
      </c>
      <c r="AW255" s="75">
        <f t="shared" ca="1" si="260"/>
        <v>0</v>
      </c>
      <c r="AX255" s="75">
        <f t="shared" ca="1" si="260"/>
        <v>0</v>
      </c>
      <c r="AY255" s="75">
        <f t="shared" ca="1" si="260"/>
        <v>0</v>
      </c>
      <c r="AZ255" s="87">
        <f t="shared" ca="1" si="260"/>
        <v>0</v>
      </c>
      <c r="BG255" s="88" t="s">
        <v>14</v>
      </c>
      <c r="BH255" s="97" t="e">
        <f t="shared" ref="BH255:BL258" ca="1" si="261">AQ255</f>
        <v>#VALUE!</v>
      </c>
      <c r="BI255" s="79" t="e">
        <f t="shared" ca="1" si="261"/>
        <v>#VALUE!</v>
      </c>
      <c r="BJ255" s="79" t="e">
        <f t="shared" ca="1" si="261"/>
        <v>#VALUE!</v>
      </c>
      <c r="BK255" s="79" t="e">
        <f t="shared" ca="1" si="261"/>
        <v>#VALUE!</v>
      </c>
      <c r="BL255" s="98" t="e">
        <f t="shared" ca="1" si="261"/>
        <v>#VALUE!</v>
      </c>
      <c r="BM255" s="92">
        <f t="shared" ref="BM255:BQ259" ca="1" si="262">IFERROR(BH255/BM181, 0)</f>
        <v>0</v>
      </c>
      <c r="BN255" s="75">
        <f t="shared" ca="1" si="262"/>
        <v>0</v>
      </c>
      <c r="BO255" s="75">
        <f t="shared" ca="1" si="262"/>
        <v>0</v>
      </c>
      <c r="BP255" s="75">
        <f t="shared" ca="1" si="262"/>
        <v>0</v>
      </c>
      <c r="BQ255" s="93">
        <f t="shared" ca="1" si="262"/>
        <v>0</v>
      </c>
      <c r="BX255" s="88" t="s">
        <v>14</v>
      </c>
      <c r="BY255" s="97" t="e">
        <f t="shared" ref="BY255:CC258" ca="1" si="263">CD255*CD181</f>
        <v>#VALUE!</v>
      </c>
      <c r="BZ255" s="79" t="e">
        <f t="shared" ca="1" si="263"/>
        <v>#VALUE!</v>
      </c>
      <c r="CA255" s="79" t="e">
        <f t="shared" ca="1" si="263"/>
        <v>#VALUE!</v>
      </c>
      <c r="CB255" s="79" t="e">
        <f t="shared" ca="1" si="263"/>
        <v>#VALUE!</v>
      </c>
      <c r="CC255" s="98" t="e">
        <f t="shared" ca="1" si="263"/>
        <v>#VALUE!</v>
      </c>
      <c r="CD255" s="92">
        <f t="shared" ref="CD255:CH258" ca="1" si="264">BM255</f>
        <v>0</v>
      </c>
      <c r="CE255" s="75">
        <f t="shared" ca="1" si="264"/>
        <v>0</v>
      </c>
      <c r="CF255" s="75">
        <f t="shared" ca="1" si="264"/>
        <v>0</v>
      </c>
      <c r="CG255" s="75">
        <f t="shared" ca="1" si="264"/>
        <v>0</v>
      </c>
      <c r="CH255" s="93">
        <f t="shared" ca="1" si="264"/>
        <v>0</v>
      </c>
      <c r="CO255" s="252"/>
      <c r="CP255" s="252"/>
      <c r="EE255" s="5"/>
    </row>
    <row r="256" spans="2:135" x14ac:dyDescent="0.35">
      <c r="B256" s="105" t="s">
        <v>11</v>
      </c>
      <c r="C256" s="106">
        <v>90</v>
      </c>
      <c r="D256" s="106" t="s">
        <v>12</v>
      </c>
      <c r="E256" s="107" t="s">
        <v>12</v>
      </c>
      <c r="F256" s="106"/>
      <c r="H256" s="108" t="s">
        <v>15</v>
      </c>
      <c r="I256" s="72" t="e" cm="1">
        <f t="array" aca="1" ref="I256" ca="1">SUMIFS(rng_out_awp_pre_yr1, rng_out_GB_Medispan, "B", rng_out_sel_G_ind, "G", rng_out_mail_ind, $B256, rng_out_ds, $C256, rng_out_sel_sp_ind, $D256) - I360</f>
        <v>#VALUE!</v>
      </c>
      <c r="J256" s="5" t="e" cm="1">
        <f t="array" aca="1" ref="J256" ca="1">SUMIFS(rng_out_awp_pre_yr2, rng_out_GB_Medispan, "B", rng_out_sel_G_ind, "G", rng_out_mail_ind, $B256, rng_out_ds, $C256, rng_out_sel_sp_ind, $D256) - J360</f>
        <v>#VALUE!</v>
      </c>
      <c r="K256" s="5" t="e" cm="1">
        <f t="array" aca="1" ref="K256" ca="1">SUMIFS(rng_out_awp_pre_yr3, rng_out_GB_Medispan, "B", rng_out_sel_G_ind, "G", rng_out_mail_ind, $B256, rng_out_ds, $C256, rng_out_sel_sp_ind, $D256) - K360</f>
        <v>#VALUE!</v>
      </c>
      <c r="L256" s="5" t="e" cm="1">
        <f t="array" aca="1" ref="L256" ca="1">SUMIFS(rng_out_awp_pre_yr4, rng_out_GB_Medispan, "B", rng_out_sel_G_ind, "G", rng_out_mail_ind, $B256, rng_out_ds, $C256, rng_out_sel_sp_ind, $D256) - L360</f>
        <v>#VALUE!</v>
      </c>
      <c r="M256" s="73" t="e" cm="1">
        <f t="array" aca="1" ref="M256" ca="1">SUMIFS(rng_out_awp_pre_yr5, rng_out_GB_Medispan, "B", rng_out_sel_G_ind, "G", rng_out_mail_ind, $B256, rng_out_ds, $C256, rng_out_sel_sp_ind, $D256) - M360</f>
        <v>#VALUE!</v>
      </c>
      <c r="N256" s="74">
        <f t="shared" ca="1" si="258"/>
        <v>0</v>
      </c>
      <c r="O256" s="75">
        <f t="shared" ca="1" si="258"/>
        <v>0</v>
      </c>
      <c r="P256" s="75">
        <f t="shared" ca="1" si="258"/>
        <v>0</v>
      </c>
      <c r="Q256" s="75">
        <f t="shared" ca="1" si="258"/>
        <v>0</v>
      </c>
      <c r="R256" s="76">
        <f t="shared" ca="1" si="258"/>
        <v>0</v>
      </c>
      <c r="Y256" s="109" t="s">
        <v>15</v>
      </c>
      <c r="Z256" s="78">
        <f ca="1">IFERROR(I256/[1]Tables!$AT$4, 0)</f>
        <v>0</v>
      </c>
      <c r="AA256" s="79">
        <f ca="1">IFERROR(J256/[1]Tables!$AT$4, 0)</f>
        <v>0</v>
      </c>
      <c r="AB256" s="79">
        <f ca="1">IFERROR(K256/[1]Tables!$AT$4, 0)</f>
        <v>0</v>
      </c>
      <c r="AC256" s="79">
        <f ca="1">IFERROR(L256/[1]Tables!$AT$4, 0)</f>
        <v>0</v>
      </c>
      <c r="AD256" s="80">
        <f ca="1">IFERROR(M256/[1]Tables!$AT$4, 0)</f>
        <v>0</v>
      </c>
      <c r="AE256" s="81">
        <f t="shared" ca="1" si="259"/>
        <v>0</v>
      </c>
      <c r="AF256" s="75">
        <f t="shared" ca="1" si="259"/>
        <v>0</v>
      </c>
      <c r="AG256" s="75">
        <f t="shared" ca="1" si="259"/>
        <v>0</v>
      </c>
      <c r="AH256" s="75">
        <f t="shared" ca="1" si="259"/>
        <v>0</v>
      </c>
      <c r="AI256" s="82">
        <f t="shared" ca="1" si="259"/>
        <v>0</v>
      </c>
      <c r="AP256" s="110" t="s">
        <v>15</v>
      </c>
      <c r="AQ256" s="356" t="e" cm="1">
        <f t="array" aca="1" ref="AQ256" ca="1">SUMIFS(rng_out_awp_post_yr1, rng_out_GB_Medispan, "B", rng_out_sel_G_ind, "G", rng_out_mail_ind, $B256, rng_out_ds, $C256, rng_out_sel_sp_ind, $D256)/[1]Tables!$AT$4 - AQ360</f>
        <v>#VALUE!</v>
      </c>
      <c r="AR256" s="5" t="e" cm="1">
        <f t="array" aca="1" ref="AR256" ca="1">SUMIFS(rng_out_awp_post_yr2, rng_out_GB_Medispan, "B", rng_out_sel_G_ind, "G", rng_out_mail_ind, $B256, rng_out_ds, $C256, rng_out_sel_sp_ind, $D256)/[1]Tables!$AT$4 - AR360</f>
        <v>#VALUE!</v>
      </c>
      <c r="AS256" s="5" t="e" cm="1">
        <f t="array" aca="1" ref="AS256" ca="1">SUMIFS(rng_out_awp_post_yr3, rng_out_GB_Medispan, "B", rng_out_sel_G_ind, "G", rng_out_mail_ind, $B256, rng_out_ds, $C256, rng_out_sel_sp_ind, $D256)/[1]Tables!$AT$4 - AS360</f>
        <v>#VALUE!</v>
      </c>
      <c r="AT256" s="5" t="e" cm="1">
        <f t="array" aca="1" ref="AT256" ca="1">SUMIFS(rng_out_awp_post_yr4, rng_out_GB_Medispan, "B", rng_out_sel_G_ind, "G", rng_out_mail_ind, $B256, rng_out_ds, $C256, rng_out_sel_sp_ind, $D256)/[1]Tables!$AT$4 - AT360</f>
        <v>#VALUE!</v>
      </c>
      <c r="AU256" s="85" t="e" cm="1">
        <f t="array" aca="1" ref="AU256" ca="1">SUMIFS(rng_out_awp_post_yr5, rng_out_GB_Medispan, "B", rng_out_sel_G_ind, "G", rng_out_mail_ind, $B256, rng_out_ds, $C256, rng_out_sel_sp_ind, $D256)/[1]Tables!$AT$4 - AU360</f>
        <v>#VALUE!</v>
      </c>
      <c r="AV256" s="86">
        <f t="shared" ca="1" si="260"/>
        <v>0</v>
      </c>
      <c r="AW256" s="75">
        <f t="shared" ca="1" si="260"/>
        <v>0</v>
      </c>
      <c r="AX256" s="75">
        <f t="shared" ca="1" si="260"/>
        <v>0</v>
      </c>
      <c r="AY256" s="75">
        <f t="shared" ca="1" si="260"/>
        <v>0</v>
      </c>
      <c r="AZ256" s="87">
        <f t="shared" ca="1" si="260"/>
        <v>0</v>
      </c>
      <c r="BG256" s="111" t="s">
        <v>15</v>
      </c>
      <c r="BH256" s="97" t="e">
        <f t="shared" ca="1" si="261"/>
        <v>#VALUE!</v>
      </c>
      <c r="BI256" s="79" t="e">
        <f t="shared" ca="1" si="261"/>
        <v>#VALUE!</v>
      </c>
      <c r="BJ256" s="79" t="e">
        <f t="shared" ca="1" si="261"/>
        <v>#VALUE!</v>
      </c>
      <c r="BK256" s="79" t="e">
        <f t="shared" ca="1" si="261"/>
        <v>#VALUE!</v>
      </c>
      <c r="BL256" s="98" t="e">
        <f t="shared" ca="1" si="261"/>
        <v>#VALUE!</v>
      </c>
      <c r="BM256" s="92">
        <f t="shared" ca="1" si="262"/>
        <v>0</v>
      </c>
      <c r="BN256" s="75">
        <f t="shared" ca="1" si="262"/>
        <v>0</v>
      </c>
      <c r="BO256" s="75">
        <f t="shared" ca="1" si="262"/>
        <v>0</v>
      </c>
      <c r="BP256" s="75">
        <f t="shared" ca="1" si="262"/>
        <v>0</v>
      </c>
      <c r="BQ256" s="93">
        <f t="shared" ca="1" si="262"/>
        <v>0</v>
      </c>
      <c r="BX256" s="111" t="s">
        <v>15</v>
      </c>
      <c r="BY256" s="97" t="e">
        <f t="shared" ca="1" si="263"/>
        <v>#VALUE!</v>
      </c>
      <c r="BZ256" s="79" t="e">
        <f t="shared" ca="1" si="263"/>
        <v>#VALUE!</v>
      </c>
      <c r="CA256" s="79" t="e">
        <f t="shared" ca="1" si="263"/>
        <v>#VALUE!</v>
      </c>
      <c r="CB256" s="79" t="e">
        <f t="shared" ca="1" si="263"/>
        <v>#VALUE!</v>
      </c>
      <c r="CC256" s="98" t="e">
        <f t="shared" ca="1" si="263"/>
        <v>#VALUE!</v>
      </c>
      <c r="CD256" s="92">
        <f t="shared" ca="1" si="264"/>
        <v>0</v>
      </c>
      <c r="CE256" s="75">
        <f t="shared" ca="1" si="264"/>
        <v>0</v>
      </c>
      <c r="CF256" s="75">
        <f t="shared" ca="1" si="264"/>
        <v>0</v>
      </c>
      <c r="CG256" s="75">
        <f t="shared" ca="1" si="264"/>
        <v>0</v>
      </c>
      <c r="CH256" s="93">
        <f t="shared" ca="1" si="264"/>
        <v>0</v>
      </c>
      <c r="CO256" s="252"/>
      <c r="CP256" s="252"/>
      <c r="EE256" s="5"/>
    </row>
    <row r="257" spans="1:135" x14ac:dyDescent="0.35">
      <c r="B257" s="105" t="s">
        <v>16</v>
      </c>
      <c r="C257" s="106"/>
      <c r="D257" s="106" t="s">
        <v>12</v>
      </c>
      <c r="E257" s="107" t="s">
        <v>12</v>
      </c>
      <c r="F257" s="106"/>
      <c r="H257" s="118" t="s">
        <v>7</v>
      </c>
      <c r="I257" s="72" t="e" cm="1">
        <f t="array" aca="1" ref="I257" ca="1">SUMIFS(rng_out_awp_pre_yr1, rng_out_GB_Medispan, "B", rng_out_sel_G_ind, "G", rng_out_mail_ind, $B257, rng_out_sel_sp_ind, $D257) - I361</f>
        <v>#VALUE!</v>
      </c>
      <c r="J257" s="5" t="e" cm="1">
        <f t="array" aca="1" ref="J257" ca="1">SUMIFS(rng_out_awp_pre_yr2, rng_out_GB_Medispan, "B", rng_out_sel_G_ind, "G", rng_out_mail_ind, $B257, rng_out_sel_sp_ind, $D257) - J361</f>
        <v>#VALUE!</v>
      </c>
      <c r="K257" s="5" t="e" cm="1">
        <f t="array" aca="1" ref="K257" ca="1">SUMIFS(rng_out_awp_pre_yr3, rng_out_GB_Medispan, "B", rng_out_sel_G_ind, "G", rng_out_mail_ind, $B257, rng_out_sel_sp_ind, $D257) - K361</f>
        <v>#VALUE!</v>
      </c>
      <c r="L257" s="5" t="e" cm="1">
        <f t="array" aca="1" ref="L257" ca="1">SUMIFS(rng_out_awp_pre_yr4, rng_out_GB_Medispan, "B", rng_out_sel_G_ind, "G", rng_out_mail_ind, $B257, rng_out_sel_sp_ind, $D257) - L361</f>
        <v>#VALUE!</v>
      </c>
      <c r="M257" s="73" t="e" cm="1">
        <f t="array" aca="1" ref="M257" ca="1">SUMIFS(rng_out_awp_pre_yr5, rng_out_GB_Medispan, "B", rng_out_sel_G_ind, "G", rng_out_mail_ind, $B257, rng_out_sel_sp_ind, $D257) - M361</f>
        <v>#VALUE!</v>
      </c>
      <c r="N257" s="74">
        <f t="shared" ca="1" si="258"/>
        <v>0</v>
      </c>
      <c r="O257" s="75">
        <f t="shared" ca="1" si="258"/>
        <v>0</v>
      </c>
      <c r="P257" s="75">
        <f t="shared" ca="1" si="258"/>
        <v>0</v>
      </c>
      <c r="Q257" s="75">
        <f t="shared" ca="1" si="258"/>
        <v>0</v>
      </c>
      <c r="R257" s="76">
        <f t="shared" ca="1" si="258"/>
        <v>0</v>
      </c>
      <c r="Y257" s="119" t="s">
        <v>7</v>
      </c>
      <c r="Z257" s="78">
        <f ca="1">IFERROR(I257/[1]Tables!$AT$4, 0)</f>
        <v>0</v>
      </c>
      <c r="AA257" s="79">
        <f ca="1">IFERROR(J257/[1]Tables!$AT$4, 0)</f>
        <v>0</v>
      </c>
      <c r="AB257" s="79">
        <f ca="1">IFERROR(K257/[1]Tables!$AT$4, 0)</f>
        <v>0</v>
      </c>
      <c r="AC257" s="79">
        <f ca="1">IFERROR(L257/[1]Tables!$AT$4, 0)</f>
        <v>0</v>
      </c>
      <c r="AD257" s="80">
        <f ca="1">IFERROR(M257/[1]Tables!$AT$4, 0)</f>
        <v>0</v>
      </c>
      <c r="AE257" s="81">
        <f t="shared" ca="1" si="259"/>
        <v>0</v>
      </c>
      <c r="AF257" s="75">
        <f t="shared" ca="1" si="259"/>
        <v>0</v>
      </c>
      <c r="AG257" s="75">
        <f t="shared" ca="1" si="259"/>
        <v>0</v>
      </c>
      <c r="AH257" s="75">
        <f t="shared" ca="1" si="259"/>
        <v>0</v>
      </c>
      <c r="AI257" s="82">
        <f t="shared" ca="1" si="259"/>
        <v>0</v>
      </c>
      <c r="AP257" s="120" t="s">
        <v>7</v>
      </c>
      <c r="AQ257" s="356" t="e" cm="1">
        <f t="array" aca="1" ref="AQ257" ca="1">SUMIFS(rng_out_awp_post_yr1, rng_out_GB_Medispan, "B", rng_out_sel_G_ind, "G", rng_out_mail_ind, $B257, rng_out_sel_sp_ind, $D257)/[1]Tables!$AT$4 - AQ361</f>
        <v>#VALUE!</v>
      </c>
      <c r="AR257" s="5" t="e" cm="1">
        <f t="array" aca="1" ref="AR257" ca="1">SUMIFS(rng_out_awp_post_yr2, rng_out_GB_Medispan, "B", rng_out_sel_G_ind, "G", rng_out_mail_ind, $B257, rng_out_sel_sp_ind, $D257)/[1]Tables!$AT$4 - AR361</f>
        <v>#VALUE!</v>
      </c>
      <c r="AS257" s="5" t="e" cm="1">
        <f t="array" aca="1" ref="AS257" ca="1">SUMIFS(rng_out_awp_post_yr3, rng_out_GB_Medispan, "B", rng_out_sel_G_ind, "G", rng_out_mail_ind, $B257, rng_out_sel_sp_ind, $D257)/[1]Tables!$AT$4 - AS361</f>
        <v>#VALUE!</v>
      </c>
      <c r="AT257" s="5" t="e" cm="1">
        <f t="array" aca="1" ref="AT257" ca="1">SUMIFS(rng_out_awp_post_yr4, rng_out_GB_Medispan, "B", rng_out_sel_G_ind, "G", rng_out_mail_ind, $B257, rng_out_sel_sp_ind, $D257)/[1]Tables!$AT$4 - AT361</f>
        <v>#VALUE!</v>
      </c>
      <c r="AU257" s="85" t="e" cm="1">
        <f t="array" aca="1" ref="AU257" ca="1">SUMIFS(rng_out_awp_post_yr5, rng_out_GB_Medispan, "B", rng_out_sel_G_ind, "G", rng_out_mail_ind, $B257, rng_out_sel_sp_ind, $D257)/[1]Tables!$AT$4 - AU361</f>
        <v>#VALUE!</v>
      </c>
      <c r="AV257" s="86">
        <f t="shared" ca="1" si="260"/>
        <v>0</v>
      </c>
      <c r="AW257" s="75">
        <f t="shared" ca="1" si="260"/>
        <v>0</v>
      </c>
      <c r="AX257" s="75">
        <f t="shared" ca="1" si="260"/>
        <v>0</v>
      </c>
      <c r="AY257" s="75">
        <f t="shared" ca="1" si="260"/>
        <v>0</v>
      </c>
      <c r="AZ257" s="87">
        <f t="shared" ca="1" si="260"/>
        <v>0</v>
      </c>
      <c r="BG257" s="121" t="s">
        <v>7</v>
      </c>
      <c r="BH257" s="97" t="e">
        <f t="shared" ca="1" si="261"/>
        <v>#VALUE!</v>
      </c>
      <c r="BI257" s="79" t="e">
        <f t="shared" ca="1" si="261"/>
        <v>#VALUE!</v>
      </c>
      <c r="BJ257" s="79" t="e">
        <f t="shared" ca="1" si="261"/>
        <v>#VALUE!</v>
      </c>
      <c r="BK257" s="79" t="e">
        <f t="shared" ca="1" si="261"/>
        <v>#VALUE!</v>
      </c>
      <c r="BL257" s="98" t="e">
        <f t="shared" ca="1" si="261"/>
        <v>#VALUE!</v>
      </c>
      <c r="BM257" s="92">
        <f t="shared" ca="1" si="262"/>
        <v>0</v>
      </c>
      <c r="BN257" s="75">
        <f t="shared" ca="1" si="262"/>
        <v>0</v>
      </c>
      <c r="BO257" s="75">
        <f t="shared" ca="1" si="262"/>
        <v>0</v>
      </c>
      <c r="BP257" s="75">
        <f t="shared" ca="1" si="262"/>
        <v>0</v>
      </c>
      <c r="BQ257" s="93">
        <f t="shared" ca="1" si="262"/>
        <v>0</v>
      </c>
      <c r="BX257" s="121" t="s">
        <v>7</v>
      </c>
      <c r="BY257" s="97" t="e">
        <f t="shared" ca="1" si="263"/>
        <v>#VALUE!</v>
      </c>
      <c r="BZ257" s="79" t="e">
        <f t="shared" ca="1" si="263"/>
        <v>#VALUE!</v>
      </c>
      <c r="CA257" s="79" t="e">
        <f t="shared" ca="1" si="263"/>
        <v>#VALUE!</v>
      </c>
      <c r="CB257" s="79" t="e">
        <f t="shared" ca="1" si="263"/>
        <v>#VALUE!</v>
      </c>
      <c r="CC257" s="98" t="e">
        <f t="shared" ca="1" si="263"/>
        <v>#VALUE!</v>
      </c>
      <c r="CD257" s="92">
        <f t="shared" ca="1" si="264"/>
        <v>0</v>
      </c>
      <c r="CE257" s="75">
        <f t="shared" ca="1" si="264"/>
        <v>0</v>
      </c>
      <c r="CF257" s="75">
        <f t="shared" ca="1" si="264"/>
        <v>0</v>
      </c>
      <c r="CG257" s="75">
        <f t="shared" ca="1" si="264"/>
        <v>0</v>
      </c>
      <c r="CH257" s="93">
        <f t="shared" ca="1" si="264"/>
        <v>0</v>
      </c>
      <c r="CO257" s="252"/>
      <c r="CP257" s="252"/>
    </row>
    <row r="258" spans="1:135" ht="15" thickBot="1" x14ac:dyDescent="0.4">
      <c r="B258" s="122"/>
      <c r="C258" s="123"/>
      <c r="D258" s="123" t="s">
        <v>13</v>
      </c>
      <c r="E258" s="124" t="s">
        <v>12</v>
      </c>
      <c r="F258" s="106"/>
      <c r="H258" s="118" t="s">
        <v>17</v>
      </c>
      <c r="I258" s="72" t="e" cm="1">
        <f t="array" aca="1" ref="I258" ca="1">SUMIFS(rng_out_awp_pre_yr1, rng_out_GB_Medispan, "B", rng_out_sel_G_ind, "G", rng_out_sel_sp_ind, $D258) - I362</f>
        <v>#VALUE!</v>
      </c>
      <c r="J258" s="5" t="e" cm="1">
        <f t="array" aca="1" ref="J258" ca="1">SUMIFS(rng_out_awp_pre_yr2, rng_out_GB_Medispan, "B", rng_out_sel_G_ind, "G", rng_out_sel_sp_ind, $D258) - J362</f>
        <v>#VALUE!</v>
      </c>
      <c r="K258" s="5" t="e" cm="1">
        <f t="array" aca="1" ref="K258" ca="1">SUMIFS(rng_out_awp_pre_yr3, rng_out_GB_Medispan, "B", rng_out_sel_G_ind, "G", rng_out_sel_sp_ind, $D258) - K362</f>
        <v>#VALUE!</v>
      </c>
      <c r="L258" s="5" t="e" cm="1">
        <f t="array" aca="1" ref="L258" ca="1">SUMIFS(rng_out_awp_pre_yr4, rng_out_GB_Medispan, "B", rng_out_sel_G_ind, "G", rng_out_sel_sp_ind, $D258) - L362</f>
        <v>#VALUE!</v>
      </c>
      <c r="M258" s="125" t="e" cm="1">
        <f t="array" aca="1" ref="M258" ca="1">SUMIFS(rng_out_awp_pre_yr5, rng_out_GB_Medispan, "B", rng_out_sel_G_ind, "G", rng_out_sel_sp_ind, $D258) - M362</f>
        <v>#VALUE!</v>
      </c>
      <c r="N258" s="74">
        <f t="shared" ca="1" si="258"/>
        <v>0</v>
      </c>
      <c r="O258" s="75">
        <f t="shared" ca="1" si="258"/>
        <v>0</v>
      </c>
      <c r="P258" s="75">
        <f t="shared" ca="1" si="258"/>
        <v>0</v>
      </c>
      <c r="Q258" s="75">
        <f t="shared" ca="1" si="258"/>
        <v>0</v>
      </c>
      <c r="R258" s="126">
        <f t="shared" ca="1" si="258"/>
        <v>0</v>
      </c>
      <c r="Y258" s="119" t="s">
        <v>17</v>
      </c>
      <c r="Z258" s="127">
        <f ca="1">IFERROR(I258/[1]Tables!$AT$4, 0)</f>
        <v>0</v>
      </c>
      <c r="AA258" s="128">
        <f ca="1">IFERROR(J258/[1]Tables!$AT$4, 0)</f>
        <v>0</v>
      </c>
      <c r="AB258" s="128">
        <f ca="1">IFERROR(K258/[1]Tables!$AT$4, 0)</f>
        <v>0</v>
      </c>
      <c r="AC258" s="128">
        <f ca="1">IFERROR(L258/[1]Tables!$AT$4, 0)</f>
        <v>0</v>
      </c>
      <c r="AD258" s="129">
        <f ca="1">IFERROR(M258/[1]Tables!$AT$4, 0)</f>
        <v>0</v>
      </c>
      <c r="AE258" s="130">
        <f t="shared" ca="1" si="259"/>
        <v>0</v>
      </c>
      <c r="AF258" s="131">
        <f t="shared" ca="1" si="259"/>
        <v>0</v>
      </c>
      <c r="AG258" s="131">
        <f t="shared" ca="1" si="259"/>
        <v>0</v>
      </c>
      <c r="AH258" s="131">
        <f t="shared" ca="1" si="259"/>
        <v>0</v>
      </c>
      <c r="AI258" s="132">
        <f t="shared" ca="1" si="259"/>
        <v>0</v>
      </c>
      <c r="AP258" s="120" t="s">
        <v>17</v>
      </c>
      <c r="AQ258" s="167" t="e" cm="1">
        <f t="array" aca="1" ref="AQ258" ca="1">SUMIFS(rng_out_awp_post_yr1, rng_out_GB_Medispan, "B", rng_out_sel_G_ind, "G", rng_out_sel_sp_ind, $D258)/[1]Tables!$AT$4 - AQ362</f>
        <v>#VALUE!</v>
      </c>
      <c r="AR258" s="134" t="e" cm="1">
        <f t="array" aca="1" ref="AR258" ca="1">SUMIFS(rng_out_awp_post_yr2, rng_out_GB_Medispan, "B", rng_out_sel_G_ind, "G", rng_out_sel_sp_ind, $D258)/[1]Tables!$AT$4 - AR362</f>
        <v>#VALUE!</v>
      </c>
      <c r="AS258" s="134" t="e" cm="1">
        <f t="array" aca="1" ref="AS258" ca="1">SUMIFS(rng_out_awp_post_yr3, rng_out_GB_Medispan, "B", rng_out_sel_G_ind, "G", rng_out_sel_sp_ind, $D258)/[1]Tables!$AT$4 - AS362</f>
        <v>#VALUE!</v>
      </c>
      <c r="AT258" s="134" t="e" cm="1">
        <f t="array" aca="1" ref="AT258" ca="1">SUMIFS(rng_out_awp_post_yr4, rng_out_GB_Medispan, "B", rng_out_sel_G_ind, "G", rng_out_sel_sp_ind, $D258)/[1]Tables!$AT$4 - AT362</f>
        <v>#VALUE!</v>
      </c>
      <c r="AU258" s="135" t="e" cm="1">
        <f t="array" aca="1" ref="AU258" ca="1">SUMIFS(rng_out_awp_post_yr5, rng_out_GB_Medispan, "B", rng_out_sel_G_ind, "G", rng_out_sel_sp_ind, $D258)/[1]Tables!$AT$4 - AU362</f>
        <v>#VALUE!</v>
      </c>
      <c r="AV258" s="136">
        <f t="shared" ca="1" si="260"/>
        <v>0</v>
      </c>
      <c r="AW258" s="137">
        <f t="shared" ca="1" si="260"/>
        <v>0</v>
      </c>
      <c r="AX258" s="137">
        <f t="shared" ca="1" si="260"/>
        <v>0</v>
      </c>
      <c r="AY258" s="137">
        <f t="shared" ca="1" si="260"/>
        <v>0</v>
      </c>
      <c r="AZ258" s="138">
        <f t="shared" ca="1" si="260"/>
        <v>0</v>
      </c>
      <c r="BG258" s="121" t="s">
        <v>17</v>
      </c>
      <c r="BH258" s="145" t="e">
        <f t="shared" ca="1" si="261"/>
        <v>#VALUE!</v>
      </c>
      <c r="BI258" s="146" t="e">
        <f t="shared" ca="1" si="261"/>
        <v>#VALUE!</v>
      </c>
      <c r="BJ258" s="146" t="e">
        <f t="shared" ca="1" si="261"/>
        <v>#VALUE!</v>
      </c>
      <c r="BK258" s="146" t="e">
        <f t="shared" ca="1" si="261"/>
        <v>#VALUE!</v>
      </c>
      <c r="BL258" s="147" t="e">
        <f t="shared" ca="1" si="261"/>
        <v>#VALUE!</v>
      </c>
      <c r="BM258" s="142">
        <f t="shared" ca="1" si="262"/>
        <v>0</v>
      </c>
      <c r="BN258" s="143">
        <f t="shared" ca="1" si="262"/>
        <v>0</v>
      </c>
      <c r="BO258" s="143">
        <f t="shared" ca="1" si="262"/>
        <v>0</v>
      </c>
      <c r="BP258" s="143">
        <f t="shared" ca="1" si="262"/>
        <v>0</v>
      </c>
      <c r="BQ258" s="144">
        <f t="shared" ca="1" si="262"/>
        <v>0</v>
      </c>
      <c r="BX258" s="121" t="s">
        <v>17</v>
      </c>
      <c r="BY258" s="145" t="e">
        <f t="shared" ca="1" si="263"/>
        <v>#VALUE!</v>
      </c>
      <c r="BZ258" s="146" t="e">
        <f t="shared" ca="1" si="263"/>
        <v>#VALUE!</v>
      </c>
      <c r="CA258" s="146" t="e">
        <f t="shared" ca="1" si="263"/>
        <v>#VALUE!</v>
      </c>
      <c r="CB258" s="146" t="e">
        <f t="shared" ca="1" si="263"/>
        <v>#VALUE!</v>
      </c>
      <c r="CC258" s="147" t="e">
        <f t="shared" ca="1" si="263"/>
        <v>#VALUE!</v>
      </c>
      <c r="CD258" s="142">
        <f t="shared" ca="1" si="264"/>
        <v>0</v>
      </c>
      <c r="CE258" s="143">
        <f t="shared" ca="1" si="264"/>
        <v>0</v>
      </c>
      <c r="CF258" s="143">
        <f t="shared" ca="1" si="264"/>
        <v>0</v>
      </c>
      <c r="CG258" s="143">
        <f t="shared" ca="1" si="264"/>
        <v>0</v>
      </c>
      <c r="CH258" s="144">
        <f t="shared" ca="1" si="264"/>
        <v>0</v>
      </c>
      <c r="CO258" s="252"/>
      <c r="CP258" s="252"/>
    </row>
    <row r="259" spans="1:135" ht="15" thickBot="1" x14ac:dyDescent="0.4">
      <c r="B259" s="106"/>
      <c r="C259" s="236"/>
      <c r="D259" s="236" t="s">
        <v>29</v>
      </c>
      <c r="E259" s="237" t="str">
        <f>IF(sel_excl_nonRebatable=1, "Y", "N")</f>
        <v>N</v>
      </c>
      <c r="H259" s="154" t="s">
        <v>18</v>
      </c>
      <c r="I259" s="155" t="e">
        <f ca="1">SUM(I255:I258)</f>
        <v>#VALUE!</v>
      </c>
      <c r="J259" s="155" t="e">
        <f ca="1">SUM(J255:J258)</f>
        <v>#VALUE!</v>
      </c>
      <c r="K259" s="155" t="e">
        <f ca="1">SUM(K255:K258)</f>
        <v>#VALUE!</v>
      </c>
      <c r="L259" s="155" t="e">
        <f ca="1">SUM(L255:L258)</f>
        <v>#VALUE!</v>
      </c>
      <c r="M259" s="156" t="e">
        <f ca="1">SUM(M255:M258)</f>
        <v>#VALUE!</v>
      </c>
      <c r="N259" s="157">
        <f t="shared" ca="1" si="258"/>
        <v>0</v>
      </c>
      <c r="O259" s="157">
        <f t="shared" ca="1" si="258"/>
        <v>0</v>
      </c>
      <c r="P259" s="157">
        <f t="shared" ca="1" si="258"/>
        <v>0</v>
      </c>
      <c r="Q259" s="157">
        <f t="shared" ca="1" si="258"/>
        <v>0</v>
      </c>
      <c r="R259" s="158">
        <f t="shared" ca="1" si="258"/>
        <v>0</v>
      </c>
      <c r="Y259" s="159" t="s">
        <v>18</v>
      </c>
      <c r="Z259" s="160">
        <f ca="1">SUM(Z255:Z258)</f>
        <v>0</v>
      </c>
      <c r="AA259" s="161">
        <f ca="1">SUM(AA255:AA258)</f>
        <v>0</v>
      </c>
      <c r="AB259" s="161">
        <f ca="1">SUM(AB255:AB258)</f>
        <v>0</v>
      </c>
      <c r="AC259" s="161">
        <f ca="1">SUM(AC255:AC258)</f>
        <v>0</v>
      </c>
      <c r="AD259" s="162">
        <f ca="1">SUM(AD255:AD258)</f>
        <v>0</v>
      </c>
      <c r="AE259" s="163">
        <f t="shared" ca="1" si="259"/>
        <v>0</v>
      </c>
      <c r="AF259" s="164">
        <f t="shared" ca="1" si="259"/>
        <v>0</v>
      </c>
      <c r="AG259" s="164">
        <f t="shared" ca="1" si="259"/>
        <v>0</v>
      </c>
      <c r="AH259" s="164">
        <f t="shared" ca="1" si="259"/>
        <v>0</v>
      </c>
      <c r="AI259" s="165">
        <f t="shared" ca="1" si="259"/>
        <v>0</v>
      </c>
      <c r="AP259" s="166" t="s">
        <v>18</v>
      </c>
      <c r="AQ259" s="167" t="e">
        <f ca="1">SUM(AQ255:AQ258)</f>
        <v>#VALUE!</v>
      </c>
      <c r="AR259" s="134" t="e">
        <f ca="1">SUM(AR255:AR258)</f>
        <v>#VALUE!</v>
      </c>
      <c r="AS259" s="134" t="e">
        <f ca="1">SUM(AS255:AS258)</f>
        <v>#VALUE!</v>
      </c>
      <c r="AT259" s="134" t="e">
        <f ca="1">SUM(AT255:AT258)</f>
        <v>#VALUE!</v>
      </c>
      <c r="AU259" s="135" t="e">
        <f ca="1">SUM(AU255:AU258)</f>
        <v>#VALUE!</v>
      </c>
      <c r="AV259" s="168">
        <f t="shared" ca="1" si="260"/>
        <v>0</v>
      </c>
      <c r="AW259" s="169">
        <f t="shared" ca="1" si="260"/>
        <v>0</v>
      </c>
      <c r="AX259" s="169">
        <f t="shared" ca="1" si="260"/>
        <v>0</v>
      </c>
      <c r="AY259" s="169">
        <f t="shared" ca="1" si="260"/>
        <v>0</v>
      </c>
      <c r="AZ259" s="170">
        <f t="shared" ca="1" si="260"/>
        <v>0</v>
      </c>
      <c r="BG259" s="171" t="s">
        <v>18</v>
      </c>
      <c r="BH259" s="172" t="e">
        <f ca="1">SUM(BH255:BH258)</f>
        <v>#VALUE!</v>
      </c>
      <c r="BI259" s="173" t="e">
        <f ca="1">SUM(BI255:BI258)</f>
        <v>#VALUE!</v>
      </c>
      <c r="BJ259" s="173" t="e">
        <f ca="1">SUM(BJ255:BJ258)</f>
        <v>#VALUE!</v>
      </c>
      <c r="BK259" s="173" t="e">
        <f ca="1">SUM(BK255:BK258)</f>
        <v>#VALUE!</v>
      </c>
      <c r="BL259" s="174" t="e">
        <f ca="1">SUM(BL255:BL258)</f>
        <v>#VALUE!</v>
      </c>
      <c r="BM259" s="175">
        <f t="shared" ca="1" si="262"/>
        <v>0</v>
      </c>
      <c r="BN259" s="176">
        <f t="shared" ca="1" si="262"/>
        <v>0</v>
      </c>
      <c r="BO259" s="176">
        <f t="shared" ca="1" si="262"/>
        <v>0</v>
      </c>
      <c r="BP259" s="176">
        <f t="shared" ca="1" si="262"/>
        <v>0</v>
      </c>
      <c r="BQ259" s="177">
        <f t="shared" ca="1" si="262"/>
        <v>0</v>
      </c>
      <c r="BX259" s="171" t="s">
        <v>18</v>
      </c>
      <c r="BY259" s="172" t="e">
        <f ca="1">SUM(BY255:BY258)</f>
        <v>#VALUE!</v>
      </c>
      <c r="BZ259" s="173" t="e">
        <f ca="1">SUM(BZ255:BZ258)</f>
        <v>#VALUE!</v>
      </c>
      <c r="CA259" s="173" t="e">
        <f ca="1">SUM(CA255:CA258)</f>
        <v>#VALUE!</v>
      </c>
      <c r="CB259" s="173" t="e">
        <f ca="1">SUM(CB255:CB258)</f>
        <v>#VALUE!</v>
      </c>
      <c r="CC259" s="174" t="e">
        <f ca="1">SUM(CC255:CC258)</f>
        <v>#VALUE!</v>
      </c>
      <c r="CD259" s="175">
        <f ca="1">IFERROR(BY259/CD185, 0)</f>
        <v>0</v>
      </c>
      <c r="CE259" s="176">
        <f ca="1">IFERROR(BZ259/CE185, 0)</f>
        <v>0</v>
      </c>
      <c r="CF259" s="176">
        <f ca="1">IFERROR(CA259/CF185, 0)</f>
        <v>0</v>
      </c>
      <c r="CG259" s="176">
        <f ca="1">IFERROR(CB259/CG185, 0)</f>
        <v>0</v>
      </c>
      <c r="CH259" s="177">
        <f ca="1">IFERROR(CC259/CH185, 0)</f>
        <v>0</v>
      </c>
      <c r="CO259" s="252"/>
      <c r="CP259" s="252"/>
      <c r="DZ259" s="5"/>
    </row>
    <row r="260" spans="1:135" ht="15" thickBot="1" x14ac:dyDescent="0.4">
      <c r="S260" s="301"/>
      <c r="CO260" s="252"/>
      <c r="CP260" s="252"/>
    </row>
    <row r="261" spans="1:135" ht="15" thickBot="1" x14ac:dyDescent="0.4">
      <c r="I261" s="21" t="s">
        <v>61</v>
      </c>
      <c r="J261" s="22"/>
      <c r="K261" s="22"/>
      <c r="L261" s="22"/>
      <c r="M261" s="22"/>
      <c r="N261" s="22"/>
      <c r="O261" s="22"/>
      <c r="P261" s="22"/>
      <c r="Q261" s="22"/>
      <c r="R261" s="23"/>
      <c r="Z261" s="24" t="s">
        <v>61</v>
      </c>
      <c r="AA261" s="25"/>
      <c r="AB261" s="25"/>
      <c r="AC261" s="25"/>
      <c r="AD261" s="25"/>
      <c r="AE261" s="25"/>
      <c r="AF261" s="25"/>
      <c r="AG261" s="25"/>
      <c r="AH261" s="25"/>
      <c r="AI261" s="26"/>
      <c r="AQ261" s="354" t="s">
        <v>61</v>
      </c>
      <c r="AR261" s="29"/>
      <c r="AS261" s="29"/>
      <c r="AT261" s="29"/>
      <c r="AU261" s="29"/>
      <c r="AV261" s="29"/>
      <c r="AW261" s="29"/>
      <c r="AX261" s="29"/>
      <c r="AY261" s="29"/>
      <c r="AZ261" s="355"/>
      <c r="BH261" s="31" t="s">
        <v>61</v>
      </c>
      <c r="BI261" s="32"/>
      <c r="BJ261" s="32"/>
      <c r="BK261" s="32"/>
      <c r="BL261" s="32"/>
      <c r="BM261" s="32"/>
      <c r="BN261" s="32"/>
      <c r="BO261" s="32"/>
      <c r="BP261" s="32"/>
      <c r="BQ261" s="33"/>
      <c r="BY261" s="34" t="s">
        <v>61</v>
      </c>
      <c r="BZ261" s="35"/>
      <c r="CA261" s="35"/>
      <c r="CB261" s="35"/>
      <c r="CC261" s="35"/>
      <c r="CD261" s="35"/>
      <c r="CE261" s="35"/>
      <c r="CF261" s="35"/>
      <c r="CG261" s="35"/>
      <c r="CH261" s="36"/>
      <c r="CO261" s="34" t="s">
        <v>61</v>
      </c>
      <c r="CP261" s="35"/>
      <c r="CQ261" s="35"/>
      <c r="CR261" s="35"/>
      <c r="CS261" s="35"/>
      <c r="CT261" s="35"/>
      <c r="CU261" s="35"/>
      <c r="CV261" s="35"/>
      <c r="CW261" s="35"/>
      <c r="CX261" s="36"/>
      <c r="CZ261" s="34" t="s">
        <v>61</v>
      </c>
      <c r="DA261" s="35"/>
      <c r="DB261" s="35"/>
      <c r="DC261" s="35"/>
      <c r="DD261" s="35"/>
      <c r="DE261" s="35"/>
      <c r="DF261" s="35"/>
      <c r="DG261" s="35"/>
      <c r="DH261" s="35"/>
      <c r="DI261" s="36"/>
      <c r="DK261" s="34" t="s">
        <v>45</v>
      </c>
      <c r="DL261" s="35"/>
      <c r="DM261" s="35"/>
      <c r="DN261" s="35"/>
      <c r="DO261" s="36"/>
      <c r="DQ261" s="34" t="s">
        <v>46</v>
      </c>
      <c r="DR261" s="35"/>
      <c r="DS261" s="35"/>
      <c r="DT261" s="35"/>
      <c r="DU261" s="36"/>
    </row>
    <row r="262" spans="1:135" ht="15" thickBot="1" x14ac:dyDescent="0.4">
      <c r="H262" s="37"/>
      <c r="I262" s="302" t="s">
        <v>72</v>
      </c>
      <c r="J262" s="303"/>
      <c r="K262" s="303"/>
      <c r="L262" s="303"/>
      <c r="M262" s="304"/>
      <c r="N262" s="302" t="s">
        <v>73</v>
      </c>
      <c r="O262" s="303"/>
      <c r="P262" s="303"/>
      <c r="Q262" s="303"/>
      <c r="R262" s="304"/>
      <c r="Z262" s="41" t="s">
        <v>72</v>
      </c>
      <c r="AA262" s="42"/>
      <c r="AB262" s="42"/>
      <c r="AC262" s="42"/>
      <c r="AD262" s="43"/>
      <c r="AE262" s="41" t="s">
        <v>73</v>
      </c>
      <c r="AF262" s="42"/>
      <c r="AG262" s="42"/>
      <c r="AH262" s="42"/>
      <c r="AI262" s="43"/>
      <c r="AQ262" s="44" t="s">
        <v>72</v>
      </c>
      <c r="AR262" s="45"/>
      <c r="AS262" s="45"/>
      <c r="AT262" s="45"/>
      <c r="AU262" s="46"/>
      <c r="AV262" s="44" t="s">
        <v>73</v>
      </c>
      <c r="AW262" s="45"/>
      <c r="AX262" s="45"/>
      <c r="AY262" s="45"/>
      <c r="AZ262" s="46"/>
      <c r="BH262" s="305" t="s">
        <v>72</v>
      </c>
      <c r="BI262" s="306"/>
      <c r="BJ262" s="306"/>
      <c r="BK262" s="306"/>
      <c r="BL262" s="307"/>
      <c r="BM262" s="305" t="s">
        <v>73</v>
      </c>
      <c r="BN262" s="306"/>
      <c r="BO262" s="306"/>
      <c r="BP262" s="306"/>
      <c r="BQ262" s="307"/>
      <c r="BY262" s="305" t="s">
        <v>72</v>
      </c>
      <c r="BZ262" s="306"/>
      <c r="CA262" s="306"/>
      <c r="CB262" s="306"/>
      <c r="CC262" s="307"/>
      <c r="CD262" s="305" t="s">
        <v>73</v>
      </c>
      <c r="CE262" s="306"/>
      <c r="CF262" s="306"/>
      <c r="CG262" s="306"/>
      <c r="CH262" s="307"/>
      <c r="CO262" s="305" t="s">
        <v>18</v>
      </c>
      <c r="CP262" s="306"/>
      <c r="CQ262" s="306"/>
      <c r="CR262" s="306"/>
      <c r="CS262" s="307"/>
      <c r="CT262" s="305" t="s">
        <v>18</v>
      </c>
      <c r="CU262" s="306"/>
      <c r="CV262" s="306"/>
      <c r="CW262" s="306"/>
      <c r="CX262" s="307"/>
      <c r="CZ262" s="305" t="s">
        <v>18</v>
      </c>
      <c r="DA262" s="306"/>
      <c r="DB262" s="306"/>
      <c r="DC262" s="306"/>
      <c r="DD262" s="307"/>
      <c r="DE262" s="305" t="s">
        <v>18</v>
      </c>
      <c r="DF262" s="306"/>
      <c r="DG262" s="306"/>
      <c r="DH262" s="306"/>
      <c r="DI262" s="307"/>
      <c r="DK262" s="52" t="s">
        <v>5</v>
      </c>
      <c r="DL262" s="50"/>
      <c r="DM262" s="50"/>
      <c r="DN262" s="50"/>
      <c r="DO262" s="51"/>
      <c r="DQ262" s="305" t="s">
        <v>48</v>
      </c>
      <c r="DR262" s="306"/>
      <c r="DS262" s="306"/>
      <c r="DT262" s="306"/>
      <c r="DU262" s="307"/>
    </row>
    <row r="263" spans="1:135" ht="15" thickBot="1" x14ac:dyDescent="0.4">
      <c r="H263" s="55"/>
      <c r="I263" s="56" t="str">
        <f>[1]Tables!$AA$4</f>
        <v>07/27 - 06/28</v>
      </c>
      <c r="J263" s="55" t="str">
        <f>[1]Tables!$AA$5</f>
        <v>07/28 - 06/29</v>
      </c>
      <c r="K263" s="55" t="str">
        <f>[1]Tables!$AA$6</f>
        <v>07/29 - 06/30</v>
      </c>
      <c r="L263" s="55" t="str">
        <f>[1]Tables!$AA$7</f>
        <v>07/30 - 06/31</v>
      </c>
      <c r="M263" s="57" t="str">
        <f>[1]Tables!$AA$8</f>
        <v>07/31 - 06/32</v>
      </c>
      <c r="N263" s="56" t="str">
        <f>[1]Tables!$AA$4</f>
        <v>07/27 - 06/28</v>
      </c>
      <c r="O263" s="55" t="str">
        <f>[1]Tables!$AA$5</f>
        <v>07/28 - 06/29</v>
      </c>
      <c r="P263" s="55" t="str">
        <f>[1]Tables!$AA$6</f>
        <v>07/29 - 06/30</v>
      </c>
      <c r="Q263" s="55" t="str">
        <f>[1]Tables!$AA$7</f>
        <v>07/30 - 06/31</v>
      </c>
      <c r="R263" s="57" t="str">
        <f>[1]Tables!$AA$8</f>
        <v>07/31 - 06/32</v>
      </c>
      <c r="Y263" s="58"/>
      <c r="Z263" s="59" t="str">
        <f>[1]Tables!$AA$4</f>
        <v>07/27 - 06/28</v>
      </c>
      <c r="AA263" s="60" t="str">
        <f>[1]Tables!$AA$5</f>
        <v>07/28 - 06/29</v>
      </c>
      <c r="AB263" s="60" t="str">
        <f>[1]Tables!$AA$6</f>
        <v>07/29 - 06/30</v>
      </c>
      <c r="AC263" s="60" t="str">
        <f>[1]Tables!$AA$7</f>
        <v>07/30 - 06/31</v>
      </c>
      <c r="AD263" s="61" t="str">
        <f>[1]Tables!$AA$8</f>
        <v>07/31 - 06/32</v>
      </c>
      <c r="AE263" s="59" t="str">
        <f>[1]Tables!$AA$4</f>
        <v>07/27 - 06/28</v>
      </c>
      <c r="AF263" s="60" t="str">
        <f>[1]Tables!$AA$5</f>
        <v>07/28 - 06/29</v>
      </c>
      <c r="AG263" s="60" t="str">
        <f>[1]Tables!$AA$6</f>
        <v>07/29 - 06/30</v>
      </c>
      <c r="AH263" s="60" t="str">
        <f>[1]Tables!$AA$7</f>
        <v>07/30 - 06/31</v>
      </c>
      <c r="AI263" s="61" t="str">
        <f>[1]Tables!$AA$8</f>
        <v>07/31 - 06/32</v>
      </c>
      <c r="AP263" s="58"/>
      <c r="AQ263" s="62" t="str">
        <f>[1]Tables!$AA$4</f>
        <v>07/27 - 06/28</v>
      </c>
      <c r="AR263" s="63" t="str">
        <f>[1]Tables!$AA$5</f>
        <v>07/28 - 06/29</v>
      </c>
      <c r="AS263" s="63" t="str">
        <f>[1]Tables!$AA$6</f>
        <v>07/29 - 06/30</v>
      </c>
      <c r="AT263" s="63" t="str">
        <f>[1]Tables!$AA$7</f>
        <v>07/30 - 06/31</v>
      </c>
      <c r="AU263" s="64" t="str">
        <f>[1]Tables!$AA$8</f>
        <v>07/31 - 06/32</v>
      </c>
      <c r="AV263" s="62" t="str">
        <f>[1]Tables!$AA$4</f>
        <v>07/27 - 06/28</v>
      </c>
      <c r="AW263" s="63" t="str">
        <f>[1]Tables!$AA$5</f>
        <v>07/28 - 06/29</v>
      </c>
      <c r="AX263" s="63" t="str">
        <f>[1]Tables!$AA$6</f>
        <v>07/29 - 06/30</v>
      </c>
      <c r="AY263" s="63" t="str">
        <f>[1]Tables!$AA$7</f>
        <v>07/30 - 06/31</v>
      </c>
      <c r="AZ263" s="64" t="str">
        <f>[1]Tables!$AA$8</f>
        <v>07/31 - 06/32</v>
      </c>
      <c r="BG263" s="58"/>
      <c r="BH263" s="65" t="str">
        <f>[1]Tables!$AA$4</f>
        <v>07/27 - 06/28</v>
      </c>
      <c r="BI263" s="66" t="str">
        <f>[1]Tables!$AA$5</f>
        <v>07/28 - 06/29</v>
      </c>
      <c r="BJ263" s="66" t="str">
        <f>[1]Tables!$AA$6</f>
        <v>07/29 - 06/30</v>
      </c>
      <c r="BK263" s="66" t="str">
        <f>[1]Tables!$AA$7</f>
        <v>07/30 - 06/31</v>
      </c>
      <c r="BL263" s="67" t="str">
        <f>[1]Tables!$AA$8</f>
        <v>07/31 - 06/32</v>
      </c>
      <c r="BM263" s="65" t="str">
        <f>[1]Tables!$AA$4</f>
        <v>07/27 - 06/28</v>
      </c>
      <c r="BN263" s="66" t="str">
        <f>[1]Tables!$AA$5</f>
        <v>07/28 - 06/29</v>
      </c>
      <c r="BO263" s="66" t="str">
        <f>[1]Tables!$AA$6</f>
        <v>07/29 - 06/30</v>
      </c>
      <c r="BP263" s="66" t="str">
        <f>[1]Tables!$AA$7</f>
        <v>07/30 - 06/31</v>
      </c>
      <c r="BQ263" s="67" t="str">
        <f>[1]Tables!$AA$8</f>
        <v>07/31 - 06/32</v>
      </c>
      <c r="BX263" s="58"/>
      <c r="BY263" s="65" t="str">
        <f>[1]Tables!$AA$4</f>
        <v>07/27 - 06/28</v>
      </c>
      <c r="BZ263" s="66" t="str">
        <f>[1]Tables!$AA$5</f>
        <v>07/28 - 06/29</v>
      </c>
      <c r="CA263" s="66" t="str">
        <f>[1]Tables!$AA$6</f>
        <v>07/29 - 06/30</v>
      </c>
      <c r="CB263" s="66" t="str">
        <f>[1]Tables!$AA$7</f>
        <v>07/30 - 06/31</v>
      </c>
      <c r="CC263" s="67" t="str">
        <f>[1]Tables!$AA$8</f>
        <v>07/31 - 06/32</v>
      </c>
      <c r="CD263" s="65" t="str">
        <f>[1]Tables!$AA$4</f>
        <v>07/27 - 06/28</v>
      </c>
      <c r="CE263" s="66" t="str">
        <f>[1]Tables!$AA$5</f>
        <v>07/28 - 06/29</v>
      </c>
      <c r="CF263" s="66" t="str">
        <f>[1]Tables!$AA$6</f>
        <v>07/29 - 06/30</v>
      </c>
      <c r="CG263" s="66" t="str">
        <f>[1]Tables!$AA$7</f>
        <v>07/30 - 06/31</v>
      </c>
      <c r="CH263" s="67" t="str">
        <f>[1]Tables!$AA$8</f>
        <v>07/31 - 06/32</v>
      </c>
      <c r="CO263" s="65">
        <v>2025</v>
      </c>
      <c r="CP263" s="66">
        <v>2026</v>
      </c>
      <c r="CQ263" s="66">
        <v>2027</v>
      </c>
      <c r="CR263" s="66">
        <v>2028</v>
      </c>
      <c r="CS263" s="67">
        <v>2029</v>
      </c>
      <c r="CT263" s="65">
        <v>2025</v>
      </c>
      <c r="CU263" s="66">
        <v>2026</v>
      </c>
      <c r="CV263" s="66">
        <v>2027</v>
      </c>
      <c r="CW263" s="66">
        <v>2028</v>
      </c>
      <c r="CX263" s="67">
        <v>2029</v>
      </c>
      <c r="CZ263" s="65">
        <v>2025</v>
      </c>
      <c r="DA263" s="66">
        <v>2026</v>
      </c>
      <c r="DB263" s="66">
        <v>2027</v>
      </c>
      <c r="DC263" s="66">
        <v>2028</v>
      </c>
      <c r="DD263" s="67">
        <v>2029</v>
      </c>
      <c r="DE263" s="65">
        <v>2025</v>
      </c>
      <c r="DF263" s="66">
        <v>2026</v>
      </c>
      <c r="DG263" s="66">
        <v>2027</v>
      </c>
      <c r="DH263" s="66">
        <v>2028</v>
      </c>
      <c r="DI263" s="67">
        <v>2029</v>
      </c>
      <c r="DK263" s="65" t="str">
        <f>[1]Tables!$AA$4</f>
        <v>07/27 - 06/28</v>
      </c>
      <c r="DL263" s="66" t="str">
        <f>[1]Tables!$AA$5</f>
        <v>07/28 - 06/29</v>
      </c>
      <c r="DM263" s="66" t="str">
        <f>[1]Tables!$AA$6</f>
        <v>07/29 - 06/30</v>
      </c>
      <c r="DN263" s="66" t="str">
        <f>[1]Tables!$AA$7</f>
        <v>07/30 - 06/31</v>
      </c>
      <c r="DO263" s="67" t="str">
        <f>[1]Tables!$AA$8</f>
        <v>07/31 - 06/32</v>
      </c>
      <c r="DQ263" s="65" t="str">
        <f>[1]Tables!$AA$4</f>
        <v>07/27 - 06/28</v>
      </c>
      <c r="DR263" s="66" t="str">
        <f>[1]Tables!$AA$5</f>
        <v>07/28 - 06/29</v>
      </c>
      <c r="DS263" s="66" t="str">
        <f>[1]Tables!$AA$6</f>
        <v>07/29 - 06/30</v>
      </c>
      <c r="DT263" s="66" t="str">
        <f>[1]Tables!$AA$7</f>
        <v>07/30 - 06/31</v>
      </c>
      <c r="DU263" s="67" t="str">
        <f>[1]Tables!$AA$8</f>
        <v>07/31 - 06/32</v>
      </c>
    </row>
    <row r="264" spans="1:135" x14ac:dyDescent="0.35">
      <c r="B264" s="68" t="s">
        <v>11</v>
      </c>
      <c r="C264" s="69">
        <v>30</v>
      </c>
      <c r="D264" s="69" t="s">
        <v>12</v>
      </c>
      <c r="E264" s="70" t="s">
        <v>12</v>
      </c>
      <c r="F264" s="106"/>
      <c r="H264" s="71" t="s">
        <v>14</v>
      </c>
      <c r="I264" s="72" t="e" cm="1">
        <f t="array" aca="1" ref="I264" ca="1">SUMIFS(rng_out_awp_pre_yr1, rng_out_GB_Medispan, "B", rng_out_mail_ind, $B264, rng_out_ds, $C264, rng_out_sel_sp_ind, $D264) - I368</f>
        <v>#VALUE!</v>
      </c>
      <c r="J264" s="5" t="e" cm="1">
        <f t="array" aca="1" ref="J264" ca="1">SUMIFS(rng_out_awp_pre_yr2, rng_out_GB_Medispan, "B", rng_out_mail_ind, $B264, rng_out_ds, $C264, rng_out_sel_sp_ind, $D264) - J368</f>
        <v>#VALUE!</v>
      </c>
      <c r="K264" s="5" t="e" cm="1">
        <f t="array" aca="1" ref="K264" ca="1">SUMIFS(rng_out_awp_pre_yr3, rng_out_GB_Medispan, "B", rng_out_mail_ind, $B264, rng_out_ds, $C264, rng_out_sel_sp_ind, $D264) - K368</f>
        <v>#VALUE!</v>
      </c>
      <c r="L264" s="5" t="e" cm="1">
        <f t="array" aca="1" ref="L264" ca="1">SUMIFS(rng_out_awp_pre_yr4, rng_out_GB_Medispan, "B", rng_out_mail_ind, $B264, rng_out_ds, $C264, rng_out_sel_sp_ind, $D264) - L368</f>
        <v>#VALUE!</v>
      </c>
      <c r="M264" s="73" t="e" cm="1">
        <f t="array" aca="1" ref="M264" ca="1">SUMIFS(rng_out_awp_pre_yr5, rng_out_GB_Medispan, "B", rng_out_mail_ind, $B264, rng_out_ds, $C264, rng_out_sel_sp_ind, $D264) - M368</f>
        <v>#VALUE!</v>
      </c>
      <c r="N264" s="74">
        <f t="shared" ref="N264:R268" ca="1" si="265">IFERROR(I264/N190, 0)</f>
        <v>0</v>
      </c>
      <c r="O264" s="75">
        <f t="shared" ca="1" si="265"/>
        <v>0</v>
      </c>
      <c r="P264" s="75">
        <f t="shared" ca="1" si="265"/>
        <v>0</v>
      </c>
      <c r="Q264" s="75">
        <f t="shared" ca="1" si="265"/>
        <v>0</v>
      </c>
      <c r="R264" s="76">
        <f t="shared" ca="1" si="265"/>
        <v>0</v>
      </c>
      <c r="Y264" s="77" t="s">
        <v>14</v>
      </c>
      <c r="Z264" s="78">
        <f ca="1">IFERROR(I264/[1]Tables!$AT$4, 0)</f>
        <v>0</v>
      </c>
      <c r="AA264" s="79">
        <f ca="1">IFERROR(J264/[1]Tables!$AT$4, 0)</f>
        <v>0</v>
      </c>
      <c r="AB264" s="79">
        <f ca="1">IFERROR(K264/[1]Tables!$AT$4, 0)</f>
        <v>0</v>
      </c>
      <c r="AC264" s="79">
        <f ca="1">IFERROR(L264/[1]Tables!$AT$4, 0)</f>
        <v>0</v>
      </c>
      <c r="AD264" s="80">
        <f ca="1">IFERROR(M264/[1]Tables!$AT$4, 0)</f>
        <v>0</v>
      </c>
      <c r="AE264" s="81">
        <f t="shared" ref="AE264:AI268" ca="1" si="266">IFERROR(Z264/AE190, 0)</f>
        <v>0</v>
      </c>
      <c r="AF264" s="75">
        <f t="shared" ca="1" si="266"/>
        <v>0</v>
      </c>
      <c r="AG264" s="75">
        <f t="shared" ca="1" si="266"/>
        <v>0</v>
      </c>
      <c r="AH264" s="75">
        <f t="shared" ca="1" si="266"/>
        <v>0</v>
      </c>
      <c r="AI264" s="82">
        <f t="shared" ca="1" si="266"/>
        <v>0</v>
      </c>
      <c r="AP264" s="83" t="s">
        <v>14</v>
      </c>
      <c r="AQ264" s="356" t="e" cm="1">
        <f t="array" aca="1" ref="AQ264" ca="1">SUMIFS(rng_out_awp_post_yr1, rng_out_GB_Medispan, "B", rng_out_mail_ind, $B264, rng_out_ds, $C264, rng_out_sel_sp_ind, $D264)/[1]Tables!$AT$4 - AQ368</f>
        <v>#VALUE!</v>
      </c>
      <c r="AR264" s="5" t="e" cm="1">
        <f t="array" aca="1" ref="AR264" ca="1">SUMIFS(rng_out_awp_post_yr2, rng_out_GB_Medispan, "B", rng_out_mail_ind, $B264, rng_out_ds, $C264, rng_out_sel_sp_ind, $D264)/[1]Tables!$AT$4 - AR368</f>
        <v>#VALUE!</v>
      </c>
      <c r="AS264" s="5" t="e" cm="1">
        <f t="array" aca="1" ref="AS264" ca="1">SUMIFS(rng_out_awp_post_yr3, rng_out_GB_Medispan, "B", rng_out_mail_ind, $B264, rng_out_ds, $C264, rng_out_sel_sp_ind, $D264)/[1]Tables!$AT$4 - AS368</f>
        <v>#VALUE!</v>
      </c>
      <c r="AT264" s="5" t="e" cm="1">
        <f t="array" aca="1" ref="AT264" ca="1">SUMIFS(rng_out_awp_post_yr4, rng_out_GB_Medispan, "B", rng_out_mail_ind, $B264, rng_out_ds, $C264, rng_out_sel_sp_ind, $D264)/[1]Tables!$AT$4 - AT368</f>
        <v>#VALUE!</v>
      </c>
      <c r="AU264" s="85" t="e" cm="1">
        <f t="array" aca="1" ref="AU264" ca="1">SUMIFS(rng_out_awp_post_yr5, rng_out_GB_Medispan, "B", rng_out_mail_ind, $B264, rng_out_ds, $C264, rng_out_sel_sp_ind, $D264)/[1]Tables!$AT$4 - AU368</f>
        <v>#VALUE!</v>
      </c>
      <c r="AV264" s="86">
        <f t="shared" ref="AV264:AZ268" ca="1" si="267">IFERROR(AQ264/AV190, 0)</f>
        <v>0</v>
      </c>
      <c r="AW264" s="75">
        <f t="shared" ca="1" si="267"/>
        <v>0</v>
      </c>
      <c r="AX264" s="75">
        <f t="shared" ca="1" si="267"/>
        <v>0</v>
      </c>
      <c r="AY264" s="75">
        <f t="shared" ca="1" si="267"/>
        <v>0</v>
      </c>
      <c r="AZ264" s="87">
        <f t="shared" ca="1" si="267"/>
        <v>0</v>
      </c>
      <c r="BG264" s="88" t="s">
        <v>14</v>
      </c>
      <c r="BH264" s="97" t="e">
        <f t="shared" ref="BH264:BL267" ca="1" si="268">AQ264</f>
        <v>#VALUE!</v>
      </c>
      <c r="BI264" s="79" t="e">
        <f t="shared" ca="1" si="268"/>
        <v>#VALUE!</v>
      </c>
      <c r="BJ264" s="79" t="e">
        <f t="shared" ca="1" si="268"/>
        <v>#VALUE!</v>
      </c>
      <c r="BK264" s="79" t="e">
        <f t="shared" ca="1" si="268"/>
        <v>#VALUE!</v>
      </c>
      <c r="BL264" s="98" t="e">
        <f t="shared" ca="1" si="268"/>
        <v>#VALUE!</v>
      </c>
      <c r="BM264" s="92">
        <f t="shared" ref="BM264:BQ268" ca="1" si="269">IFERROR(BH264/BM190, 0)</f>
        <v>0</v>
      </c>
      <c r="BN264" s="75">
        <f t="shared" ca="1" si="269"/>
        <v>0</v>
      </c>
      <c r="BO264" s="75">
        <f t="shared" ca="1" si="269"/>
        <v>0</v>
      </c>
      <c r="BP264" s="75">
        <f t="shared" ca="1" si="269"/>
        <v>0</v>
      </c>
      <c r="BQ264" s="93">
        <f t="shared" ca="1" si="269"/>
        <v>0</v>
      </c>
      <c r="BX264" s="88" t="s">
        <v>14</v>
      </c>
      <c r="BY264" s="97" t="e">
        <f t="shared" ref="BY264:CC267" ca="1" si="270">CD264*CD190</f>
        <v>#VALUE!</v>
      </c>
      <c r="BZ264" s="79" t="e">
        <f t="shared" ca="1" si="270"/>
        <v>#VALUE!</v>
      </c>
      <c r="CA264" s="79" t="e">
        <f t="shared" ca="1" si="270"/>
        <v>#VALUE!</v>
      </c>
      <c r="CB264" s="79" t="e">
        <f t="shared" ca="1" si="270"/>
        <v>#VALUE!</v>
      </c>
      <c r="CC264" s="98" t="e">
        <f t="shared" ca="1" si="270"/>
        <v>#VALUE!</v>
      </c>
      <c r="CD264" s="92">
        <f t="shared" ref="CD264:CH267" ca="1" si="271">BM264</f>
        <v>0</v>
      </c>
      <c r="CE264" s="75">
        <f t="shared" ca="1" si="271"/>
        <v>0</v>
      </c>
      <c r="CF264" s="75">
        <f t="shared" ca="1" si="271"/>
        <v>0</v>
      </c>
      <c r="CG264" s="75">
        <f t="shared" ca="1" si="271"/>
        <v>0</v>
      </c>
      <c r="CH264" s="93">
        <f t="shared" ca="1" si="271"/>
        <v>0</v>
      </c>
      <c r="CO264" s="115">
        <f t="shared" ref="CO264:CS267" ca="1" si="272">IFERROR(((BY87-(BY219+BY255))+BY219)/BY219, 1)</f>
        <v>1</v>
      </c>
      <c r="CP264" s="116">
        <f t="shared" ca="1" si="272"/>
        <v>1</v>
      </c>
      <c r="CQ264" s="116">
        <f t="shared" ca="1" si="272"/>
        <v>1</v>
      </c>
      <c r="CR264" s="116">
        <f t="shared" ca="1" si="272"/>
        <v>1</v>
      </c>
      <c r="CS264" s="117">
        <f t="shared" ca="1" si="272"/>
        <v>1</v>
      </c>
      <c r="CT264" s="112">
        <f t="shared" ref="CT264:CX267" ca="1" si="273">IFERROR(((BY96-(BY246+BY228))+BY246)/BY246, 1)</f>
        <v>1</v>
      </c>
      <c r="CU264" s="113">
        <f t="shared" ca="1" si="273"/>
        <v>1</v>
      </c>
      <c r="CV264" s="113">
        <f t="shared" ca="1" si="273"/>
        <v>1</v>
      </c>
      <c r="CW264" s="113">
        <f t="shared" ca="1" si="273"/>
        <v>1</v>
      </c>
      <c r="CX264" s="114">
        <f t="shared" ca="1" si="273"/>
        <v>1</v>
      </c>
      <c r="CZ264" s="115">
        <f t="shared" ref="CZ264:DD267" ca="1" si="274">IFERROR((((BY87+BY137)-(BY219+BY323+BY255+BY359))+(BY219+BY323))/(BY219+BY323), 1)</f>
        <v>1</v>
      </c>
      <c r="DA264" s="116">
        <f t="shared" ca="1" si="274"/>
        <v>1</v>
      </c>
      <c r="DB264" s="116">
        <f t="shared" ca="1" si="274"/>
        <v>1</v>
      </c>
      <c r="DC264" s="116">
        <f t="shared" ca="1" si="274"/>
        <v>1</v>
      </c>
      <c r="DD264" s="117">
        <f t="shared" ca="1" si="274"/>
        <v>1</v>
      </c>
      <c r="DE264" s="112">
        <f t="shared" ref="DE264:DI267" ca="1" si="275">IFERROR((((BY96+BY146)-(BY246+BY350+BY228+BY332))+(BY246+BY350))/(BY246+BY350), 1)</f>
        <v>1</v>
      </c>
      <c r="DF264" s="113">
        <f t="shared" ca="1" si="275"/>
        <v>1</v>
      </c>
      <c r="DG264" s="113">
        <f t="shared" ca="1" si="275"/>
        <v>1</v>
      </c>
      <c r="DH264" s="113">
        <f t="shared" ca="1" si="275"/>
        <v>1</v>
      </c>
      <c r="DI264" s="114">
        <f t="shared" ca="1" si="275"/>
        <v>1</v>
      </c>
      <c r="DK264" s="361">
        <v>0</v>
      </c>
      <c r="DL264" s="362">
        <v>0</v>
      </c>
      <c r="DM264" s="362">
        <v>0</v>
      </c>
      <c r="DN264" s="362">
        <v>0</v>
      </c>
      <c r="DO264" s="363">
        <v>0</v>
      </c>
      <c r="DQ264" s="97" cm="1">
        <f t="array" aca="1" ref="DQ264" ca="1">IFERROR(SUMPRODUCT((rng_out_mail_ind = $B264) * (rng_out_ds = $C264) * (rng_out_sel_sp_ind = $D264) * (rng_out_post_reb_ind_yr1 = 1) * (rng_out_Rwac_post_yr1*(1-rng_out_340B)) *
(1-INDEX([1]Tables!$EA$4:$EE$60,MATCH([1]Tables!$C$22&amp;$BX264,[1]Tables!$EA$4:$EA$60,0),[1]Tables!$EE$1))) * ((BM190+BM199+BM294+BM303)/(BM190+BM294)), 0)</f>
        <v>0</v>
      </c>
      <c r="DR264" s="79" cm="1">
        <f t="array" aca="1" ref="DR264" ca="1">IFERROR(SUMPRODUCT((rng_out_mail_ind = $B264) * (rng_out_ds = $C264) * (rng_out_sel_sp_ind = $D264) * (rng_out_post_reb_ind_yr2 = 1) * (rng_out_Rwac_post_yr2*(1-rng_out_340B)) *
(1-INDEX([1]Tables!$EA$4:$EE$60,MATCH([1]Tables!$C$22&amp;$BX264,[1]Tables!$EA$4:$EA$60,0),[1]Tables!$EE$1))) * ((BN190+BN199+BN294+BN303)/(BN190+BN294)), 0)</f>
        <v>0</v>
      </c>
      <c r="DS264" s="79" cm="1">
        <f t="array" aca="1" ref="DS264" ca="1">IFERROR(SUMPRODUCT((rng_out_mail_ind = $B264) * (rng_out_ds = $C264) * (rng_out_sel_sp_ind = $D264) * (rng_out_post_reb_ind_yr3 = 1) * (rng_out_Rwac_post_yr3*(1-rng_out_340B)) *
(1-INDEX([1]Tables!$EA$4:$EE$60,MATCH([1]Tables!$C$22&amp;$BX264,[1]Tables!$EA$4:$EA$60,0),[1]Tables!$EE$1))) * ((BO190+BO199+BO294+BO303)/(BO190+BO294)), 0)</f>
        <v>0</v>
      </c>
      <c r="DT264" s="79" cm="1">
        <f t="array" aca="1" ref="DT264" ca="1">IFERROR(SUMPRODUCT((rng_out_mail_ind = $B264) * (rng_out_ds = $C264) * (rng_out_sel_sp_ind = $D264) * (rng_out_post_reb_ind_yr4 = 1) * (rng_out_Rwac_post_yr4*(1-rng_out_340B)) *
(1-INDEX([1]Tables!$EA$4:$EE$60,MATCH([1]Tables!$C$22&amp;$BX264,[1]Tables!$EA$4:$EA$60,0),[1]Tables!$EE$1))) * ((BP190+BP199+BP294+BP303)/(BP190+BP294)), 0)</f>
        <v>0</v>
      </c>
      <c r="DU264" s="98" cm="1">
        <f t="array" aca="1" ref="DU264" ca="1">IFERROR(SUMPRODUCT((rng_out_mail_ind = $B264) * (rng_out_ds = $C264) * (rng_out_sel_sp_ind = $D264) * (rng_out_post_reb_ind_yr5 = 1) * (rng_out_Rwac_post_yr5*(1-rng_out_340B)) *
(1-INDEX([1]Tables!$EA$4:$EE$60,MATCH([1]Tables!$C$22&amp;$BX264,[1]Tables!$EA$4:$EA$60,0),[1]Tables!$EE$1))) * ((BQ190+BQ199+BQ294+BQ303)/(BQ190+BQ294)), 0)</f>
        <v>0</v>
      </c>
    </row>
    <row r="265" spans="1:135" x14ac:dyDescent="0.35">
      <c r="B265" s="105" t="s">
        <v>11</v>
      </c>
      <c r="C265" s="106">
        <v>90</v>
      </c>
      <c r="D265" s="106" t="s">
        <v>12</v>
      </c>
      <c r="E265" s="107" t="s">
        <v>12</v>
      </c>
      <c r="F265" s="106"/>
      <c r="H265" s="108" t="s">
        <v>15</v>
      </c>
      <c r="I265" s="72" t="e" cm="1">
        <f t="array" aca="1" ref="I265" ca="1">SUMIFS(rng_out_awp_pre_yr1, rng_out_GB_Medispan, "B", rng_out_mail_ind, $B265, rng_out_ds, $C265, rng_out_sel_sp_ind, $D265) - I369</f>
        <v>#VALUE!</v>
      </c>
      <c r="J265" s="5" t="e" cm="1">
        <f t="array" aca="1" ref="J265" ca="1">SUMIFS(rng_out_awp_pre_yr2, rng_out_GB_Medispan, "B", rng_out_mail_ind, $B265, rng_out_ds, $C265, rng_out_sel_sp_ind, $D265) - J369</f>
        <v>#VALUE!</v>
      </c>
      <c r="K265" s="5" t="e" cm="1">
        <f t="array" aca="1" ref="K265" ca="1">SUMIFS(rng_out_awp_pre_yr3, rng_out_GB_Medispan, "B", rng_out_mail_ind, $B265, rng_out_ds, $C265, rng_out_sel_sp_ind, $D265) - K369</f>
        <v>#VALUE!</v>
      </c>
      <c r="L265" s="5" t="e" cm="1">
        <f t="array" aca="1" ref="L265" ca="1">SUMIFS(rng_out_awp_pre_yr4, rng_out_GB_Medispan, "B", rng_out_mail_ind, $B265, rng_out_ds, $C265, rng_out_sel_sp_ind, $D265) - L369</f>
        <v>#VALUE!</v>
      </c>
      <c r="M265" s="73" t="e" cm="1">
        <f t="array" aca="1" ref="M265" ca="1">SUMIFS(rng_out_awp_pre_yr5, rng_out_GB_Medispan, "B", rng_out_mail_ind, $B265, rng_out_ds, $C265, rng_out_sel_sp_ind, $D265) - M369</f>
        <v>#VALUE!</v>
      </c>
      <c r="N265" s="74">
        <f t="shared" ca="1" si="265"/>
        <v>0</v>
      </c>
      <c r="O265" s="75">
        <f t="shared" ca="1" si="265"/>
        <v>0</v>
      </c>
      <c r="P265" s="75">
        <f t="shared" ca="1" si="265"/>
        <v>0</v>
      </c>
      <c r="Q265" s="75">
        <f t="shared" ca="1" si="265"/>
        <v>0</v>
      </c>
      <c r="R265" s="76">
        <f t="shared" ca="1" si="265"/>
        <v>0</v>
      </c>
      <c r="Y265" s="109" t="s">
        <v>15</v>
      </c>
      <c r="Z265" s="78">
        <f ca="1">IFERROR(I265/[1]Tables!$AT$4, 0)</f>
        <v>0</v>
      </c>
      <c r="AA265" s="79">
        <f ca="1">IFERROR(J265/[1]Tables!$AT$4, 0)</f>
        <v>0</v>
      </c>
      <c r="AB265" s="79">
        <f ca="1">IFERROR(K265/[1]Tables!$AT$4, 0)</f>
        <v>0</v>
      </c>
      <c r="AC265" s="79">
        <f ca="1">IFERROR(L265/[1]Tables!$AT$4, 0)</f>
        <v>0</v>
      </c>
      <c r="AD265" s="80">
        <f ca="1">IFERROR(M265/[1]Tables!$AT$4, 0)</f>
        <v>0</v>
      </c>
      <c r="AE265" s="81">
        <f t="shared" ca="1" si="266"/>
        <v>0</v>
      </c>
      <c r="AF265" s="75">
        <f t="shared" ca="1" si="266"/>
        <v>0</v>
      </c>
      <c r="AG265" s="75">
        <f t="shared" ca="1" si="266"/>
        <v>0</v>
      </c>
      <c r="AH265" s="75">
        <f t="shared" ca="1" si="266"/>
        <v>0</v>
      </c>
      <c r="AI265" s="82">
        <f t="shared" ca="1" si="266"/>
        <v>0</v>
      </c>
      <c r="AP265" s="110" t="s">
        <v>15</v>
      </c>
      <c r="AQ265" s="356" t="e" cm="1">
        <f t="array" aca="1" ref="AQ265" ca="1">SUMIFS(rng_out_awp_post_yr1, rng_out_GB_Medispan, "B", rng_out_mail_ind, $B265, rng_out_ds, $C265, rng_out_sel_sp_ind, $D265)/[1]Tables!$AT$4 - AQ369</f>
        <v>#VALUE!</v>
      </c>
      <c r="AR265" s="5" t="e" cm="1">
        <f t="array" aca="1" ref="AR265" ca="1">SUMIFS(rng_out_awp_post_yr2, rng_out_GB_Medispan, "B", rng_out_mail_ind, $B265, rng_out_ds, $C265, rng_out_sel_sp_ind, $D265)/[1]Tables!$AT$4 - AR369</f>
        <v>#VALUE!</v>
      </c>
      <c r="AS265" s="5" t="e" cm="1">
        <f t="array" aca="1" ref="AS265" ca="1">SUMIFS(rng_out_awp_post_yr3, rng_out_GB_Medispan, "B", rng_out_mail_ind, $B265, rng_out_ds, $C265, rng_out_sel_sp_ind, $D265)/[1]Tables!$AT$4 - AS369</f>
        <v>#VALUE!</v>
      </c>
      <c r="AT265" s="5" t="e" cm="1">
        <f t="array" aca="1" ref="AT265" ca="1">SUMIFS(rng_out_awp_post_yr4, rng_out_GB_Medispan, "B", rng_out_mail_ind, $B265, rng_out_ds, $C265, rng_out_sel_sp_ind, $D265)/[1]Tables!$AT$4 - AT369</f>
        <v>#VALUE!</v>
      </c>
      <c r="AU265" s="85" t="e" cm="1">
        <f t="array" aca="1" ref="AU265" ca="1">SUMIFS(rng_out_awp_post_yr5, rng_out_GB_Medispan, "B", rng_out_mail_ind, $B265, rng_out_ds, $C265, rng_out_sel_sp_ind, $D265)/[1]Tables!$AT$4 - AU369</f>
        <v>#VALUE!</v>
      </c>
      <c r="AV265" s="86">
        <f t="shared" ca="1" si="267"/>
        <v>0</v>
      </c>
      <c r="AW265" s="75">
        <f t="shared" ca="1" si="267"/>
        <v>0</v>
      </c>
      <c r="AX265" s="75">
        <f t="shared" ca="1" si="267"/>
        <v>0</v>
      </c>
      <c r="AY265" s="75">
        <f t="shared" ca="1" si="267"/>
        <v>0</v>
      </c>
      <c r="AZ265" s="87">
        <f t="shared" ca="1" si="267"/>
        <v>0</v>
      </c>
      <c r="BG265" s="111" t="s">
        <v>15</v>
      </c>
      <c r="BH265" s="97" t="e">
        <f t="shared" ca="1" si="268"/>
        <v>#VALUE!</v>
      </c>
      <c r="BI265" s="79" t="e">
        <f t="shared" ca="1" si="268"/>
        <v>#VALUE!</v>
      </c>
      <c r="BJ265" s="79" t="e">
        <f t="shared" ca="1" si="268"/>
        <v>#VALUE!</v>
      </c>
      <c r="BK265" s="79" t="e">
        <f t="shared" ca="1" si="268"/>
        <v>#VALUE!</v>
      </c>
      <c r="BL265" s="98" t="e">
        <f t="shared" ca="1" si="268"/>
        <v>#VALUE!</v>
      </c>
      <c r="BM265" s="92">
        <f t="shared" ca="1" si="269"/>
        <v>0</v>
      </c>
      <c r="BN265" s="75">
        <f t="shared" ca="1" si="269"/>
        <v>0</v>
      </c>
      <c r="BO265" s="75">
        <f t="shared" ca="1" si="269"/>
        <v>0</v>
      </c>
      <c r="BP265" s="75">
        <f t="shared" ca="1" si="269"/>
        <v>0</v>
      </c>
      <c r="BQ265" s="93">
        <f t="shared" ca="1" si="269"/>
        <v>0</v>
      </c>
      <c r="BX265" s="111" t="s">
        <v>15</v>
      </c>
      <c r="BY265" s="97" t="e">
        <f t="shared" ca="1" si="270"/>
        <v>#VALUE!</v>
      </c>
      <c r="BZ265" s="79" t="e">
        <f t="shared" ca="1" si="270"/>
        <v>#VALUE!</v>
      </c>
      <c r="CA265" s="79" t="e">
        <f t="shared" ca="1" si="270"/>
        <v>#VALUE!</v>
      </c>
      <c r="CB265" s="79" t="e">
        <f t="shared" ca="1" si="270"/>
        <v>#VALUE!</v>
      </c>
      <c r="CC265" s="98" t="e">
        <f t="shared" ca="1" si="270"/>
        <v>#VALUE!</v>
      </c>
      <c r="CD265" s="92">
        <f t="shared" ca="1" si="271"/>
        <v>0</v>
      </c>
      <c r="CE265" s="75">
        <f t="shared" ca="1" si="271"/>
        <v>0</v>
      </c>
      <c r="CF265" s="75">
        <f t="shared" ca="1" si="271"/>
        <v>0</v>
      </c>
      <c r="CG265" s="75">
        <f t="shared" ca="1" si="271"/>
        <v>0</v>
      </c>
      <c r="CH265" s="93">
        <f t="shared" ca="1" si="271"/>
        <v>0</v>
      </c>
      <c r="CO265" s="115">
        <f t="shared" ca="1" si="272"/>
        <v>1</v>
      </c>
      <c r="CP265" s="116">
        <f t="shared" ca="1" si="272"/>
        <v>1</v>
      </c>
      <c r="CQ265" s="116">
        <f t="shared" ca="1" si="272"/>
        <v>1</v>
      </c>
      <c r="CR265" s="116">
        <f t="shared" ca="1" si="272"/>
        <v>1</v>
      </c>
      <c r="CS265" s="117">
        <f t="shared" ca="1" si="272"/>
        <v>1</v>
      </c>
      <c r="CT265" s="112">
        <f t="shared" ca="1" si="273"/>
        <v>1</v>
      </c>
      <c r="CU265" s="113">
        <f t="shared" ca="1" si="273"/>
        <v>1</v>
      </c>
      <c r="CV265" s="113">
        <f t="shared" ca="1" si="273"/>
        <v>1</v>
      </c>
      <c r="CW265" s="113">
        <f t="shared" ca="1" si="273"/>
        <v>1</v>
      </c>
      <c r="CX265" s="114">
        <f t="shared" ca="1" si="273"/>
        <v>1</v>
      </c>
      <c r="CZ265" s="115">
        <f t="shared" ca="1" si="274"/>
        <v>1</v>
      </c>
      <c r="DA265" s="116">
        <f t="shared" ca="1" si="274"/>
        <v>1</v>
      </c>
      <c r="DB265" s="116">
        <f t="shared" ca="1" si="274"/>
        <v>1</v>
      </c>
      <c r="DC265" s="116">
        <f t="shared" ca="1" si="274"/>
        <v>1</v>
      </c>
      <c r="DD265" s="117">
        <f t="shared" ca="1" si="274"/>
        <v>1</v>
      </c>
      <c r="DE265" s="112">
        <f t="shared" ca="1" si="275"/>
        <v>1</v>
      </c>
      <c r="DF265" s="113">
        <f t="shared" ca="1" si="275"/>
        <v>1</v>
      </c>
      <c r="DG265" s="113">
        <f t="shared" ca="1" si="275"/>
        <v>1</v>
      </c>
      <c r="DH265" s="113">
        <f t="shared" ca="1" si="275"/>
        <v>1</v>
      </c>
      <c r="DI265" s="114">
        <f t="shared" ca="1" si="275"/>
        <v>1</v>
      </c>
      <c r="DK265" s="97">
        <v>0</v>
      </c>
      <c r="DL265" s="79">
        <v>0</v>
      </c>
      <c r="DM265" s="79">
        <v>0</v>
      </c>
      <c r="DN265" s="79">
        <v>0</v>
      </c>
      <c r="DO265" s="98">
        <v>0</v>
      </c>
      <c r="DQ265" s="97" cm="1">
        <f t="array" aca="1" ref="DQ265" ca="1">IFERROR(SUMPRODUCT((rng_out_mail_ind = $B265) * (rng_out_ds = $C265) * (rng_out_sel_sp_ind = $D265) * (rng_out_post_reb_ind_yr1 = 1)  * (rng_out_Rwac_post_yr1*(1-rng_out_340B) *
(1-INDEX([1]Tables!$EA$4:$EE$60,MATCH([1]Tables!$C$22&amp;$BX265,[1]Tables!$EA$4:$EA$60,0),[1]Tables!$EE$1)))) * ((BM191+BM200+BM295+BM304)/(BM191+BM295)), 0)</f>
        <v>0</v>
      </c>
      <c r="DR265" s="79" cm="1">
        <f t="array" aca="1" ref="DR265" ca="1">IFERROR(SUMPRODUCT((rng_out_mail_ind = $B265) * (rng_out_ds = $C265) * (rng_out_sel_sp_ind = $D265) * (rng_out_post_reb_ind_yr2 = 1)  * (rng_out_Rwac_post_yr2*(1-rng_out_340B) *
(1-INDEX([1]Tables!$EA$4:$EE$60,MATCH([1]Tables!$C$22&amp;$BX265,[1]Tables!$EA$4:$EA$60,0),[1]Tables!$EE$1)))) * ((BN191+BN200+BN295+BN304)/(BN191+BN295)), 0)</f>
        <v>0</v>
      </c>
      <c r="DS265" s="79" cm="1">
        <f t="array" aca="1" ref="DS265" ca="1">IFERROR(SUMPRODUCT((rng_out_mail_ind = $B265) * (rng_out_ds = $C265) * (rng_out_sel_sp_ind = $D265) * (rng_out_post_reb_ind_yr3 = 1)  * (rng_out_Rwac_post_yr3*(1-rng_out_340B) *
(1-INDEX([1]Tables!$EA$4:$EE$60,MATCH([1]Tables!$C$22&amp;$BX265,[1]Tables!$EA$4:$EA$60,0),[1]Tables!$EE$1)))) * ((BO191+BO200+BO295+BO304)/(BO191+BO295)), 0)</f>
        <v>0</v>
      </c>
      <c r="DT265" s="79" cm="1">
        <f t="array" aca="1" ref="DT265" ca="1">IFERROR(SUMPRODUCT((rng_out_mail_ind = $B265) * (rng_out_ds = $C265) * (rng_out_sel_sp_ind = $D265) * (rng_out_post_reb_ind_yr4 = 1)  * (rng_out_Rwac_post_yr4*(1-rng_out_340B) *
(1-INDEX([1]Tables!$EA$4:$EE$60,MATCH([1]Tables!$C$22&amp;$BX265,[1]Tables!$EA$4:$EA$60,0),[1]Tables!$EE$1)))) * ((BP191+BP200+BP295+BP304)/(BP191+BP295)), 0)</f>
        <v>0</v>
      </c>
      <c r="DU265" s="98" cm="1">
        <f t="array" aca="1" ref="DU265" ca="1">IFERROR(SUMPRODUCT((rng_out_mail_ind = $B265) * (rng_out_ds = $C265) * (rng_out_sel_sp_ind = $D265) * (rng_out_post_reb_ind_yr5 = 1)  * (rng_out_Rwac_post_yr5*(1-rng_out_340B) *
(1-INDEX([1]Tables!$EA$4:$EE$60,MATCH([1]Tables!$C$22&amp;$BX265,[1]Tables!$EA$4:$EA$60,0),[1]Tables!$EE$1)))) * ((BQ191+BQ200+BQ295+BQ304)/(BQ191+BQ295)), 0)</f>
        <v>0</v>
      </c>
    </row>
    <row r="266" spans="1:135" x14ac:dyDescent="0.35">
      <c r="B266" s="105" t="s">
        <v>16</v>
      </c>
      <c r="C266" s="106"/>
      <c r="D266" s="106" t="s">
        <v>12</v>
      </c>
      <c r="E266" s="107" t="s">
        <v>12</v>
      </c>
      <c r="F266" s="106"/>
      <c r="H266" s="118" t="s">
        <v>7</v>
      </c>
      <c r="I266" s="72" t="e" cm="1">
        <f t="array" aca="1" ref="I266" ca="1">SUMIFS(rng_out_awp_pre_yr1, rng_out_GB_Medispan, "B", rng_out_mail_ind, $B266, rng_out_sel_sp_ind, $D266) - I370</f>
        <v>#VALUE!</v>
      </c>
      <c r="J266" s="5" t="e" cm="1">
        <f t="array" aca="1" ref="J266" ca="1">SUMIFS(rng_out_awp_pre_yr2, rng_out_GB_Medispan, "B", rng_out_mail_ind, $B266, rng_out_sel_sp_ind, $D266) - J370</f>
        <v>#VALUE!</v>
      </c>
      <c r="K266" s="5" t="e" cm="1">
        <f t="array" aca="1" ref="K266" ca="1">SUMIFS(rng_out_awp_pre_yr3, rng_out_GB_Medispan, "B", rng_out_mail_ind, $B266, rng_out_sel_sp_ind, $D266) - K370</f>
        <v>#VALUE!</v>
      </c>
      <c r="L266" s="5" t="e" cm="1">
        <f t="array" aca="1" ref="L266" ca="1">SUMIFS(rng_out_awp_pre_yr4, rng_out_GB_Medispan, "B", rng_out_mail_ind, $B266, rng_out_sel_sp_ind, $D266) - L370</f>
        <v>#VALUE!</v>
      </c>
      <c r="M266" s="73" t="e" cm="1">
        <f t="array" aca="1" ref="M266" ca="1">SUMIFS(rng_out_awp_pre_yr5, rng_out_GB_Medispan, "B", rng_out_mail_ind, $B266, rng_out_sel_sp_ind, $D266) - M370</f>
        <v>#VALUE!</v>
      </c>
      <c r="N266" s="74">
        <f t="shared" ca="1" si="265"/>
        <v>0</v>
      </c>
      <c r="O266" s="75">
        <f t="shared" ca="1" si="265"/>
        <v>0</v>
      </c>
      <c r="P266" s="75">
        <f t="shared" ca="1" si="265"/>
        <v>0</v>
      </c>
      <c r="Q266" s="75">
        <f t="shared" ca="1" si="265"/>
        <v>0</v>
      </c>
      <c r="R266" s="76">
        <f t="shared" ca="1" si="265"/>
        <v>0</v>
      </c>
      <c r="Y266" s="119" t="s">
        <v>7</v>
      </c>
      <c r="Z266" s="78">
        <f ca="1">IFERROR(I266/[1]Tables!$AT$4, 0)</f>
        <v>0</v>
      </c>
      <c r="AA266" s="79">
        <f ca="1">IFERROR(J266/[1]Tables!$AT$4, 0)</f>
        <v>0</v>
      </c>
      <c r="AB266" s="79">
        <f ca="1">IFERROR(K266/[1]Tables!$AT$4, 0)</f>
        <v>0</v>
      </c>
      <c r="AC266" s="79">
        <f ca="1">IFERROR(L266/[1]Tables!$AT$4, 0)</f>
        <v>0</v>
      </c>
      <c r="AD266" s="80">
        <f ca="1">IFERROR(M266/[1]Tables!$AT$4, 0)</f>
        <v>0</v>
      </c>
      <c r="AE266" s="81">
        <f t="shared" ca="1" si="266"/>
        <v>0</v>
      </c>
      <c r="AF266" s="75">
        <f t="shared" ca="1" si="266"/>
        <v>0</v>
      </c>
      <c r="AG266" s="75">
        <f t="shared" ca="1" si="266"/>
        <v>0</v>
      </c>
      <c r="AH266" s="75">
        <f t="shared" ca="1" si="266"/>
        <v>0</v>
      </c>
      <c r="AI266" s="82">
        <f t="shared" ca="1" si="266"/>
        <v>0</v>
      </c>
      <c r="AP266" s="120" t="s">
        <v>7</v>
      </c>
      <c r="AQ266" s="356" t="e" cm="1">
        <f t="array" aca="1" ref="AQ266" ca="1">SUMIFS(rng_out_awp_post_yr1, rng_out_GB_Medispan, "B", rng_out_mail_ind, $B266, rng_out_sel_sp_ind, $D266)/[1]Tables!$AT$4 - AQ370</f>
        <v>#VALUE!</v>
      </c>
      <c r="AR266" s="5" t="e" cm="1">
        <f t="array" aca="1" ref="AR266" ca="1">SUMIFS(rng_out_awp_post_yr2, rng_out_GB_Medispan, "B", rng_out_mail_ind, $B266, rng_out_sel_sp_ind, $D266)/[1]Tables!$AT$4 - AR370</f>
        <v>#VALUE!</v>
      </c>
      <c r="AS266" s="5" t="e" cm="1">
        <f t="array" aca="1" ref="AS266" ca="1">SUMIFS(rng_out_awp_post_yr3, rng_out_GB_Medispan, "B", rng_out_mail_ind, $B266, rng_out_sel_sp_ind, $D266)/[1]Tables!$AT$4 - AS370</f>
        <v>#VALUE!</v>
      </c>
      <c r="AT266" s="5" t="e" cm="1">
        <f t="array" aca="1" ref="AT266" ca="1">SUMIFS(rng_out_awp_post_yr4, rng_out_GB_Medispan, "B", rng_out_mail_ind, $B266, rng_out_sel_sp_ind, $D266)/[1]Tables!$AT$4 - AT370</f>
        <v>#VALUE!</v>
      </c>
      <c r="AU266" s="85" t="e" cm="1">
        <f t="array" aca="1" ref="AU266" ca="1">SUMIFS(rng_out_awp_post_yr5, rng_out_GB_Medispan, "B", rng_out_mail_ind, $B266, rng_out_sel_sp_ind, $D266)/[1]Tables!$AT$4 - AU370</f>
        <v>#VALUE!</v>
      </c>
      <c r="AV266" s="86">
        <f t="shared" ca="1" si="267"/>
        <v>0</v>
      </c>
      <c r="AW266" s="75">
        <f t="shared" ca="1" si="267"/>
        <v>0</v>
      </c>
      <c r="AX266" s="75">
        <f t="shared" ca="1" si="267"/>
        <v>0</v>
      </c>
      <c r="AY266" s="75">
        <f t="shared" ca="1" si="267"/>
        <v>0</v>
      </c>
      <c r="AZ266" s="87">
        <f t="shared" ca="1" si="267"/>
        <v>0</v>
      </c>
      <c r="BG266" s="121" t="s">
        <v>7</v>
      </c>
      <c r="BH266" s="97" t="e">
        <f t="shared" ca="1" si="268"/>
        <v>#VALUE!</v>
      </c>
      <c r="BI266" s="79" t="e">
        <f t="shared" ca="1" si="268"/>
        <v>#VALUE!</v>
      </c>
      <c r="BJ266" s="79" t="e">
        <f t="shared" ca="1" si="268"/>
        <v>#VALUE!</v>
      </c>
      <c r="BK266" s="79" t="e">
        <f t="shared" ca="1" si="268"/>
        <v>#VALUE!</v>
      </c>
      <c r="BL266" s="98" t="e">
        <f t="shared" ca="1" si="268"/>
        <v>#VALUE!</v>
      </c>
      <c r="BM266" s="92">
        <f t="shared" ca="1" si="269"/>
        <v>0</v>
      </c>
      <c r="BN266" s="75">
        <f t="shared" ca="1" si="269"/>
        <v>0</v>
      </c>
      <c r="BO266" s="75">
        <f t="shared" ca="1" si="269"/>
        <v>0</v>
      </c>
      <c r="BP266" s="75">
        <f t="shared" ca="1" si="269"/>
        <v>0</v>
      </c>
      <c r="BQ266" s="93">
        <f t="shared" ca="1" si="269"/>
        <v>0</v>
      </c>
      <c r="BX266" s="121" t="s">
        <v>7</v>
      </c>
      <c r="BY266" s="97" t="e">
        <f t="shared" ca="1" si="270"/>
        <v>#VALUE!</v>
      </c>
      <c r="BZ266" s="79" t="e">
        <f t="shared" ca="1" si="270"/>
        <v>#VALUE!</v>
      </c>
      <c r="CA266" s="79" t="e">
        <f t="shared" ca="1" si="270"/>
        <v>#VALUE!</v>
      </c>
      <c r="CB266" s="79" t="e">
        <f t="shared" ca="1" si="270"/>
        <v>#VALUE!</v>
      </c>
      <c r="CC266" s="98" t="e">
        <f t="shared" ca="1" si="270"/>
        <v>#VALUE!</v>
      </c>
      <c r="CD266" s="92">
        <f t="shared" ca="1" si="271"/>
        <v>0</v>
      </c>
      <c r="CE266" s="75">
        <f t="shared" ca="1" si="271"/>
        <v>0</v>
      </c>
      <c r="CF266" s="75">
        <f t="shared" ca="1" si="271"/>
        <v>0</v>
      </c>
      <c r="CG266" s="75">
        <f t="shared" ca="1" si="271"/>
        <v>0</v>
      </c>
      <c r="CH266" s="93">
        <f t="shared" ca="1" si="271"/>
        <v>0</v>
      </c>
      <c r="CO266" s="115">
        <f t="shared" ca="1" si="272"/>
        <v>1</v>
      </c>
      <c r="CP266" s="116">
        <f t="shared" ca="1" si="272"/>
        <v>1</v>
      </c>
      <c r="CQ266" s="116">
        <f t="shared" ca="1" si="272"/>
        <v>1</v>
      </c>
      <c r="CR266" s="116">
        <f t="shared" ca="1" si="272"/>
        <v>1</v>
      </c>
      <c r="CS266" s="117">
        <f t="shared" ca="1" si="272"/>
        <v>1</v>
      </c>
      <c r="CT266" s="112">
        <f t="shared" ca="1" si="273"/>
        <v>1</v>
      </c>
      <c r="CU266" s="113">
        <f t="shared" ca="1" si="273"/>
        <v>1</v>
      </c>
      <c r="CV266" s="113">
        <f t="shared" ca="1" si="273"/>
        <v>1</v>
      </c>
      <c r="CW266" s="113">
        <f t="shared" ca="1" si="273"/>
        <v>1</v>
      </c>
      <c r="CX266" s="114">
        <f t="shared" ca="1" si="273"/>
        <v>1</v>
      </c>
      <c r="CZ266" s="115">
        <f t="shared" ca="1" si="274"/>
        <v>1</v>
      </c>
      <c r="DA266" s="116">
        <f t="shared" ca="1" si="274"/>
        <v>1</v>
      </c>
      <c r="DB266" s="116">
        <f t="shared" ca="1" si="274"/>
        <v>1</v>
      </c>
      <c r="DC266" s="116">
        <f t="shared" ca="1" si="274"/>
        <v>1</v>
      </c>
      <c r="DD266" s="117">
        <f t="shared" ca="1" si="274"/>
        <v>1</v>
      </c>
      <c r="DE266" s="112">
        <f t="shared" ca="1" si="275"/>
        <v>1</v>
      </c>
      <c r="DF266" s="113">
        <f t="shared" ca="1" si="275"/>
        <v>1</v>
      </c>
      <c r="DG266" s="113">
        <f t="shared" ca="1" si="275"/>
        <v>1</v>
      </c>
      <c r="DH266" s="113">
        <f t="shared" ca="1" si="275"/>
        <v>1</v>
      </c>
      <c r="DI266" s="114">
        <f t="shared" ca="1" si="275"/>
        <v>1</v>
      </c>
      <c r="DK266" s="97">
        <v>0</v>
      </c>
      <c r="DL266" s="79">
        <v>0</v>
      </c>
      <c r="DM266" s="79">
        <v>0</v>
      </c>
      <c r="DN266" s="79">
        <v>0</v>
      </c>
      <c r="DO266" s="98">
        <v>0</v>
      </c>
      <c r="DQ266" s="97" cm="1">
        <f t="array" aca="1" ref="DQ266" ca="1">IFERROR(SUMPRODUCT((rng_out_mail_ind = $B266) * (rng_out_sel_sp_ind = $D266) * (rng_out_post_reb_ind_yr1 = 1) * (rng_out_Rwac_post_yr1* (1-rng_out_340B) *
(1-INDEX([1]Tables!$EA$4:$EE$60,MATCH([1]Tables!$C$22&amp;$BX266,[1]Tables!$EA$4:$EA$60,0),[1]Tables!$EE$1)))) * ((BM192+BM201+BM296+BM305)/(BM192+BM296)), 0)</f>
        <v>0</v>
      </c>
      <c r="DR266" s="79" cm="1">
        <f t="array" aca="1" ref="DR266" ca="1">IFERROR(SUMPRODUCT((rng_out_mail_ind = $B266) * (rng_out_sel_sp_ind = $D266) * (rng_out_post_reb_ind_yr2 = 1) * (rng_out_Rwac_post_yr2* (1-rng_out_340B) *
(1-INDEX([1]Tables!$EA$4:$EE$60,MATCH([1]Tables!$C$22&amp;$BX266,[1]Tables!$EA$4:$EA$60,0),[1]Tables!$EE$1)))) * ((BN192+BN201+BN296+BN305)/(BN192+BN296)), 0)</f>
        <v>0</v>
      </c>
      <c r="DS266" s="79" cm="1">
        <f t="array" aca="1" ref="DS266" ca="1">IFERROR(SUMPRODUCT((rng_out_mail_ind = $B266) * (rng_out_sel_sp_ind = $D266) * (rng_out_post_reb_ind_yr3 = 1) * (rng_out_Rwac_post_yr3* (1-rng_out_340B) *
(1-INDEX([1]Tables!$EA$4:$EE$60,MATCH([1]Tables!$C$22&amp;$BX266,[1]Tables!$EA$4:$EA$60,0),[1]Tables!$EE$1)))) * ((BO192+BO201+BO296+BO305)/(BO192+BO296)), 0)</f>
        <v>0</v>
      </c>
      <c r="DT266" s="79" cm="1">
        <f t="array" aca="1" ref="DT266" ca="1">IFERROR(SUMPRODUCT((rng_out_mail_ind = $B266) * (rng_out_sel_sp_ind = $D266) * (rng_out_post_reb_ind_yr4 = 1) * (rng_out_Rwac_post_yr4* (1-rng_out_340B) *
(1-INDEX([1]Tables!$EA$4:$EE$60,MATCH([1]Tables!$C$22&amp;$BX266,[1]Tables!$EA$4:$EA$60,0),[1]Tables!$EE$1)))) * ((BP192+BP201+BP296+BP305)/(BP192+BP296)), 0)</f>
        <v>0</v>
      </c>
      <c r="DU266" s="98" cm="1">
        <f t="array" aca="1" ref="DU266" ca="1">IFERROR(SUMPRODUCT((rng_out_mail_ind = $B266) * (rng_out_sel_sp_ind = $D266) * (rng_out_post_reb_ind_yr5 = 1) * (rng_out_Rwac_post_yr5* (1-rng_out_340B) *
(1-INDEX([1]Tables!$EA$4:$EE$60,MATCH([1]Tables!$C$22&amp;$BX266,[1]Tables!$EA$4:$EA$60,0),[1]Tables!$EE$1)))) * ((BQ192+BQ201+BQ296+BQ305)/(BQ192+BQ296)), 0)</f>
        <v>0</v>
      </c>
    </row>
    <row r="267" spans="1:135" ht="15" thickBot="1" x14ac:dyDescent="0.4">
      <c r="B267" s="122"/>
      <c r="C267" s="123"/>
      <c r="D267" s="123" t="s">
        <v>13</v>
      </c>
      <c r="E267" s="124" t="s">
        <v>12</v>
      </c>
      <c r="F267" s="106"/>
      <c r="H267" s="118" t="s">
        <v>17</v>
      </c>
      <c r="I267" s="72" t="e" cm="1">
        <f t="array" aca="1" ref="I267" ca="1">SUMIFS(rng_out_awp_pre_yr1, rng_out_GB_Medispan, "B", rng_out_sel_sp_ind, $D267) - I371</f>
        <v>#VALUE!</v>
      </c>
      <c r="J267" s="5" t="e" cm="1">
        <f t="array" aca="1" ref="J267" ca="1">SUMIFS(rng_out_awp_pre_yr2, rng_out_GB_Medispan, "B", rng_out_sel_sp_ind, $D267) - J371</f>
        <v>#VALUE!</v>
      </c>
      <c r="K267" s="5" t="e" cm="1">
        <f t="array" aca="1" ref="K267" ca="1">SUMIFS(rng_out_awp_pre_yr3, rng_out_GB_Medispan, "B", rng_out_sel_sp_ind, $D267) - K371</f>
        <v>#VALUE!</v>
      </c>
      <c r="L267" s="5" t="e" cm="1">
        <f t="array" aca="1" ref="L267" ca="1">SUMIFS(rng_out_awp_pre_yr4, rng_out_GB_Medispan, "B", rng_out_sel_sp_ind, $D267) - L371</f>
        <v>#VALUE!</v>
      </c>
      <c r="M267" s="125" t="e" cm="1">
        <f t="array" aca="1" ref="M267" ca="1">SUMIFS(rng_out_awp_pre_yr5, rng_out_GB_Medispan, "B", rng_out_sel_sp_ind, $D267) - M371</f>
        <v>#VALUE!</v>
      </c>
      <c r="N267" s="74">
        <f t="shared" ca="1" si="265"/>
        <v>0</v>
      </c>
      <c r="O267" s="75">
        <f t="shared" ca="1" si="265"/>
        <v>0</v>
      </c>
      <c r="P267" s="75">
        <f t="shared" ca="1" si="265"/>
        <v>0</v>
      </c>
      <c r="Q267" s="75">
        <f t="shared" ca="1" si="265"/>
        <v>0</v>
      </c>
      <c r="R267" s="126">
        <f t="shared" ca="1" si="265"/>
        <v>0</v>
      </c>
      <c r="Y267" s="119" t="s">
        <v>17</v>
      </c>
      <c r="Z267" s="127">
        <f ca="1">IFERROR(I267/[1]Tables!$AT$4, 0)</f>
        <v>0</v>
      </c>
      <c r="AA267" s="128">
        <f ca="1">IFERROR(J267/[1]Tables!$AT$4, 0)</f>
        <v>0</v>
      </c>
      <c r="AB267" s="128">
        <f ca="1">IFERROR(K267/[1]Tables!$AT$4, 0)</f>
        <v>0</v>
      </c>
      <c r="AC267" s="128">
        <f ca="1">IFERROR(L267/[1]Tables!$AT$4, 0)</f>
        <v>0</v>
      </c>
      <c r="AD267" s="129">
        <f ca="1">IFERROR(M267/[1]Tables!$AT$4, 0)</f>
        <v>0</v>
      </c>
      <c r="AE267" s="130">
        <f t="shared" ca="1" si="266"/>
        <v>0</v>
      </c>
      <c r="AF267" s="131">
        <f t="shared" ca="1" si="266"/>
        <v>0</v>
      </c>
      <c r="AG267" s="131">
        <f t="shared" ca="1" si="266"/>
        <v>0</v>
      </c>
      <c r="AH267" s="131">
        <f t="shared" ca="1" si="266"/>
        <v>0</v>
      </c>
      <c r="AI267" s="132">
        <f t="shared" ca="1" si="266"/>
        <v>0</v>
      </c>
      <c r="AP267" s="120" t="s">
        <v>17</v>
      </c>
      <c r="AQ267" s="167" t="e" cm="1">
        <f t="array" aca="1" ref="AQ267" ca="1">SUMIFS(rng_out_awp_post_yr1, rng_out_GB_Medispan, "B", rng_out_sel_sp_ind, $D267)/[1]Tables!$AT$4 - AQ371</f>
        <v>#VALUE!</v>
      </c>
      <c r="AR267" s="134" t="e" cm="1">
        <f t="array" aca="1" ref="AR267" ca="1">SUMIFS(rng_out_awp_post_yr2, rng_out_GB_Medispan, "B", rng_out_sel_sp_ind, $D267)/[1]Tables!$AT$4 - AR371</f>
        <v>#VALUE!</v>
      </c>
      <c r="AS267" s="134" t="e" cm="1">
        <f t="array" aca="1" ref="AS267" ca="1">SUMIFS(rng_out_awp_post_yr3, rng_out_GB_Medispan, "B", rng_out_sel_sp_ind, $D267)/[1]Tables!$AT$4 - AS371</f>
        <v>#VALUE!</v>
      </c>
      <c r="AT267" s="134" t="e" cm="1">
        <f t="array" aca="1" ref="AT267" ca="1">SUMIFS(rng_out_awp_post_yr4, rng_out_GB_Medispan, "B", rng_out_sel_sp_ind, $D267)/[1]Tables!$AT$4 - AT371</f>
        <v>#VALUE!</v>
      </c>
      <c r="AU267" s="135" t="e" cm="1">
        <f t="array" aca="1" ref="AU267" ca="1">SUMIFS(rng_out_awp_post_yr5, rng_out_GB_Medispan, "B", rng_out_sel_sp_ind, $D267)/[1]Tables!$AT$4 - AU371</f>
        <v>#VALUE!</v>
      </c>
      <c r="AV267" s="136">
        <f t="shared" ca="1" si="267"/>
        <v>0</v>
      </c>
      <c r="AW267" s="137">
        <f t="shared" ca="1" si="267"/>
        <v>0</v>
      </c>
      <c r="AX267" s="137">
        <f t="shared" ca="1" si="267"/>
        <v>0</v>
      </c>
      <c r="AY267" s="137">
        <f t="shared" ca="1" si="267"/>
        <v>0</v>
      </c>
      <c r="AZ267" s="138">
        <f t="shared" ca="1" si="267"/>
        <v>0</v>
      </c>
      <c r="BG267" s="121" t="s">
        <v>17</v>
      </c>
      <c r="BH267" s="145" t="e">
        <f t="shared" ca="1" si="268"/>
        <v>#VALUE!</v>
      </c>
      <c r="BI267" s="146" t="e">
        <f t="shared" ca="1" si="268"/>
        <v>#VALUE!</v>
      </c>
      <c r="BJ267" s="146" t="e">
        <f t="shared" ca="1" si="268"/>
        <v>#VALUE!</v>
      </c>
      <c r="BK267" s="146" t="e">
        <f t="shared" ca="1" si="268"/>
        <v>#VALUE!</v>
      </c>
      <c r="BL267" s="147" t="e">
        <f t="shared" ca="1" si="268"/>
        <v>#VALUE!</v>
      </c>
      <c r="BM267" s="142">
        <f t="shared" ca="1" si="269"/>
        <v>0</v>
      </c>
      <c r="BN267" s="143">
        <f t="shared" ca="1" si="269"/>
        <v>0</v>
      </c>
      <c r="BO267" s="143">
        <f t="shared" ca="1" si="269"/>
        <v>0</v>
      </c>
      <c r="BP267" s="143">
        <f t="shared" ca="1" si="269"/>
        <v>0</v>
      </c>
      <c r="BQ267" s="144">
        <f t="shared" ca="1" si="269"/>
        <v>0</v>
      </c>
      <c r="BX267" s="121" t="s">
        <v>17</v>
      </c>
      <c r="BY267" s="145" t="e">
        <f t="shared" ca="1" si="270"/>
        <v>#VALUE!</v>
      </c>
      <c r="BZ267" s="146" t="e">
        <f t="shared" ca="1" si="270"/>
        <v>#VALUE!</v>
      </c>
      <c r="CA267" s="146" t="e">
        <f t="shared" ca="1" si="270"/>
        <v>#VALUE!</v>
      </c>
      <c r="CB267" s="146" t="e">
        <f t="shared" ca="1" si="270"/>
        <v>#VALUE!</v>
      </c>
      <c r="CC267" s="147" t="e">
        <f t="shared" ca="1" si="270"/>
        <v>#VALUE!</v>
      </c>
      <c r="CD267" s="142">
        <f t="shared" ca="1" si="271"/>
        <v>0</v>
      </c>
      <c r="CE267" s="143">
        <f t="shared" ca="1" si="271"/>
        <v>0</v>
      </c>
      <c r="CF267" s="143">
        <f t="shared" ca="1" si="271"/>
        <v>0</v>
      </c>
      <c r="CG267" s="143">
        <f t="shared" ca="1" si="271"/>
        <v>0</v>
      </c>
      <c r="CH267" s="144">
        <f t="shared" ca="1" si="271"/>
        <v>0</v>
      </c>
      <c r="CO267" s="151">
        <f t="shared" ca="1" si="272"/>
        <v>1</v>
      </c>
      <c r="CP267" s="152">
        <f t="shared" ca="1" si="272"/>
        <v>1</v>
      </c>
      <c r="CQ267" s="152">
        <f t="shared" ca="1" si="272"/>
        <v>1</v>
      </c>
      <c r="CR267" s="152">
        <f t="shared" ca="1" si="272"/>
        <v>1</v>
      </c>
      <c r="CS267" s="153">
        <f t="shared" ca="1" si="272"/>
        <v>1</v>
      </c>
      <c r="CT267" s="148">
        <f t="shared" ca="1" si="273"/>
        <v>1</v>
      </c>
      <c r="CU267" s="149">
        <f t="shared" ca="1" si="273"/>
        <v>1</v>
      </c>
      <c r="CV267" s="149">
        <f t="shared" ca="1" si="273"/>
        <v>1</v>
      </c>
      <c r="CW267" s="149">
        <f t="shared" ca="1" si="273"/>
        <v>1</v>
      </c>
      <c r="CX267" s="150">
        <f t="shared" ca="1" si="273"/>
        <v>1</v>
      </c>
      <c r="CZ267" s="151">
        <f t="shared" ca="1" si="274"/>
        <v>1</v>
      </c>
      <c r="DA267" s="152">
        <f t="shared" ca="1" si="274"/>
        <v>1</v>
      </c>
      <c r="DB267" s="152">
        <f t="shared" ca="1" si="274"/>
        <v>1</v>
      </c>
      <c r="DC267" s="152">
        <f t="shared" ca="1" si="274"/>
        <v>1</v>
      </c>
      <c r="DD267" s="153">
        <f t="shared" ca="1" si="274"/>
        <v>1</v>
      </c>
      <c r="DE267" s="148">
        <f t="shared" ca="1" si="275"/>
        <v>1</v>
      </c>
      <c r="DF267" s="149">
        <f t="shared" ca="1" si="275"/>
        <v>1</v>
      </c>
      <c r="DG267" s="149">
        <f t="shared" ca="1" si="275"/>
        <v>1</v>
      </c>
      <c r="DH267" s="149">
        <f t="shared" ca="1" si="275"/>
        <v>1</v>
      </c>
      <c r="DI267" s="150">
        <f t="shared" ca="1" si="275"/>
        <v>1</v>
      </c>
      <c r="DK267" s="145">
        <v>0</v>
      </c>
      <c r="DL267" s="146">
        <v>0</v>
      </c>
      <c r="DM267" s="146">
        <v>0</v>
      </c>
      <c r="DN267" s="146">
        <v>0</v>
      </c>
      <c r="DO267" s="147">
        <v>0</v>
      </c>
      <c r="DQ267" s="145" cm="1">
        <f t="array" aca="1" ref="DQ267" ca="1">IFERROR(SUMPRODUCT((rng_out_sel_sp_ind = $D267) * (rng_out_post_reb_ind_yr1 = 1) * (rng_out_Rwac_post_yr1* (1-rng_out_340B) *
(1-INDEX([1]Tables!$EA$4:$EE$60,MATCH([1]Tables!$C$22&amp;$BX267,[1]Tables!$EA$4:$EA$60,0),[1]Tables!$EE$1)))) * ((BM193+BM202+BM297+BM306)/(BM193+BM297)), 0)</f>
        <v>0</v>
      </c>
      <c r="DR267" s="146" cm="1">
        <f t="array" aca="1" ref="DR267" ca="1">IFERROR(SUMPRODUCT((rng_out_sel_sp_ind = $D267) * (rng_out_post_reb_ind_yr2 = 1) * (rng_out_Rwac_post_yr2* (1-rng_out_340B) *
(1-INDEX([1]Tables!$EA$4:$EE$60,MATCH([1]Tables!$C$22&amp;$BX267,[1]Tables!$EA$4:$EA$60,0),[1]Tables!$EE$1)))) * ((BN193+BN202+BN297+BN306)/(BN193+BN297)), 0)</f>
        <v>0</v>
      </c>
      <c r="DS267" s="146" cm="1">
        <f t="array" aca="1" ref="DS267" ca="1">IFERROR(SUMPRODUCT((rng_out_sel_sp_ind = $D267) * (rng_out_post_reb_ind_yr3 = 1) * (rng_out_Rwac_post_yr3* (1-rng_out_340B) *
(1-INDEX([1]Tables!$EA$4:$EE$60,MATCH([1]Tables!$C$22&amp;$BX267,[1]Tables!$EA$4:$EA$60,0),[1]Tables!$EE$1)))) * ((BO193+BO202+BO297+BO306)/(BO193+BO297)), 0)</f>
        <v>0</v>
      </c>
      <c r="DT267" s="146" cm="1">
        <f t="array" aca="1" ref="DT267" ca="1">IFERROR(SUMPRODUCT((rng_out_sel_sp_ind = $D267) * (rng_out_post_reb_ind_yr4 = 1) * (rng_out_Rwac_post_yr4* (1-rng_out_340B) *
(1-INDEX([1]Tables!$EA$4:$EE$60,MATCH([1]Tables!$C$22&amp;$BX267,[1]Tables!$EA$4:$EA$60,0),[1]Tables!$EE$1)))) * ((BP193+BP202+BP297+BP306)/(BP193+BP297)), 0)</f>
        <v>0</v>
      </c>
      <c r="DU267" s="147" cm="1">
        <f t="array" aca="1" ref="DU267" ca="1">IFERROR(SUMPRODUCT((rng_out_sel_sp_ind = $D267) * (rng_out_post_reb_ind_yr5 = 1) * (rng_out_Rwac_post_yr5* (1-rng_out_340B) *
(1-INDEX([1]Tables!$EA$4:$EE$60,MATCH([1]Tables!$C$22&amp;$BX267,[1]Tables!$EA$4:$EA$60,0),[1]Tables!$EE$1)))) * ((BQ193+BQ202+BQ297+BQ306)/(BQ193+BQ297)), 0)</f>
        <v>0</v>
      </c>
    </row>
    <row r="268" spans="1:135" ht="15" thickBot="1" x14ac:dyDescent="0.4">
      <c r="B268" s="106"/>
      <c r="C268" s="236"/>
      <c r="D268" s="236" t="s">
        <v>29</v>
      </c>
      <c r="E268" s="237" t="str">
        <f>IF(sel_excl_nonRebatable=1, "Y", "N")</f>
        <v>N</v>
      </c>
      <c r="H268" s="154" t="s">
        <v>18</v>
      </c>
      <c r="I268" s="155" t="e">
        <f ca="1">SUM(I264:I267)</f>
        <v>#VALUE!</v>
      </c>
      <c r="J268" s="155" t="e">
        <f ca="1">SUM(J264:J267)</f>
        <v>#VALUE!</v>
      </c>
      <c r="K268" s="155" t="e">
        <f ca="1">SUM(K264:K267)</f>
        <v>#VALUE!</v>
      </c>
      <c r="L268" s="155" t="e">
        <f ca="1">SUM(L264:L267)</f>
        <v>#VALUE!</v>
      </c>
      <c r="M268" s="156" t="e">
        <f ca="1">SUM(M264:M267)</f>
        <v>#VALUE!</v>
      </c>
      <c r="N268" s="157">
        <f t="shared" ca="1" si="265"/>
        <v>0</v>
      </c>
      <c r="O268" s="157">
        <f t="shared" ca="1" si="265"/>
        <v>0</v>
      </c>
      <c r="P268" s="157">
        <f t="shared" ca="1" si="265"/>
        <v>0</v>
      </c>
      <c r="Q268" s="157">
        <f t="shared" ca="1" si="265"/>
        <v>0</v>
      </c>
      <c r="R268" s="158">
        <f t="shared" ca="1" si="265"/>
        <v>0</v>
      </c>
      <c r="Y268" s="159" t="s">
        <v>18</v>
      </c>
      <c r="Z268" s="160">
        <f ca="1">SUM(Z264:Z267)</f>
        <v>0</v>
      </c>
      <c r="AA268" s="161">
        <f ca="1">SUM(AA264:AA267)</f>
        <v>0</v>
      </c>
      <c r="AB268" s="161">
        <f ca="1">SUM(AB264:AB267)</f>
        <v>0</v>
      </c>
      <c r="AC268" s="161">
        <f ca="1">SUM(AC264:AC267)</f>
        <v>0</v>
      </c>
      <c r="AD268" s="162">
        <f ca="1">SUM(AD264:AD267)</f>
        <v>0</v>
      </c>
      <c r="AE268" s="163">
        <f t="shared" ca="1" si="266"/>
        <v>0</v>
      </c>
      <c r="AF268" s="164">
        <f t="shared" ca="1" si="266"/>
        <v>0</v>
      </c>
      <c r="AG268" s="164">
        <f t="shared" ca="1" si="266"/>
        <v>0</v>
      </c>
      <c r="AH268" s="164">
        <f t="shared" ca="1" si="266"/>
        <v>0</v>
      </c>
      <c r="AI268" s="165">
        <f t="shared" ca="1" si="266"/>
        <v>0</v>
      </c>
      <c r="AP268" s="166" t="s">
        <v>18</v>
      </c>
      <c r="AQ268" s="167" t="e">
        <f ca="1">SUM(AQ264:AQ267)</f>
        <v>#VALUE!</v>
      </c>
      <c r="AR268" s="134" t="e">
        <f ca="1">SUM(AR264:AR267)</f>
        <v>#VALUE!</v>
      </c>
      <c r="AS268" s="134" t="e">
        <f ca="1">SUM(AS264:AS267)</f>
        <v>#VALUE!</v>
      </c>
      <c r="AT268" s="134" t="e">
        <f ca="1">SUM(AT264:AT267)</f>
        <v>#VALUE!</v>
      </c>
      <c r="AU268" s="135" t="e">
        <f ca="1">SUM(AU264:AU267)</f>
        <v>#VALUE!</v>
      </c>
      <c r="AV268" s="168">
        <f t="shared" ca="1" si="267"/>
        <v>0</v>
      </c>
      <c r="AW268" s="169">
        <f t="shared" ca="1" si="267"/>
        <v>0</v>
      </c>
      <c r="AX268" s="169">
        <f t="shared" ca="1" si="267"/>
        <v>0</v>
      </c>
      <c r="AY268" s="169">
        <f t="shared" ca="1" si="267"/>
        <v>0</v>
      </c>
      <c r="AZ268" s="170">
        <f t="shared" ca="1" si="267"/>
        <v>0</v>
      </c>
      <c r="BG268" s="171" t="s">
        <v>18</v>
      </c>
      <c r="BH268" s="172" t="e">
        <f ca="1">SUM(BH264:BH267)</f>
        <v>#VALUE!</v>
      </c>
      <c r="BI268" s="173" t="e">
        <f ca="1">SUM(BI264:BI267)</f>
        <v>#VALUE!</v>
      </c>
      <c r="BJ268" s="173" t="e">
        <f ca="1">SUM(BJ264:BJ267)</f>
        <v>#VALUE!</v>
      </c>
      <c r="BK268" s="173" t="e">
        <f ca="1">SUM(BK264:BK267)</f>
        <v>#VALUE!</v>
      </c>
      <c r="BL268" s="174" t="e">
        <f ca="1">SUM(BL264:BL267)</f>
        <v>#VALUE!</v>
      </c>
      <c r="BM268" s="175">
        <f t="shared" ca="1" si="269"/>
        <v>0</v>
      </c>
      <c r="BN268" s="176">
        <f t="shared" ca="1" si="269"/>
        <v>0</v>
      </c>
      <c r="BO268" s="176">
        <f t="shared" ca="1" si="269"/>
        <v>0</v>
      </c>
      <c r="BP268" s="176">
        <f t="shared" ca="1" si="269"/>
        <v>0</v>
      </c>
      <c r="BQ268" s="177">
        <f t="shared" ca="1" si="269"/>
        <v>0</v>
      </c>
      <c r="BX268" s="171" t="s">
        <v>18</v>
      </c>
      <c r="BY268" s="172" t="e">
        <f ca="1">SUM(BY264:BY267)</f>
        <v>#VALUE!</v>
      </c>
      <c r="BZ268" s="173" t="e">
        <f ca="1">SUM(BZ264:BZ267)</f>
        <v>#VALUE!</v>
      </c>
      <c r="CA268" s="173" t="e">
        <f ca="1">SUM(CA264:CA267)</f>
        <v>#VALUE!</v>
      </c>
      <c r="CB268" s="173" t="e">
        <f ca="1">SUM(CB264:CB267)</f>
        <v>#VALUE!</v>
      </c>
      <c r="CC268" s="174" t="e">
        <f ca="1">SUM(CC264:CC267)</f>
        <v>#VALUE!</v>
      </c>
      <c r="CD268" s="175">
        <f ca="1">IFERROR(BY268/CD194, 0)</f>
        <v>0</v>
      </c>
      <c r="CE268" s="176">
        <f ca="1">IFERROR(BZ268/CE194, 0)</f>
        <v>0</v>
      </c>
      <c r="CF268" s="176">
        <f ca="1">IFERROR(CA268/CF194, 0)</f>
        <v>0</v>
      </c>
      <c r="CG268" s="176">
        <f ca="1">IFERROR(CB268/CG194, 0)</f>
        <v>0</v>
      </c>
      <c r="CH268" s="177">
        <f ca="1">IFERROR(CC268/CH194, 0)</f>
        <v>0</v>
      </c>
      <c r="DK268" s="145">
        <f>SUM(DK264:DK267)</f>
        <v>0</v>
      </c>
      <c r="DL268" s="146">
        <f>SUM(DL264:DL267)</f>
        <v>0</v>
      </c>
      <c r="DM268" s="146">
        <f>SUM(DM264:DM267)</f>
        <v>0</v>
      </c>
      <c r="DN268" s="146">
        <f>SUM(DN264:DN267)</f>
        <v>0</v>
      </c>
      <c r="DO268" s="147">
        <f>SUM(DO264:DO267)</f>
        <v>0</v>
      </c>
      <c r="DQ268" s="172">
        <f ca="1">SUM(DQ264:DQ267)</f>
        <v>0</v>
      </c>
      <c r="DR268" s="173">
        <f ca="1">SUM(DR264:DR267)</f>
        <v>0</v>
      </c>
      <c r="DS268" s="173">
        <f ca="1">SUM(DS264:DS267)</f>
        <v>0</v>
      </c>
      <c r="DT268" s="173">
        <f ca="1">SUM(DT264:DT267)</f>
        <v>0</v>
      </c>
      <c r="DU268" s="174">
        <f ca="1">SUM(DU264:DU267)</f>
        <v>0</v>
      </c>
    </row>
    <row r="269" spans="1:135" x14ac:dyDescent="0.35">
      <c r="S269" s="301"/>
    </row>
    <row r="270" spans="1:135" x14ac:dyDescent="0.35">
      <c r="EE270" s="5"/>
    </row>
    <row r="271" spans="1:135" ht="2" customHeight="1" x14ac:dyDescent="0.35">
      <c r="A271" s="194"/>
      <c r="B271" s="194"/>
      <c r="C271" s="194"/>
      <c r="D271" s="194"/>
      <c r="E271" s="194"/>
      <c r="F271" s="194"/>
      <c r="G271" s="194"/>
      <c r="H271" s="194"/>
      <c r="I271" s="194"/>
      <c r="J271" s="194"/>
      <c r="K271" s="194"/>
      <c r="L271" s="194"/>
      <c r="M271" s="194"/>
      <c r="N271" s="194"/>
      <c r="O271" s="194"/>
      <c r="P271" s="194"/>
      <c r="Q271" s="194"/>
      <c r="R271" s="194"/>
      <c r="S271" s="194"/>
      <c r="T271" s="194"/>
      <c r="U271" s="194"/>
      <c r="V271" s="194"/>
      <c r="W271" s="194"/>
      <c r="X271" s="194"/>
      <c r="Y271" s="194"/>
      <c r="Z271" s="194"/>
      <c r="AA271" s="194"/>
      <c r="AB271" s="194"/>
      <c r="AC271" s="194"/>
      <c r="AD271" s="194"/>
      <c r="AE271" s="194"/>
      <c r="AF271" s="194"/>
      <c r="AG271" s="194"/>
      <c r="AH271" s="194"/>
      <c r="AI271" s="194"/>
      <c r="AJ271" s="194"/>
      <c r="AK271" s="194"/>
      <c r="AL271" s="194"/>
      <c r="AM271" s="194"/>
      <c r="AN271" s="194"/>
      <c r="AO271" s="194"/>
      <c r="AP271" s="194"/>
      <c r="AQ271" s="194"/>
      <c r="AR271" s="194"/>
      <c r="AS271" s="194"/>
      <c r="AT271" s="194"/>
      <c r="AU271" s="194"/>
      <c r="AV271" s="194"/>
      <c r="AW271" s="194"/>
      <c r="AX271" s="194"/>
      <c r="AY271" s="194"/>
      <c r="AZ271" s="194"/>
      <c r="BA271" s="194"/>
      <c r="BB271" s="194"/>
      <c r="BC271" s="194"/>
      <c r="BD271" s="194"/>
      <c r="BE271" s="194"/>
      <c r="BF271" s="194"/>
      <c r="BG271" s="194"/>
      <c r="BH271" s="194"/>
      <c r="BI271" s="194"/>
      <c r="BJ271" s="194"/>
      <c r="BK271" s="194"/>
      <c r="BL271" s="194"/>
      <c r="BM271" s="194"/>
      <c r="BN271" s="194"/>
      <c r="BO271" s="194"/>
      <c r="BP271" s="194"/>
      <c r="BQ271" s="194"/>
      <c r="BR271" s="194"/>
      <c r="BS271" s="194"/>
      <c r="BT271" s="194"/>
      <c r="BU271" s="194"/>
      <c r="BV271" s="194"/>
      <c r="BW271" s="194"/>
      <c r="BX271" s="194"/>
      <c r="BY271" s="194"/>
      <c r="BZ271" s="194"/>
      <c r="CA271" s="194"/>
      <c r="CB271" s="194"/>
      <c r="CC271" s="194"/>
      <c r="CD271" s="194"/>
      <c r="CE271" s="194"/>
      <c r="CF271" s="194"/>
      <c r="CG271" s="194"/>
      <c r="CH271" s="194"/>
      <c r="CI271" s="194"/>
      <c r="CJ271" s="194"/>
      <c r="CK271" s="194"/>
      <c r="CL271" s="194"/>
      <c r="CM271" s="194"/>
    </row>
    <row r="272" spans="1:135" ht="15" thickBot="1" x14ac:dyDescent="0.4">
      <c r="M272" s="195"/>
      <c r="N272" s="195"/>
      <c r="O272" s="195"/>
      <c r="Q272" s="195"/>
      <c r="EE272" s="5"/>
    </row>
    <row r="273" spans="2:101" ht="15" thickBot="1" x14ac:dyDescent="0.4">
      <c r="I273" s="21" t="s">
        <v>74</v>
      </c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3"/>
      <c r="Z273" s="24" t="s">
        <v>74</v>
      </c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6"/>
      <c r="AQ273" s="27" t="s">
        <v>74</v>
      </c>
      <c r="AR273" s="28"/>
      <c r="AS273" s="28"/>
      <c r="AT273" s="28"/>
      <c r="AU273" s="29"/>
      <c r="AV273" s="28"/>
      <c r="AW273" s="28"/>
      <c r="AX273" s="28"/>
      <c r="AY273" s="28"/>
      <c r="AZ273" s="28"/>
      <c r="BA273" s="28"/>
      <c r="BB273" s="28"/>
      <c r="BC273" s="28"/>
      <c r="BD273" s="28"/>
      <c r="BE273" s="30"/>
      <c r="BH273" s="31" t="s">
        <v>74</v>
      </c>
      <c r="BI273" s="32"/>
      <c r="BJ273" s="32"/>
      <c r="BK273" s="32"/>
      <c r="BL273" s="32"/>
      <c r="BM273" s="32"/>
      <c r="BN273" s="32"/>
      <c r="BO273" s="32"/>
      <c r="BP273" s="32"/>
      <c r="BQ273" s="32"/>
      <c r="BR273" s="32"/>
      <c r="BS273" s="32"/>
      <c r="BT273" s="32"/>
      <c r="BU273" s="32"/>
      <c r="BV273" s="33"/>
      <c r="BY273" s="34" t="s">
        <v>74</v>
      </c>
      <c r="BZ273" s="35"/>
      <c r="CA273" s="35"/>
      <c r="CB273" s="35"/>
      <c r="CC273" s="35"/>
      <c r="CD273" s="35"/>
      <c r="CE273" s="35"/>
      <c r="CF273" s="35"/>
      <c r="CG273" s="35"/>
      <c r="CH273" s="35"/>
      <c r="CI273" s="35"/>
      <c r="CJ273" s="35"/>
      <c r="CK273" s="35"/>
      <c r="CL273" s="35"/>
      <c r="CM273" s="36"/>
      <c r="CO273" s="196" t="str">
        <f>"Base Yr (B/G indicator of Medispan + Override) "&amp;IF(input_Annual="Yes", "Annualized", "")</f>
        <v>Base Yr (B/G indicator of Medispan + Override) Annualized</v>
      </c>
      <c r="CP273" s="197"/>
      <c r="CQ273" s="197"/>
      <c r="CR273" s="198"/>
      <c r="CS273" s="198"/>
      <c r="CT273" s="198"/>
      <c r="CU273" s="198"/>
      <c r="CV273" s="198"/>
      <c r="CW273" s="198"/>
    </row>
    <row r="274" spans="2:101" ht="15" thickBot="1" x14ac:dyDescent="0.4">
      <c r="H274" s="37"/>
      <c r="I274" s="38" t="s">
        <v>54</v>
      </c>
      <c r="J274" s="39"/>
      <c r="K274" s="39"/>
      <c r="L274" s="39"/>
      <c r="M274" s="40"/>
      <c r="N274" s="38" t="s">
        <v>55</v>
      </c>
      <c r="O274" s="39"/>
      <c r="P274" s="39"/>
      <c r="Q274" s="39"/>
      <c r="R274" s="40"/>
      <c r="S274" s="38" t="s">
        <v>18</v>
      </c>
      <c r="T274" s="39"/>
      <c r="U274" s="39"/>
      <c r="V274" s="39"/>
      <c r="W274" s="40"/>
      <c r="Z274" s="38" t="s">
        <v>54</v>
      </c>
      <c r="AA274" s="39"/>
      <c r="AB274" s="39"/>
      <c r="AC274" s="39"/>
      <c r="AD274" s="40"/>
      <c r="AE274" s="38" t="s">
        <v>55</v>
      </c>
      <c r="AF274" s="39"/>
      <c r="AG274" s="39"/>
      <c r="AH274" s="39"/>
      <c r="AI274" s="40"/>
      <c r="AJ274" s="41" t="s">
        <v>18</v>
      </c>
      <c r="AK274" s="42"/>
      <c r="AL274" s="42"/>
      <c r="AM274" s="42"/>
      <c r="AN274" s="43"/>
      <c r="AQ274" s="38" t="s">
        <v>54</v>
      </c>
      <c r="AR274" s="39"/>
      <c r="AS274" s="39"/>
      <c r="AT274" s="39"/>
      <c r="AU274" s="40"/>
      <c r="AV274" s="38" t="s">
        <v>55</v>
      </c>
      <c r="AW274" s="39"/>
      <c r="AX274" s="39"/>
      <c r="AY274" s="39"/>
      <c r="AZ274" s="40"/>
      <c r="BA274" s="45" t="s">
        <v>18</v>
      </c>
      <c r="BB274" s="45"/>
      <c r="BC274" s="45"/>
      <c r="BD274" s="45"/>
      <c r="BE274" s="46"/>
      <c r="BH274" s="38" t="s">
        <v>54</v>
      </c>
      <c r="BI274" s="39"/>
      <c r="BJ274" s="39"/>
      <c r="BK274" s="39"/>
      <c r="BL274" s="40"/>
      <c r="BM274" s="38" t="s">
        <v>55</v>
      </c>
      <c r="BN274" s="39"/>
      <c r="BO274" s="39"/>
      <c r="BP274" s="39"/>
      <c r="BQ274" s="40"/>
      <c r="BR274" s="50" t="s">
        <v>18</v>
      </c>
      <c r="BS274" s="50"/>
      <c r="BT274" s="50"/>
      <c r="BU274" s="50"/>
      <c r="BV274" s="51"/>
      <c r="BY274" s="38" t="s">
        <v>54</v>
      </c>
      <c r="BZ274" s="39"/>
      <c r="CA274" s="39"/>
      <c r="CB274" s="39"/>
      <c r="CC274" s="40"/>
      <c r="CD274" s="38" t="s">
        <v>55</v>
      </c>
      <c r="CE274" s="39"/>
      <c r="CF274" s="39"/>
      <c r="CG274" s="39"/>
      <c r="CH274" s="40"/>
      <c r="CI274" s="50" t="s">
        <v>18</v>
      </c>
      <c r="CJ274" s="50"/>
      <c r="CK274" s="50"/>
      <c r="CL274" s="50"/>
      <c r="CM274" s="51"/>
      <c r="CO274" s="199" t="s">
        <v>23</v>
      </c>
      <c r="CP274" s="200"/>
      <c r="CQ274" s="201"/>
      <c r="CR274" s="199" t="s">
        <v>27</v>
      </c>
      <c r="CS274" s="200"/>
      <c r="CT274" s="201"/>
      <c r="CU274" s="200" t="s">
        <v>8</v>
      </c>
      <c r="CV274" s="200"/>
      <c r="CW274" s="201"/>
    </row>
    <row r="275" spans="2:101" ht="29.5" thickBot="1" x14ac:dyDescent="0.4">
      <c r="H275" s="55"/>
      <c r="I275" s="56" t="str">
        <f>[1]Tables!$AA$4</f>
        <v>07/27 - 06/28</v>
      </c>
      <c r="J275" s="55" t="str">
        <f>[1]Tables!$AA$5</f>
        <v>07/28 - 06/29</v>
      </c>
      <c r="K275" s="55" t="str">
        <f>[1]Tables!$AA$6</f>
        <v>07/29 - 06/30</v>
      </c>
      <c r="L275" s="55" t="str">
        <f>[1]Tables!$AA$7</f>
        <v>07/30 - 06/31</v>
      </c>
      <c r="M275" s="57" t="str">
        <f>[1]Tables!$AA$8</f>
        <v>07/31 - 06/32</v>
      </c>
      <c r="N275" s="56" t="str">
        <f>[1]Tables!$AA$4</f>
        <v>07/27 - 06/28</v>
      </c>
      <c r="O275" s="55" t="str">
        <f>[1]Tables!$AA$5</f>
        <v>07/28 - 06/29</v>
      </c>
      <c r="P275" s="55" t="str">
        <f>[1]Tables!$AA$6</f>
        <v>07/29 - 06/30</v>
      </c>
      <c r="Q275" s="55" t="str">
        <f>[1]Tables!$AA$7</f>
        <v>07/30 - 06/31</v>
      </c>
      <c r="R275" s="57" t="str">
        <f>[1]Tables!$AA$8</f>
        <v>07/31 - 06/32</v>
      </c>
      <c r="S275" s="56" t="str">
        <f>[1]Tables!$AA$4</f>
        <v>07/27 - 06/28</v>
      </c>
      <c r="T275" s="55" t="str">
        <f>[1]Tables!$AA$5</f>
        <v>07/28 - 06/29</v>
      </c>
      <c r="U275" s="55" t="str">
        <f>[1]Tables!$AA$6</f>
        <v>07/29 - 06/30</v>
      </c>
      <c r="V275" s="55" t="str">
        <f>[1]Tables!$AA$7</f>
        <v>07/30 - 06/31</v>
      </c>
      <c r="W275" s="57" t="str">
        <f>[1]Tables!$AA$8</f>
        <v>07/31 - 06/32</v>
      </c>
      <c r="Y275" s="58"/>
      <c r="Z275" s="59" t="str">
        <f>[1]Tables!$AA$4</f>
        <v>07/27 - 06/28</v>
      </c>
      <c r="AA275" s="60" t="str">
        <f>[1]Tables!$AA$5</f>
        <v>07/28 - 06/29</v>
      </c>
      <c r="AB275" s="60" t="str">
        <f>[1]Tables!$AA$6</f>
        <v>07/29 - 06/30</v>
      </c>
      <c r="AC275" s="60" t="str">
        <f>[1]Tables!$AA$7</f>
        <v>07/30 - 06/31</v>
      </c>
      <c r="AD275" s="61" t="str">
        <f>[1]Tables!$AA$8</f>
        <v>07/31 - 06/32</v>
      </c>
      <c r="AE275" s="59" t="str">
        <f>[1]Tables!$AA$4</f>
        <v>07/27 - 06/28</v>
      </c>
      <c r="AF275" s="60" t="str">
        <f>[1]Tables!$AA$5</f>
        <v>07/28 - 06/29</v>
      </c>
      <c r="AG275" s="60" t="str">
        <f>[1]Tables!$AA$6</f>
        <v>07/29 - 06/30</v>
      </c>
      <c r="AH275" s="60" t="str">
        <f>[1]Tables!$AA$7</f>
        <v>07/30 - 06/31</v>
      </c>
      <c r="AI275" s="61" t="str">
        <f>[1]Tables!$AA$8</f>
        <v>07/31 - 06/32</v>
      </c>
      <c r="AJ275" s="59" t="str">
        <f>[1]Tables!$AA$4</f>
        <v>07/27 - 06/28</v>
      </c>
      <c r="AK275" s="60" t="str">
        <f>[1]Tables!$AA$5</f>
        <v>07/28 - 06/29</v>
      </c>
      <c r="AL275" s="60" t="str">
        <f>[1]Tables!$AA$6</f>
        <v>07/29 - 06/30</v>
      </c>
      <c r="AM275" s="60" t="str">
        <f>[1]Tables!$AA$7</f>
        <v>07/30 - 06/31</v>
      </c>
      <c r="AN275" s="61" t="str">
        <f>[1]Tables!$AA$8</f>
        <v>07/31 - 06/32</v>
      </c>
      <c r="AP275" s="58"/>
      <c r="AQ275" s="62" t="str">
        <f>[1]Tables!$AA$4</f>
        <v>07/27 - 06/28</v>
      </c>
      <c r="AR275" s="63" t="str">
        <f>[1]Tables!$AA$5</f>
        <v>07/28 - 06/29</v>
      </c>
      <c r="AS275" s="63" t="str">
        <f>[1]Tables!$AA$6</f>
        <v>07/29 - 06/30</v>
      </c>
      <c r="AT275" s="63" t="str">
        <f>[1]Tables!$AA$7</f>
        <v>07/30 - 06/31</v>
      </c>
      <c r="AU275" s="64" t="str">
        <f>[1]Tables!$AA$8</f>
        <v>07/31 - 06/32</v>
      </c>
      <c r="AV275" s="62" t="str">
        <f>[1]Tables!$AA$4</f>
        <v>07/27 - 06/28</v>
      </c>
      <c r="AW275" s="63" t="str">
        <f>[1]Tables!$AA$5</f>
        <v>07/28 - 06/29</v>
      </c>
      <c r="AX275" s="63" t="str">
        <f>[1]Tables!$AA$6</f>
        <v>07/29 - 06/30</v>
      </c>
      <c r="AY275" s="63" t="str">
        <f>[1]Tables!$AA$7</f>
        <v>07/30 - 06/31</v>
      </c>
      <c r="AZ275" s="64" t="str">
        <f>[1]Tables!$AA$8</f>
        <v>07/31 - 06/32</v>
      </c>
      <c r="BA275" s="63" t="str">
        <f>[1]Tables!$AA$4</f>
        <v>07/27 - 06/28</v>
      </c>
      <c r="BB275" s="63" t="str">
        <f>[1]Tables!$AA$5</f>
        <v>07/28 - 06/29</v>
      </c>
      <c r="BC275" s="63" t="str">
        <f>[1]Tables!$AA$6</f>
        <v>07/29 - 06/30</v>
      </c>
      <c r="BD275" s="63" t="str">
        <f>[1]Tables!$AA$7</f>
        <v>07/30 - 06/31</v>
      </c>
      <c r="BE275" s="64" t="str">
        <f>[1]Tables!$AA$8</f>
        <v>07/31 - 06/32</v>
      </c>
      <c r="BG275" s="58"/>
      <c r="BH275" s="65" t="str">
        <f>[1]Tables!$AA$4</f>
        <v>07/27 - 06/28</v>
      </c>
      <c r="BI275" s="66" t="str">
        <f>[1]Tables!$AA$5</f>
        <v>07/28 - 06/29</v>
      </c>
      <c r="BJ275" s="66" t="str">
        <f>[1]Tables!$AA$6</f>
        <v>07/29 - 06/30</v>
      </c>
      <c r="BK275" s="66" t="str">
        <f>[1]Tables!$AA$7</f>
        <v>07/30 - 06/31</v>
      </c>
      <c r="BL275" s="67" t="str">
        <f>[1]Tables!$AA$8</f>
        <v>07/31 - 06/32</v>
      </c>
      <c r="BM275" s="65" t="str">
        <f>[1]Tables!$AA$4</f>
        <v>07/27 - 06/28</v>
      </c>
      <c r="BN275" s="66" t="str">
        <f>[1]Tables!$AA$5</f>
        <v>07/28 - 06/29</v>
      </c>
      <c r="BO275" s="66" t="str">
        <f>[1]Tables!$AA$6</f>
        <v>07/29 - 06/30</v>
      </c>
      <c r="BP275" s="66" t="str">
        <f>[1]Tables!$AA$7</f>
        <v>07/30 - 06/31</v>
      </c>
      <c r="BQ275" s="67" t="str">
        <f>[1]Tables!$AA$8</f>
        <v>07/31 - 06/32</v>
      </c>
      <c r="BR275" s="66" t="str">
        <f>[1]Tables!$AA$4</f>
        <v>07/27 - 06/28</v>
      </c>
      <c r="BS275" s="66" t="str">
        <f>[1]Tables!$AA$5</f>
        <v>07/28 - 06/29</v>
      </c>
      <c r="BT275" s="66" t="str">
        <f>[1]Tables!$AA$6</f>
        <v>07/29 - 06/30</v>
      </c>
      <c r="BU275" s="66" t="str">
        <f>[1]Tables!$AA$7</f>
        <v>07/30 - 06/31</v>
      </c>
      <c r="BV275" s="67" t="str">
        <f>[1]Tables!$AA$8</f>
        <v>07/31 - 06/32</v>
      </c>
      <c r="BX275" s="58"/>
      <c r="BY275" s="65" t="str">
        <f>[1]Tables!$AA$4</f>
        <v>07/27 - 06/28</v>
      </c>
      <c r="BZ275" s="66" t="str">
        <f>[1]Tables!$AA$5</f>
        <v>07/28 - 06/29</v>
      </c>
      <c r="CA275" s="66" t="str">
        <f>[1]Tables!$AA$6</f>
        <v>07/29 - 06/30</v>
      </c>
      <c r="CB275" s="66" t="str">
        <f>[1]Tables!$AA$7</f>
        <v>07/30 - 06/31</v>
      </c>
      <c r="CC275" s="67" t="str">
        <f>[1]Tables!$AA$8</f>
        <v>07/31 - 06/32</v>
      </c>
      <c r="CD275" s="65" t="str">
        <f>[1]Tables!$AA$4</f>
        <v>07/27 - 06/28</v>
      </c>
      <c r="CE275" s="66" t="str">
        <f>[1]Tables!$AA$5</f>
        <v>07/28 - 06/29</v>
      </c>
      <c r="CF275" s="66" t="str">
        <f>[1]Tables!$AA$6</f>
        <v>07/29 - 06/30</v>
      </c>
      <c r="CG275" s="66" t="str">
        <f>[1]Tables!$AA$7</f>
        <v>07/30 - 06/31</v>
      </c>
      <c r="CH275" s="67" t="str">
        <f>[1]Tables!$AA$8</f>
        <v>07/31 - 06/32</v>
      </c>
      <c r="CI275" s="66" t="str">
        <f>[1]Tables!$AA$4</f>
        <v>07/27 - 06/28</v>
      </c>
      <c r="CJ275" s="66" t="str">
        <f>[1]Tables!$AA$5</f>
        <v>07/28 - 06/29</v>
      </c>
      <c r="CK275" s="66" t="str">
        <f>[1]Tables!$AA$6</f>
        <v>07/29 - 06/30</v>
      </c>
      <c r="CL275" s="66" t="str">
        <f>[1]Tables!$AA$7</f>
        <v>07/30 - 06/31</v>
      </c>
      <c r="CM275" s="67" t="str">
        <f>[1]Tables!$AA$8</f>
        <v>07/31 - 06/32</v>
      </c>
      <c r="CO275" s="65" t="s">
        <v>54</v>
      </c>
      <c r="CP275" s="66" t="s">
        <v>55</v>
      </c>
      <c r="CQ275" s="202" t="s">
        <v>18</v>
      </c>
      <c r="CR275" s="66" t="s">
        <v>54</v>
      </c>
      <c r="CS275" s="66" t="s">
        <v>55</v>
      </c>
      <c r="CT275" s="202" t="s">
        <v>18</v>
      </c>
      <c r="CU275" s="65" t="s">
        <v>54</v>
      </c>
      <c r="CV275" s="67" t="s">
        <v>55</v>
      </c>
      <c r="CW275" s="67" t="s">
        <v>18</v>
      </c>
    </row>
    <row r="276" spans="2:101" x14ac:dyDescent="0.35">
      <c r="B276" s="68" t="s">
        <v>11</v>
      </c>
      <c r="C276" s="69">
        <v>30</v>
      </c>
      <c r="D276" s="69" t="s">
        <v>12</v>
      </c>
      <c r="E276" s="70" t="s">
        <v>13</v>
      </c>
      <c r="F276" s="106">
        <v>1</v>
      </c>
      <c r="G276" s="106"/>
      <c r="H276" s="71" t="s">
        <v>14</v>
      </c>
      <c r="I276" s="203" t="e" cm="1">
        <f t="array" aca="1" ref="I276" ca="1">SUMIFS(rng_out_rx_pre_yr1,rng_out_sel_excl_yr_ind, "", rng_out_GB_Medispan, I$1,rng_out_sel_G_ind,I$1,rng_out_mail_ind,$B276,rng_out_ds,$C276,rng_out_sel_sp_ind,$D276,rng_out_sel_excl_ind,$E276)+
SUMIFS(rng_out_rx_pre_yr1,rng_out_sel_excl_yr_ind, [1]Tables!$HN$4, rng_out_GB_Medispan, I$1,rng_out_sel_G_ind,I$1,rng_out_mail_ind,$B276,rng_out_ds,$C276,rng_out_sel_sp_ind,$D276,rng_out_sel_excl_ind,$E276)* _xlfn.XLOOKUP([1]Tables!$HN$4,'[1]RA Output'!$AY$4:$AY$5,'[1]RA Output'!AZ$4:AZ$5,0)  +
SUMIFS(rng_out_rx_pre_yr1,rng_out_sel_excl_yr_ind, [1]Tables!$HN$5, rng_out_GB_Medispan, I$1,rng_out_sel_G_ind,I$1,rng_out_mail_ind,$B276,rng_out_ds,$C276,rng_out_sel_sp_ind,$D276,rng_out_sel_excl_ind,$E276)* _xlfn.XLOOKUP([1]Tables!$HN$5,'[1]RA Output'!$AY$4:$AY$5,'[1]RA Output'!AZ$4:AZ$5,0)+
IF($E$280="N", 0,
SUMIFS(rng_out_rx_pre_yr1, rng_out_GB_Medispan, I$1, rng_out_sel_G_ind, I$1, rng_out_mail_ind, $B276, rng_out_ds, $C276, rng_out_sel_sp_ind, $D276, rng_out_sel_excl_ind,"N", rng_out_post_reb_ind_yr1, 0))</f>
        <v>#VALUE!</v>
      </c>
      <c r="J276" s="195" t="e" cm="1">
        <f t="array" aca="1" ref="J276" ca="1">SUMIFS(rng_out_rx_pre_yr2,rng_out_sel_excl_yr_ind, "", rng_out_GB_Medispan, J$1,rng_out_sel_G_ind,J$1,rng_out_mail_ind,$B276,rng_out_ds,$C276,rng_out_sel_sp_ind,$D276,rng_out_sel_excl_ind,$E276)+
SUMIFS(rng_out_rx_pre_yr2,rng_out_sel_excl_yr_ind, [1]Tables!$HN$4, rng_out_GB_Medispan, J$1,rng_out_sel_G_ind,J$1,rng_out_mail_ind,$B276,rng_out_ds,$C276,rng_out_sel_sp_ind,$D276,rng_out_sel_excl_ind,$E276)* _xlfn.XLOOKUP([1]Tables!$HN$4,'[1]RA Output'!$AY$4:$AY$5,'[1]RA Output'!BA$4:BA$5,0)  +
SUMIFS(rng_out_rx_pre_yr2,rng_out_sel_excl_yr_ind, [1]Tables!$HN$5, rng_out_GB_Medispan, J$1,rng_out_sel_G_ind,J$1,rng_out_mail_ind,$B276,rng_out_ds,$C276,rng_out_sel_sp_ind,$D276,rng_out_sel_excl_ind,$E276)* _xlfn.XLOOKUP([1]Tables!$HN$5,'[1]RA Output'!$AY$4:$AY$5,'[1]RA Output'!BA$4:BA$5,0)+
IF($E$280="N", 0,
SUMIFS(rng_out_rx_pre_yr2, rng_out_GB_Medispan, J$1, rng_out_sel_G_ind, J$1, rng_out_mail_ind, $B276, rng_out_ds, $C276, rng_out_sel_sp_ind, $D276, rng_out_sel_excl_ind,"N", rng_out_post_reb_ind_yr2, 0))</f>
        <v>#VALUE!</v>
      </c>
      <c r="K276" s="195" t="e" cm="1">
        <f t="array" aca="1" ref="K276" ca="1">SUMIFS(rng_out_rx_pre_yr3,rng_out_sel_excl_yr_ind, "", rng_out_GB_Medispan, K$1,rng_out_sel_G_ind,K$1,rng_out_mail_ind,$B276,rng_out_ds,$C276,rng_out_sel_sp_ind,$D276,rng_out_sel_excl_ind,$E276)+
SUMIFS(rng_out_rx_pre_yr3,rng_out_sel_excl_yr_ind, [1]Tables!$HN$4, rng_out_GB_Medispan, K$1,rng_out_sel_G_ind,K$1,rng_out_mail_ind,$B276,rng_out_ds,$C276,rng_out_sel_sp_ind,$D276,rng_out_sel_excl_ind,$E276)* _xlfn.XLOOKUP([1]Tables!$HN$4,'[1]RA Output'!$AY$4:$AY$5,'[1]RA Output'!BB$4:BB$5,0)  +
SUMIFS(rng_out_rx_pre_yr3,rng_out_sel_excl_yr_ind, [1]Tables!$HN$5, rng_out_GB_Medispan, K$1,rng_out_sel_G_ind,K$1,rng_out_mail_ind,$B276,rng_out_ds,$C276,rng_out_sel_sp_ind,$D276,rng_out_sel_excl_ind,$E276)* _xlfn.XLOOKUP([1]Tables!$HN$5,'[1]RA Output'!$AY$4:$AY$5,'[1]RA Output'!BB$4:BB$5,0)+
IF($E$280="N", 0,
SUMIFS(rng_out_rx_pre_yr3, rng_out_GB_Medispan, K$1, rng_out_sel_G_ind, K$1, rng_out_mail_ind, $B276, rng_out_ds, $C276, rng_out_sel_sp_ind, $D276, rng_out_sel_excl_ind,"N", rng_out_post_reb_ind_yr3, 0))</f>
        <v>#VALUE!</v>
      </c>
      <c r="L276" s="195" t="e" cm="1">
        <f t="array" aca="1" ref="L276" ca="1">SUMIFS(rng_out_rx_pre_yr4,rng_out_sel_excl_yr_ind, "", rng_out_GB_Medispan, L$1,rng_out_sel_G_ind,L$1,rng_out_mail_ind,$B276,rng_out_ds,$C276,rng_out_sel_sp_ind,$D276,rng_out_sel_excl_ind,$E276)+
SUMIFS(rng_out_rx_pre_yr4,rng_out_sel_excl_yr_ind, [1]Tables!$HN$4, rng_out_GB_Medispan, L$1,rng_out_sel_G_ind,L$1,rng_out_mail_ind,$B276,rng_out_ds,$C276,rng_out_sel_sp_ind,$D276,rng_out_sel_excl_ind,$E276)* _xlfn.XLOOKUP([1]Tables!$HN$4,'[1]RA Output'!$AY$4:$AY$5,'[1]RA Output'!BC$4:BC$5,0)  +
SUMIFS(rng_out_rx_pre_yr4,rng_out_sel_excl_yr_ind, [1]Tables!$HN$5, rng_out_GB_Medispan, L$1,rng_out_sel_G_ind,L$1,rng_out_mail_ind,$B276,rng_out_ds,$C276,rng_out_sel_sp_ind,$D276,rng_out_sel_excl_ind,$E276)* _xlfn.XLOOKUP([1]Tables!$HN$5,'[1]RA Output'!$AY$4:$AY$5,'[1]RA Output'!BC$4:BC$5,0)+
IF($E$280="N", 0,
SUMIFS(rng_out_rx_pre_yr4, rng_out_GB_Medispan, L$1, rng_out_sel_G_ind, L$1, rng_out_mail_ind, $B276, rng_out_ds, $C276, rng_out_sel_sp_ind, $D276, rng_out_sel_excl_ind,"N", rng_out_post_reb_ind_yr4, 0))</f>
        <v>#VALUE!</v>
      </c>
      <c r="M276" s="204" t="e" cm="1">
        <f t="array" aca="1" ref="M276" ca="1">SUMIFS(rng_out_rx_pre_yr5,rng_out_sel_excl_yr_ind, "", rng_out_GB_Medispan, M$1,rng_out_sel_G_ind,M$1,rng_out_mail_ind,$B276,rng_out_ds,$C276,rng_out_sel_sp_ind,$D276,rng_out_sel_excl_ind,$E276)+
SUMIFS(rng_out_rx_pre_yr5,rng_out_sel_excl_yr_ind, [1]Tables!$HN$4, rng_out_GB_Medispan, M$1,rng_out_sel_G_ind,M$1,rng_out_mail_ind,$B276,rng_out_ds,$C276,rng_out_sel_sp_ind,$D276,rng_out_sel_excl_ind,$E276)* _xlfn.XLOOKUP([1]Tables!$HN$4,'[1]RA Output'!$AY$4:$AY$5,'[1]RA Output'!BD$4:BD$5,0)  +
SUMIFS(rng_out_rx_pre_yr5,rng_out_sel_excl_yr_ind, [1]Tables!$HN$5, rng_out_GB_Medispan, M$1,rng_out_sel_G_ind,M$1,rng_out_mail_ind,$B276,rng_out_ds,$C276,rng_out_sel_sp_ind,$D276,rng_out_sel_excl_ind,$E276)* _xlfn.XLOOKUP([1]Tables!$HN$5,'[1]RA Output'!$AY$4:$AY$5,'[1]RA Output'!BD$4:BD$5,0)+
IF($E$280="N", 0,
SUMIFS(rng_out_rx_pre_yr5, rng_out_GB_Medispan, M$1, rng_out_sel_G_ind, M$1, rng_out_mail_ind, $B276, rng_out_ds, $C276, rng_out_sel_sp_ind, $D276, rng_out_sel_excl_ind,"N", rng_out_post_reb_ind_yr5, 0))</f>
        <v>#VALUE!</v>
      </c>
      <c r="N276" s="203" t="e" cm="1">
        <f t="array" aca="1" ref="N276" ca="1">SUMIFS(rng_out_rx_pre_yr1,rng_out_sel_excl_yr_ind, "", rng_out_GB_Medispan, N$1,rng_out_sel_G_ind,N$1,rng_out_mail_ind,$B276,rng_out_ds,$C276,rng_out_sel_sp_ind,$D276,rng_out_sel_excl_ind,$E276)+
SUMIFS(rng_out_rx_pre_yr1,rng_out_sel_excl_yr_ind, [1]Tables!$HN$4, rng_out_GB_Medispan, N$1,rng_out_sel_G_ind,N$1,rng_out_mail_ind,$B276,rng_out_ds,$C276,rng_out_sel_sp_ind,$D276,rng_out_sel_excl_ind,$E276)* _xlfn.XLOOKUP([1]Tables!$HN$4,'[1]RA Output'!$AY$4:$AY$5,'[1]RA Output'!AZ$4:AZ$5,0)  +
SUMIFS(rng_out_rx_pre_yr1,rng_out_sel_excl_yr_ind, [1]Tables!$HN$5, rng_out_GB_Medispan, N$1,rng_out_sel_G_ind,N$1,rng_out_mail_ind,$B276,rng_out_ds,$C276,rng_out_sel_sp_ind,$D276,rng_out_sel_excl_ind,$E276)* _xlfn.XLOOKUP([1]Tables!$HN$5,'[1]RA Output'!$AY$4:$AY$5,'[1]RA Output'!AZ$4:AZ$5,0)+
IF($E$280="N", 0,
SUMIFS(rng_out_rx_pre_yr1, rng_out_GB_Medispan, N$1, rng_out_sel_G_ind, N$1, rng_out_mail_ind, $B276, rng_out_ds, $C276, rng_out_sel_sp_ind, $D276, rng_out_sel_excl_ind,"N", rng_out_post_reb_ind_yr1, 0))</f>
        <v>#VALUE!</v>
      </c>
      <c r="O276" s="195" t="e" cm="1">
        <f t="array" aca="1" ref="O276" ca="1">SUMIFS(rng_out_rx_pre_yr2,rng_out_sel_excl_yr_ind, "", rng_out_GB_Medispan, O$1,rng_out_sel_G_ind,O$1,rng_out_mail_ind,$B276,rng_out_ds,$C276,rng_out_sel_sp_ind,$D276,rng_out_sel_excl_ind,$E276)+
SUMIFS(rng_out_rx_pre_yr2,rng_out_sel_excl_yr_ind, [1]Tables!$HN$4, rng_out_GB_Medispan, O$1,rng_out_sel_G_ind,O$1,rng_out_mail_ind,$B276,rng_out_ds,$C276,rng_out_sel_sp_ind,$D276,rng_out_sel_excl_ind,$E276)* _xlfn.XLOOKUP([1]Tables!$HN$4,'[1]RA Output'!$AY$4:$AY$5,'[1]RA Output'!BA$4:BA$5,0)  +
SUMIFS(rng_out_rx_pre_yr2,rng_out_sel_excl_yr_ind, [1]Tables!$HN$5, rng_out_GB_Medispan, O$1,rng_out_sel_G_ind,O$1,rng_out_mail_ind,$B276,rng_out_ds,$C276,rng_out_sel_sp_ind,$D276,rng_out_sel_excl_ind,$E276)* _xlfn.XLOOKUP([1]Tables!$HN$5,'[1]RA Output'!$AY$4:$AY$5,'[1]RA Output'!BA$4:BA$5,0)+
IF($E$280="N", 0,
SUMIFS(rng_out_rx_pre_yr2, rng_out_GB_Medispan, O$1, rng_out_sel_G_ind, O$1, rng_out_mail_ind, $B276, rng_out_ds, $C276, rng_out_sel_sp_ind, $D276, rng_out_sel_excl_ind,"N", rng_out_post_reb_ind_yr2, 0))</f>
        <v>#VALUE!</v>
      </c>
      <c r="P276" s="195" t="e" cm="1">
        <f t="array" aca="1" ref="P276" ca="1">SUMIFS(rng_out_rx_pre_yr3,rng_out_sel_excl_yr_ind, "", rng_out_GB_Medispan, P$1,rng_out_sel_G_ind,P$1,rng_out_mail_ind,$B276,rng_out_ds,$C276,rng_out_sel_sp_ind,$D276,rng_out_sel_excl_ind,$E276)+
SUMIFS(rng_out_rx_pre_yr3,rng_out_sel_excl_yr_ind, [1]Tables!$HN$4, rng_out_GB_Medispan, P$1,rng_out_sel_G_ind,P$1,rng_out_mail_ind,$B276,rng_out_ds,$C276,rng_out_sel_sp_ind,$D276,rng_out_sel_excl_ind,$E276)* _xlfn.XLOOKUP([1]Tables!$HN$4,'[1]RA Output'!$AY$4:$AY$5,'[1]RA Output'!BB$4:BB$5,0)  +
SUMIFS(rng_out_rx_pre_yr3,rng_out_sel_excl_yr_ind, [1]Tables!$HN$5, rng_out_GB_Medispan, P$1,rng_out_sel_G_ind,P$1,rng_out_mail_ind,$B276,rng_out_ds,$C276,rng_out_sel_sp_ind,$D276,rng_out_sel_excl_ind,$E276)* _xlfn.XLOOKUP([1]Tables!$HN$5,'[1]RA Output'!$AY$4:$AY$5,'[1]RA Output'!BB$4:BB$5,0)+
IF($E$280="N", 0,
SUMIFS(rng_out_rx_pre_yr3, rng_out_GB_Medispan, P$1, rng_out_sel_G_ind, P$1, rng_out_mail_ind, $B276, rng_out_ds, $C276, rng_out_sel_sp_ind, $D276, rng_out_sel_excl_ind,"N", rng_out_post_reb_ind_yr3, 0))</f>
        <v>#VALUE!</v>
      </c>
      <c r="Q276" s="195" t="e" cm="1">
        <f t="array" aca="1" ref="Q276" ca="1">SUMIFS(rng_out_rx_pre_yr4,rng_out_sel_excl_yr_ind, "", rng_out_GB_Medispan, Q$1,rng_out_sel_G_ind,Q$1,rng_out_mail_ind,$B276,rng_out_ds,$C276,rng_out_sel_sp_ind,$D276,rng_out_sel_excl_ind,$E276)+
SUMIFS(rng_out_rx_pre_yr4,rng_out_sel_excl_yr_ind, [1]Tables!$HN$4, rng_out_GB_Medispan, Q$1,rng_out_sel_G_ind,Q$1,rng_out_mail_ind,$B276,rng_out_ds,$C276,rng_out_sel_sp_ind,$D276,rng_out_sel_excl_ind,$E276)* _xlfn.XLOOKUP([1]Tables!$HN$4,'[1]RA Output'!$AY$4:$AY$5,'[1]RA Output'!BC$4:BC$5,0)  +
SUMIFS(rng_out_rx_pre_yr4,rng_out_sel_excl_yr_ind, [1]Tables!$HN$5, rng_out_GB_Medispan, Q$1,rng_out_sel_G_ind,Q$1,rng_out_mail_ind,$B276,rng_out_ds,$C276,rng_out_sel_sp_ind,$D276,rng_out_sel_excl_ind,$E276)* _xlfn.XLOOKUP([1]Tables!$HN$5,'[1]RA Output'!$AY$4:$AY$5,'[1]RA Output'!BC$4:BC$5,0)+
IF($E$280="N", 0,
SUMIFS(rng_out_rx_pre_yr4, rng_out_GB_Medispan, Q$1, rng_out_sel_G_ind, Q$1, rng_out_mail_ind, $B276, rng_out_ds, $C276, rng_out_sel_sp_ind, $D276, rng_out_sel_excl_ind,"N", rng_out_post_reb_ind_yr4, 0))</f>
        <v>#VALUE!</v>
      </c>
      <c r="R276" s="204" t="e" cm="1">
        <f t="array" aca="1" ref="R276" ca="1">SUMIFS(rng_out_rx_pre_yr5,rng_out_sel_excl_yr_ind, "", rng_out_GB_Medispan, R$1,rng_out_sel_G_ind,R$1,rng_out_mail_ind,$B276,rng_out_ds,$C276,rng_out_sel_sp_ind,$D276,rng_out_sel_excl_ind,$E276)+
SUMIFS(rng_out_rx_pre_yr5,rng_out_sel_excl_yr_ind, [1]Tables!$HN$4, rng_out_GB_Medispan, R$1,rng_out_sel_G_ind,R$1,rng_out_mail_ind,$B276,rng_out_ds,$C276,rng_out_sel_sp_ind,$D276,rng_out_sel_excl_ind,$E276)* _xlfn.XLOOKUP([1]Tables!$HN$4,'[1]RA Output'!$AY$4:$AY$5,'[1]RA Output'!BD$4:BD$5,0)  +
SUMIFS(rng_out_rx_pre_yr5,rng_out_sel_excl_yr_ind, [1]Tables!$HN$5, rng_out_GB_Medispan, R$1,rng_out_sel_G_ind,R$1,rng_out_mail_ind,$B276,rng_out_ds,$C276,rng_out_sel_sp_ind,$D276,rng_out_sel_excl_ind,$E276)* _xlfn.XLOOKUP([1]Tables!$HN$5,'[1]RA Output'!$AY$4:$AY$5,'[1]RA Output'!BD$4:BD$5,0)+
IF($E$280="N", 0,
SUMIFS(rng_out_rx_pre_yr5, rng_out_GB_Medispan, R$1, rng_out_sel_G_ind, R$1, rng_out_mail_ind, $B276, rng_out_ds, $C276, rng_out_sel_sp_ind, $D276, rng_out_sel_excl_ind,"N", rng_out_post_reb_ind_yr5, 0))</f>
        <v>#VALUE!</v>
      </c>
      <c r="S276" s="203" t="e">
        <f t="shared" ref="S276:W279" ca="1" si="276">I276+N276</f>
        <v>#VALUE!</v>
      </c>
      <c r="T276" s="206" t="e">
        <f t="shared" ca="1" si="276"/>
        <v>#VALUE!</v>
      </c>
      <c r="U276" s="206" t="e">
        <f t="shared" ca="1" si="276"/>
        <v>#VALUE!</v>
      </c>
      <c r="V276" s="206" t="e">
        <f t="shared" ca="1" si="276"/>
        <v>#VALUE!</v>
      </c>
      <c r="W276" s="207" t="e">
        <f t="shared" ca="1" si="276"/>
        <v>#VALUE!</v>
      </c>
      <c r="Y276" s="77" t="s">
        <v>14</v>
      </c>
      <c r="Z276" s="208">
        <f ca="1">IFERROR(I276/[1]Tables!$AT$4, 0)</f>
        <v>0</v>
      </c>
      <c r="AA276" s="206">
        <f ca="1">IFERROR(J276/[1]Tables!$AT$4, 0)</f>
        <v>0</v>
      </c>
      <c r="AB276" s="206">
        <f ca="1">IFERROR(K276/[1]Tables!$AT$4, 0)</f>
        <v>0</v>
      </c>
      <c r="AC276" s="206">
        <f ca="1">IFERROR(L276/[1]Tables!$AT$4, 0)</f>
        <v>0</v>
      </c>
      <c r="AD276" s="209">
        <f ca="1">IFERROR(M276/[1]Tables!$AT$4, 0)</f>
        <v>0</v>
      </c>
      <c r="AE276" s="208">
        <f ca="1">IFERROR(N276/[1]Tables!$AT$4, 0)</f>
        <v>0</v>
      </c>
      <c r="AF276" s="206">
        <f ca="1">IFERROR(O276/[1]Tables!$AT$4, 0)</f>
        <v>0</v>
      </c>
      <c r="AG276" s="206">
        <f ca="1">IFERROR(P276/[1]Tables!$AT$4, 0)</f>
        <v>0</v>
      </c>
      <c r="AH276" s="206">
        <f ca="1">IFERROR(Q276/[1]Tables!$AT$4, 0)</f>
        <v>0</v>
      </c>
      <c r="AI276" s="209">
        <f ca="1">IFERROR(R276/[1]Tables!$AT$4, 0)</f>
        <v>0</v>
      </c>
      <c r="AJ276" s="208">
        <f t="shared" ref="AJ276:AN279" ca="1" si="277">Z276+AE276</f>
        <v>0</v>
      </c>
      <c r="AK276" s="206">
        <f t="shared" ca="1" si="277"/>
        <v>0</v>
      </c>
      <c r="AL276" s="206">
        <f t="shared" ca="1" si="277"/>
        <v>0</v>
      </c>
      <c r="AM276" s="206">
        <f t="shared" ca="1" si="277"/>
        <v>0</v>
      </c>
      <c r="AN276" s="209">
        <f t="shared" ca="1" si="277"/>
        <v>0</v>
      </c>
      <c r="AP276" s="83" t="s">
        <v>14</v>
      </c>
      <c r="AQ276" s="210" cm="1">
        <f t="array" aca="1" ref="AQ276" ca="1">IFERROR(IF(OR(input_Shift="No", [1]Tables!$BN$4=1), 0, ((SUMIFS(INDIRECT('[1]RA Output'!AZ$1),rng_out_sel_excl_yr_ind, "", rng_out_GB_Medispan, N$1,rng_out_sel_G_ind,N$1,rng_out_mail_ind,$B276,rng_out_ds,$C276,rng_out_sel_sp_ind,$D276,rng_out_sel_excl_ind,$E276, rng_out_MSB_excl, $F276)+
SUMIFS(INDIRECT('[1]RA Output'!AZ$1),rng_out_sel_excl_yr_ind, [1]Tables!$HN$4, rng_out_GB_Medispan, N$1,rng_out_sel_G_ind,N$1,rng_out_mail_ind,$B276,rng_out_ds,$C276,rng_out_sel_sp_ind,$D276,rng_out_sel_excl_ind,$E276, rng_out_MSB_excl, $F276)* _xlfn.XLOOKUP([1]Tables!$HN$4,'[1]RA Output'!$AY$4:$AY$5,'[1]RA Output'!AZ$4:AZ$5,0)  +
SUMIFS(INDIRECT('[1]RA Output'!AZ$1),rng_out_sel_excl_yr_ind, [1]Tables!$HN$5, rng_out_GB_Medispan, N$1,rng_out_sel_G_ind,N$1,rng_out_mail_ind,$B276,rng_out_ds,$C276,rng_out_sel_sp_ind,$D276,rng_out_sel_excl_ind,$E276, rng_out_MSB_excl, $F276)* _xlfn.XLOOKUP([1]Tables!$HN$5,'[1]RA Output'!$AY$4:$AY$5,'[1]RA Output'!AZ$4:AZ$5,0))/[1]Tables!$AT$4)/[1]Tables!$BN$4*(1-[1]Tables!$BN$4)), 0)
+ IFERROR((SUMIFS(INDIRECT('[1]RA Output'!AZ$1),rng_out_sel_excl_yr_ind, "", rng_out_GB_Medispan, I$1,rng_out_sel_G_ind,I$1,rng_out_mail_ind,$B276,rng_out_ds,$C276,rng_out_sel_sp_ind,$D276,rng_out_sel_excl_ind,$E276)+
SUMIFS(INDIRECT('[1]RA Output'!AZ$1),rng_out_sel_excl_yr_ind, [1]Tables!$HN$4, rng_out_GB_Medispan, I$1,rng_out_sel_G_ind,I$1,rng_out_mail_ind,$B276,rng_out_ds,$C276,rng_out_sel_sp_ind,$D276,rng_out_sel_excl_ind,$E276)* _xlfn.XLOOKUP([1]Tables!$HN$4,'[1]RA Output'!$AY$4:$AY$5,'[1]RA Output'!AZ$4:AZ$5,0)  +
SUMIFS(INDIRECT('[1]RA Output'!AZ$1),rng_out_sel_excl_yr_ind, [1]Tables!$HN$5, rng_out_GB_Medispan, I$1,rng_out_sel_G_ind,I$1,rng_out_mail_ind,$B276,rng_out_ds,$C276,rng_out_sel_sp_ind,$D276,rng_out_sel_excl_ind,$E276)* _xlfn.XLOOKUP([1]Tables!$HN$5,'[1]RA Output'!$AY$4:$AY$5,'[1]RA Output'!AZ$4:AZ$5,0))/[1]Tables!$AT$4, 0)+
IF($E$280="N", 0,
IFERROR((SUMIFS(INDIRECT('[1]RA Output'!AZ$1), rng_out_GB_Medispan, I$1, rng_out_sel_G_ind, I$1, rng_out_mail_ind, $B276, rng_out_ds, $C276, rng_out_sel_sp_ind, $D276, rng_out_sel_excl_ind,"N", INDIRECT('[1]RA Output'!EQ$1), 0))/[1]Tables!$AT$4, 0))</f>
        <v>0</v>
      </c>
      <c r="AR276" s="195" cm="1">
        <f t="array" aca="1" ref="AR276" ca="1">IFERROR(IF(OR(input_Shift="No", [1]Tables!$BN$4=1), 0, ((SUMIFS(INDIRECT('[1]RA Output'!BA$1),rng_out_sel_excl_yr_ind, "", rng_out_GB_Medispan, O$1,rng_out_sel_G_ind,O$1,rng_out_mail_ind,$B276,rng_out_ds,$C276,rng_out_sel_sp_ind,$D276,rng_out_sel_excl_ind,$E276, rng_out_MSB_excl, $F276)+
SUMIFS(INDIRECT('[1]RA Output'!BA$1),rng_out_sel_excl_yr_ind, [1]Tables!$HN$4, rng_out_GB_Medispan, O$1,rng_out_sel_G_ind,O$1,rng_out_mail_ind,$B276,rng_out_ds,$C276,rng_out_sel_sp_ind,$D276,rng_out_sel_excl_ind,$E276, rng_out_MSB_excl, $F276)* _xlfn.XLOOKUP([1]Tables!$HN$4,'[1]RA Output'!$AY$4:$AY$5,'[1]RA Output'!BA$4:BA$5,0)  +
SUMIFS(INDIRECT('[1]RA Output'!BA$1),rng_out_sel_excl_yr_ind, [1]Tables!$HN$5, rng_out_GB_Medispan, O$1,rng_out_sel_G_ind,O$1,rng_out_mail_ind,$B276,rng_out_ds,$C276,rng_out_sel_sp_ind,$D276,rng_out_sel_excl_ind,$E276, rng_out_MSB_excl, $F276)* _xlfn.XLOOKUP([1]Tables!$HN$5,'[1]RA Output'!$AY$4:$AY$5,'[1]RA Output'!BA$4:BA$5,0))/[1]Tables!$AT$4)/[1]Tables!$BN$4*(1-[1]Tables!$BN$4)), 0)
+ IFERROR((SUMIFS(INDIRECT('[1]RA Output'!BA$1),rng_out_sel_excl_yr_ind, "", rng_out_GB_Medispan, J$1,rng_out_sel_G_ind,J$1,rng_out_mail_ind,$B276,rng_out_ds,$C276,rng_out_sel_sp_ind,$D276,rng_out_sel_excl_ind,$E276)+
SUMIFS(INDIRECT('[1]RA Output'!BA$1),rng_out_sel_excl_yr_ind, [1]Tables!$HN$4, rng_out_GB_Medispan, J$1,rng_out_sel_G_ind,J$1,rng_out_mail_ind,$B276,rng_out_ds,$C276,rng_out_sel_sp_ind,$D276,rng_out_sel_excl_ind,$E276)* _xlfn.XLOOKUP([1]Tables!$HN$4,'[1]RA Output'!$AY$4:$AY$5,'[1]RA Output'!BA$4:BA$5,0)  +
SUMIFS(INDIRECT('[1]RA Output'!BA$1),rng_out_sel_excl_yr_ind, [1]Tables!$HN$5, rng_out_GB_Medispan, J$1,rng_out_sel_G_ind,J$1,rng_out_mail_ind,$B276,rng_out_ds,$C276,rng_out_sel_sp_ind,$D276,rng_out_sel_excl_ind,$E276)* _xlfn.XLOOKUP([1]Tables!$HN$5,'[1]RA Output'!$AY$4:$AY$5,'[1]RA Output'!BA$4:BA$5,0))/[1]Tables!$AT$4, 0)+
IF($E$280="N", 0,
IFERROR((SUMIFS(INDIRECT('[1]RA Output'!BA$1), rng_out_GB_Medispan, J$1, rng_out_sel_G_ind, J$1, rng_out_mail_ind, $B276, rng_out_ds, $C276, rng_out_sel_sp_ind, $D276, rng_out_sel_excl_ind,"N", INDIRECT('[1]RA Output'!ER$1), 0))/[1]Tables!$AT$4, 0))</f>
        <v>0</v>
      </c>
      <c r="AS276" s="195" cm="1">
        <f t="array" aca="1" ref="AS276" ca="1">IFERROR(IF(OR(input_Shift="No", [1]Tables!$BN$4=1), 0, ((SUMIFS(INDIRECT('[1]RA Output'!BB$1),rng_out_sel_excl_yr_ind, "", rng_out_GB_Medispan, P$1,rng_out_sel_G_ind,P$1,rng_out_mail_ind,$B276,rng_out_ds,$C276,rng_out_sel_sp_ind,$D276,rng_out_sel_excl_ind,$E276, rng_out_MSB_excl, $F276)+
SUMIFS(INDIRECT('[1]RA Output'!BB$1),rng_out_sel_excl_yr_ind, [1]Tables!$HN$4, rng_out_GB_Medispan, P$1,rng_out_sel_G_ind,P$1,rng_out_mail_ind,$B276,rng_out_ds,$C276,rng_out_sel_sp_ind,$D276,rng_out_sel_excl_ind,$E276, rng_out_MSB_excl, $F276)* _xlfn.XLOOKUP([1]Tables!$HN$4,'[1]RA Output'!$AY$4:$AY$5,'[1]RA Output'!BB$4:BB$5,0)  +
SUMIFS(INDIRECT('[1]RA Output'!BB$1),rng_out_sel_excl_yr_ind, [1]Tables!$HN$5, rng_out_GB_Medispan, P$1,rng_out_sel_G_ind,P$1,rng_out_mail_ind,$B276,rng_out_ds,$C276,rng_out_sel_sp_ind,$D276,rng_out_sel_excl_ind,$E276, rng_out_MSB_excl, $F276)* _xlfn.XLOOKUP([1]Tables!$HN$5,'[1]RA Output'!$AY$4:$AY$5,'[1]RA Output'!BB$4:BB$5,0))/[1]Tables!$AT$4)/[1]Tables!$BN$4*(1-[1]Tables!$BN$4)), 0)
+ IFERROR((SUMIFS(INDIRECT('[1]RA Output'!BB$1),rng_out_sel_excl_yr_ind, "", rng_out_GB_Medispan, K$1,rng_out_sel_G_ind,K$1,rng_out_mail_ind,$B276,rng_out_ds,$C276,rng_out_sel_sp_ind,$D276,rng_out_sel_excl_ind,$E276)+
SUMIFS(INDIRECT('[1]RA Output'!BB$1),rng_out_sel_excl_yr_ind, [1]Tables!$HN$4, rng_out_GB_Medispan, K$1,rng_out_sel_G_ind,K$1,rng_out_mail_ind,$B276,rng_out_ds,$C276,rng_out_sel_sp_ind,$D276,rng_out_sel_excl_ind,$E276)* _xlfn.XLOOKUP([1]Tables!$HN$4,'[1]RA Output'!$AY$4:$AY$5,'[1]RA Output'!BB$4:BB$5,0)  +
SUMIFS(INDIRECT('[1]RA Output'!BB$1),rng_out_sel_excl_yr_ind, [1]Tables!$HN$5, rng_out_GB_Medispan, K$1,rng_out_sel_G_ind,K$1,rng_out_mail_ind,$B276,rng_out_ds,$C276,rng_out_sel_sp_ind,$D276,rng_out_sel_excl_ind,$E276)* _xlfn.XLOOKUP([1]Tables!$HN$5,'[1]RA Output'!$AY$4:$AY$5,'[1]RA Output'!BB$4:BB$5,0))/[1]Tables!$AT$4, 0)+
IF($E$280="N", 0,
IFERROR((SUMIFS(INDIRECT('[1]RA Output'!BB$1), rng_out_GB_Medispan, K$1, rng_out_sel_G_ind, K$1, rng_out_mail_ind, $B276, rng_out_ds, $C276, rng_out_sel_sp_ind, $D276, rng_out_sel_excl_ind,"N", INDIRECT('[1]RA Output'!ES$1), 0))/[1]Tables!$AT$4, 0))</f>
        <v>0</v>
      </c>
      <c r="AT276" s="195" cm="1">
        <f t="array" aca="1" ref="AT276" ca="1">IFERROR(IF(OR(input_Shift="No", [1]Tables!$BN$4=1), 0, ((SUMIFS(INDIRECT('[1]RA Output'!BC$1),rng_out_sel_excl_yr_ind, "", rng_out_GB_Medispan, Q$1,rng_out_sel_G_ind,Q$1,rng_out_mail_ind,$B276,rng_out_ds,$C276,rng_out_sel_sp_ind,$D276,rng_out_sel_excl_ind,$E276, rng_out_MSB_excl, $F276)+
SUMIFS(INDIRECT('[1]RA Output'!BC$1),rng_out_sel_excl_yr_ind, [1]Tables!$HN$4, rng_out_GB_Medispan, Q$1,rng_out_sel_G_ind,Q$1,rng_out_mail_ind,$B276,rng_out_ds,$C276,rng_out_sel_sp_ind,$D276,rng_out_sel_excl_ind,$E276, rng_out_MSB_excl, $F276)* _xlfn.XLOOKUP([1]Tables!$HN$4,'[1]RA Output'!$AY$4:$AY$5,'[1]RA Output'!BC$4:BC$5,0)  +
SUMIFS(INDIRECT('[1]RA Output'!BC$1),rng_out_sel_excl_yr_ind, [1]Tables!$HN$5, rng_out_GB_Medispan, Q$1,rng_out_sel_G_ind,Q$1,rng_out_mail_ind,$B276,rng_out_ds,$C276,rng_out_sel_sp_ind,$D276,rng_out_sel_excl_ind,$E276, rng_out_MSB_excl, $F276)* _xlfn.XLOOKUP([1]Tables!$HN$5,'[1]RA Output'!$AY$4:$AY$5,'[1]RA Output'!BC$4:BC$5,0))/[1]Tables!$AT$4)/[1]Tables!$BN$4*(1-[1]Tables!$BN$4)), 0)
+ IFERROR((SUMIFS(INDIRECT('[1]RA Output'!BC$1),rng_out_sel_excl_yr_ind, "", rng_out_GB_Medispan, L$1,rng_out_sel_G_ind,L$1,rng_out_mail_ind,$B276,rng_out_ds,$C276,rng_out_sel_sp_ind,$D276,rng_out_sel_excl_ind,$E276)+
SUMIFS(INDIRECT('[1]RA Output'!BC$1),rng_out_sel_excl_yr_ind, [1]Tables!$HN$4, rng_out_GB_Medispan, L$1,rng_out_sel_G_ind,L$1,rng_out_mail_ind,$B276,rng_out_ds,$C276,rng_out_sel_sp_ind,$D276,rng_out_sel_excl_ind,$E276)* _xlfn.XLOOKUP([1]Tables!$HN$4,'[1]RA Output'!$AY$4:$AY$5,'[1]RA Output'!BC$4:BC$5,0)  +
SUMIFS(INDIRECT('[1]RA Output'!BC$1),rng_out_sel_excl_yr_ind, [1]Tables!$HN$5, rng_out_GB_Medispan, L$1,rng_out_sel_G_ind,L$1,rng_out_mail_ind,$B276,rng_out_ds,$C276,rng_out_sel_sp_ind,$D276,rng_out_sel_excl_ind,$E276)* _xlfn.XLOOKUP([1]Tables!$HN$5,'[1]RA Output'!$AY$4:$AY$5,'[1]RA Output'!BC$4:BC$5,0))/[1]Tables!$AT$4, 0)+
IF($E$280="N", 0,
IFERROR((SUMIFS(INDIRECT('[1]RA Output'!BC$1), rng_out_GB_Medispan, L$1, rng_out_sel_G_ind, L$1, rng_out_mail_ind, $B276, rng_out_ds, $C276, rng_out_sel_sp_ind, $D276, rng_out_sel_excl_ind,"N", INDIRECT('[1]RA Output'!ET$1), 0))/[1]Tables!$AT$4, 0))</f>
        <v>0</v>
      </c>
      <c r="AU276" s="211" cm="1">
        <f t="array" aca="1" ref="AU276" ca="1">IFERROR(IF(OR(input_Shift="No", [1]Tables!$BN$4=1), 0, ((SUMIFS(INDIRECT('[1]RA Output'!BD$1),rng_out_sel_excl_yr_ind, "", rng_out_GB_Medispan, R$1,rng_out_sel_G_ind,R$1,rng_out_mail_ind,$B276,rng_out_ds,$C276,rng_out_sel_sp_ind,$D276,rng_out_sel_excl_ind,$E276, rng_out_MSB_excl, $F276)+
SUMIFS(INDIRECT('[1]RA Output'!BD$1),rng_out_sel_excl_yr_ind, [1]Tables!$HN$4, rng_out_GB_Medispan, R$1,rng_out_sel_G_ind,R$1,rng_out_mail_ind,$B276,rng_out_ds,$C276,rng_out_sel_sp_ind,$D276,rng_out_sel_excl_ind,$E276, rng_out_MSB_excl, $F276)* _xlfn.XLOOKUP([1]Tables!$HN$4,'[1]RA Output'!$AY$4:$AY$5,'[1]RA Output'!BD$4:BD$5,0)  +
SUMIFS(INDIRECT('[1]RA Output'!BD$1),rng_out_sel_excl_yr_ind, [1]Tables!$HN$5, rng_out_GB_Medispan, R$1,rng_out_sel_G_ind,R$1,rng_out_mail_ind,$B276,rng_out_ds,$C276,rng_out_sel_sp_ind,$D276,rng_out_sel_excl_ind,$E276, rng_out_MSB_excl, $F276)* _xlfn.XLOOKUP([1]Tables!$HN$5,'[1]RA Output'!$AY$4:$AY$5,'[1]RA Output'!BD$4:BD$5,0))/[1]Tables!$AT$4)/[1]Tables!$BN$4*(1-[1]Tables!$BN$4)), 0)
+ IFERROR((SUMIFS(INDIRECT('[1]RA Output'!BD$1),rng_out_sel_excl_yr_ind, "", rng_out_GB_Medispan, M$1,rng_out_sel_G_ind,M$1,rng_out_mail_ind,$B276,rng_out_ds,$C276,rng_out_sel_sp_ind,$D276,rng_out_sel_excl_ind,$E276)+
SUMIFS(INDIRECT('[1]RA Output'!BD$1),rng_out_sel_excl_yr_ind, [1]Tables!$HN$4, rng_out_GB_Medispan, M$1,rng_out_sel_G_ind,M$1,rng_out_mail_ind,$B276,rng_out_ds,$C276,rng_out_sel_sp_ind,$D276,rng_out_sel_excl_ind,$E276)* _xlfn.XLOOKUP([1]Tables!$HN$4,'[1]RA Output'!$AY$4:$AY$5,'[1]RA Output'!BD$4:BD$5,0)  +
SUMIFS(INDIRECT('[1]RA Output'!BD$1),rng_out_sel_excl_yr_ind, [1]Tables!$HN$5, rng_out_GB_Medispan, M$1,rng_out_sel_G_ind,M$1,rng_out_mail_ind,$B276,rng_out_ds,$C276,rng_out_sel_sp_ind,$D276,rng_out_sel_excl_ind,$E276)* _xlfn.XLOOKUP([1]Tables!$HN$5,'[1]RA Output'!$AY$4:$AY$5,'[1]RA Output'!BD$4:BD$5,0))/[1]Tables!$AT$4, 0)+
IF($E$280="N", 0,
IFERROR((SUMIFS(INDIRECT('[1]RA Output'!BD$1), rng_out_GB_Medispan, M$1, rng_out_sel_G_ind, M$1, rng_out_mail_ind, $B276, rng_out_ds, $C276, rng_out_sel_sp_ind, $D276, rng_out_sel_excl_ind,"N", INDIRECT('[1]RA Output'!EU$1), 0))/[1]Tables!$AT$4, 0))</f>
        <v>0</v>
      </c>
      <c r="AV276" s="210" t="e" cm="1">
        <f t="array" aca="1" ref="AV276" ca="1">(SUMIFS(rng_out_rx_post_yr1,rng_out_sel_excl_yr_ind, "", rng_out_GB_Medispan, N$1,rng_out_sel_G_ind,N$1,rng_out_mail_ind,$B276,rng_out_ds,$C276,rng_out_sel_sp_ind,$D276,rng_out_sel_excl_ind,$E276)+
SUMIFS(rng_out_rx_post_yr1,rng_out_sel_excl_yr_ind, [1]Tables!$HN$4, rng_out_GB_Medispan, N$1,rng_out_sel_G_ind,N$1,rng_out_mail_ind,$B276,rng_out_ds,$C276,rng_out_sel_sp_ind,$D276,rng_out_sel_excl_ind,$E276)* _xlfn.XLOOKUP([1]Tables!$HN$4,'[1]RA Output'!$AY$4:$AY$5,'[1]RA Output'!AZ$4:AZ$5,0)  +
SUMIFS(rng_out_rx_post_yr1,rng_out_sel_excl_yr_ind, [1]Tables!$HN$5, rng_out_GB_Medispan, N$1,rng_out_sel_G_ind,N$1,rng_out_mail_ind,$B276,rng_out_ds,$C276,rng_out_sel_sp_ind,$D276,rng_out_sel_excl_ind,$E276)* _xlfn.XLOOKUP([1]Tables!$HN$5,'[1]RA Output'!$AY$4:$AY$5,'[1]RA Output'!AZ$4:AZ$5,0))/[1]Tables!$AT$4+
IFERROR(IF($E$289="N", 0,
SUMIFS(rng_out_rx_post_yr1, rng_out_GB_Medispan, N$1, rng_out_sel_G_ind, N$1, rng_out_mail_ind, $B276, rng_out_ds, $C276, rng_out_sel_sp_ind, $D276, rng_out_sel_excl_ind,"N", rng_out_post_reb_ind_yr1, 0)/[1]Tables!$AT$4),0)</f>
        <v>#VALUE!</v>
      </c>
      <c r="AW276" s="195" t="e" cm="1">
        <f t="array" aca="1" ref="AW276" ca="1">(SUMIFS(rng_out_rx_post_yr2,rng_out_sel_excl_yr_ind, "", rng_out_GB_Medispan, O$1,rng_out_sel_G_ind,O$1,rng_out_mail_ind,$B276,rng_out_ds,$C276,rng_out_sel_sp_ind,$D276,rng_out_sel_excl_ind,$E276)+
SUMIFS(rng_out_rx_post_yr2,rng_out_sel_excl_yr_ind, [1]Tables!$HN$4, rng_out_GB_Medispan, O$1,rng_out_sel_G_ind,O$1,rng_out_mail_ind,$B276,rng_out_ds,$C276,rng_out_sel_sp_ind,$D276,rng_out_sel_excl_ind,$E276)* _xlfn.XLOOKUP([1]Tables!$HN$4,'[1]RA Output'!$AY$4:$AY$5,'[1]RA Output'!BA$4:BA$5,0)  +
SUMIFS(rng_out_rx_post_yr2,rng_out_sel_excl_yr_ind, [1]Tables!$HN$5, rng_out_GB_Medispan, O$1,rng_out_sel_G_ind,O$1,rng_out_mail_ind,$B276,rng_out_ds,$C276,rng_out_sel_sp_ind,$D276,rng_out_sel_excl_ind,$E276)* _xlfn.XLOOKUP([1]Tables!$HN$5,'[1]RA Output'!$AY$4:$AY$5,'[1]RA Output'!BA$4:BA$5,0))/[1]Tables!$AT$4+
IFERROR(IF($E$289="N", 0,
SUMIFS(rng_out_rx_post_yr2, rng_out_GB_Medispan, O$1, rng_out_sel_G_ind, O$1, rng_out_mail_ind, $B276, rng_out_ds, $C276, rng_out_sel_sp_ind, $D276, rng_out_sel_excl_ind,"N", rng_out_post_reb_ind_yr2, 0)/[1]Tables!$AT$4),0)</f>
        <v>#VALUE!</v>
      </c>
      <c r="AX276" s="195" t="e" cm="1">
        <f t="array" aca="1" ref="AX276" ca="1">(SUMIFS(rng_out_rx_post_yr3,rng_out_sel_excl_yr_ind, "", rng_out_GB_Medispan, P$1,rng_out_sel_G_ind,P$1,rng_out_mail_ind,$B276,rng_out_ds,$C276,rng_out_sel_sp_ind,$D276,rng_out_sel_excl_ind,$E276)+
SUMIFS(rng_out_rx_post_yr3,rng_out_sel_excl_yr_ind, [1]Tables!$HN$4, rng_out_GB_Medispan, P$1,rng_out_sel_G_ind,P$1,rng_out_mail_ind,$B276,rng_out_ds,$C276,rng_out_sel_sp_ind,$D276,rng_out_sel_excl_ind,$E276)* _xlfn.XLOOKUP([1]Tables!$HN$4,'[1]RA Output'!$AY$4:$AY$5,'[1]RA Output'!BB$4:BB$5,0)  +
SUMIFS(rng_out_rx_post_yr3,rng_out_sel_excl_yr_ind, [1]Tables!$HN$5, rng_out_GB_Medispan, P$1,rng_out_sel_G_ind,P$1,rng_out_mail_ind,$B276,rng_out_ds,$C276,rng_out_sel_sp_ind,$D276,rng_out_sel_excl_ind,$E276)* _xlfn.XLOOKUP([1]Tables!$HN$5,'[1]RA Output'!$AY$4:$AY$5,'[1]RA Output'!BB$4:BB$5,0))/[1]Tables!$AT$4+
IFERROR(IF($E$289="N", 0,
SUMIFS(rng_out_rx_post_yr3, rng_out_GB_Medispan, P$1, rng_out_sel_G_ind, P$1, rng_out_mail_ind, $B276, rng_out_ds, $C276, rng_out_sel_sp_ind, $D276, rng_out_sel_excl_ind,"N", rng_out_post_reb_ind_yr3, 0)/[1]Tables!$AT$4),0)</f>
        <v>#VALUE!</v>
      </c>
      <c r="AY276" s="195" t="e" cm="1">
        <f t="array" aca="1" ref="AY276" ca="1">(SUMIFS(rng_out_rx_post_yr4,rng_out_sel_excl_yr_ind, "", rng_out_GB_Medispan, Q$1,rng_out_sel_G_ind,Q$1,rng_out_mail_ind,$B276,rng_out_ds,$C276,rng_out_sel_sp_ind,$D276,rng_out_sel_excl_ind,$E276)+
SUMIFS(rng_out_rx_post_yr4,rng_out_sel_excl_yr_ind, [1]Tables!$HN$4, rng_out_GB_Medispan, Q$1,rng_out_sel_G_ind,Q$1,rng_out_mail_ind,$B276,rng_out_ds,$C276,rng_out_sel_sp_ind,$D276,rng_out_sel_excl_ind,$E276)* _xlfn.XLOOKUP([1]Tables!$HN$4,'[1]RA Output'!$AY$4:$AY$5,'[1]RA Output'!BC$4:BC$5,0)  +
SUMIFS(rng_out_rx_post_yr4,rng_out_sel_excl_yr_ind, [1]Tables!$HN$5, rng_out_GB_Medispan, Q$1,rng_out_sel_G_ind,Q$1,rng_out_mail_ind,$B276,rng_out_ds,$C276,rng_out_sel_sp_ind,$D276,rng_out_sel_excl_ind,$E276)* _xlfn.XLOOKUP([1]Tables!$HN$5,'[1]RA Output'!$AY$4:$AY$5,'[1]RA Output'!BC$4:BC$5,0))/[1]Tables!$AT$4+
IFERROR(IF($E$289="N", 0,
SUMIFS(rng_out_rx_post_yr4, rng_out_GB_Medispan, Q$1, rng_out_sel_G_ind, Q$1, rng_out_mail_ind, $B276, rng_out_ds, $C276, rng_out_sel_sp_ind, $D276, rng_out_sel_excl_ind,"N", rng_out_post_reb_ind_yr4, 0)/[1]Tables!$AT$4),0)</f>
        <v>#VALUE!</v>
      </c>
      <c r="AZ276" s="211" t="e" cm="1">
        <f t="array" aca="1" ref="AZ276" ca="1">(SUMIFS(rng_out_rx_post_yr5,rng_out_sel_excl_yr_ind, "", rng_out_GB_Medispan, R$1,rng_out_sel_G_ind,R$1,rng_out_mail_ind,$B276,rng_out_ds,$C276,rng_out_sel_sp_ind,$D276,rng_out_sel_excl_ind,$E276)+
SUMIFS(rng_out_rx_post_yr5,rng_out_sel_excl_yr_ind, [1]Tables!$HN$4, rng_out_GB_Medispan, R$1,rng_out_sel_G_ind,R$1,rng_out_mail_ind,$B276,rng_out_ds,$C276,rng_out_sel_sp_ind,$D276,rng_out_sel_excl_ind,$E276)* _xlfn.XLOOKUP([1]Tables!$HN$4,'[1]RA Output'!$AY$4:$AY$5,'[1]RA Output'!BD$4:BD$5,0)  +
SUMIFS(rng_out_rx_post_yr5,rng_out_sel_excl_yr_ind, [1]Tables!$HN$5, rng_out_GB_Medispan, R$1,rng_out_sel_G_ind,R$1,rng_out_mail_ind,$B276,rng_out_ds,$C276,rng_out_sel_sp_ind,$D276,rng_out_sel_excl_ind,$E276)* _xlfn.XLOOKUP([1]Tables!$HN$5,'[1]RA Output'!$AY$4:$AY$5,'[1]RA Output'!BD$4:BD$5,0))/[1]Tables!$AT$4+
IFERROR(IF($E$289="N", 0,
SUMIFS(rng_out_rx_post_yr5, rng_out_GB_Medispan, R$1, rng_out_sel_G_ind, R$1, rng_out_mail_ind, $B276, rng_out_ds, $C276, rng_out_sel_sp_ind, $D276, rng_out_sel_excl_ind,"N", rng_out_post_reb_ind_yr5, 0)/[1]Tables!$AT$4),0)</f>
        <v>#VALUE!</v>
      </c>
      <c r="BA276" s="206" t="e">
        <f t="shared" ref="BA276:BE279" ca="1" si="278">AQ276+AV276</f>
        <v>#VALUE!</v>
      </c>
      <c r="BB276" s="206" t="e">
        <f t="shared" ca="1" si="278"/>
        <v>#VALUE!</v>
      </c>
      <c r="BC276" s="206" t="e">
        <f t="shared" ca="1" si="278"/>
        <v>#VALUE!</v>
      </c>
      <c r="BD276" s="206" t="e">
        <f t="shared" ca="1" si="278"/>
        <v>#VALUE!</v>
      </c>
      <c r="BE276" s="212" t="e">
        <f t="shared" ca="1" si="278"/>
        <v>#VALUE!</v>
      </c>
      <c r="BG276" s="88" t="s">
        <v>14</v>
      </c>
      <c r="BH276" s="213">
        <f t="shared" ref="BH276:BQ279" ca="1" si="279">AQ276</f>
        <v>0</v>
      </c>
      <c r="BI276" s="206">
        <f t="shared" ca="1" si="279"/>
        <v>0</v>
      </c>
      <c r="BJ276" s="206">
        <f t="shared" ca="1" si="279"/>
        <v>0</v>
      </c>
      <c r="BK276" s="206">
        <f t="shared" ca="1" si="279"/>
        <v>0</v>
      </c>
      <c r="BL276" s="214">
        <f t="shared" ca="1" si="279"/>
        <v>0</v>
      </c>
      <c r="BM276" s="213" t="e">
        <f t="shared" ca="1" si="279"/>
        <v>#VALUE!</v>
      </c>
      <c r="BN276" s="206" t="e">
        <f t="shared" ca="1" si="279"/>
        <v>#VALUE!</v>
      </c>
      <c r="BO276" s="206" t="e">
        <f t="shared" ca="1" si="279"/>
        <v>#VALUE!</v>
      </c>
      <c r="BP276" s="206" t="e">
        <f t="shared" ca="1" si="279"/>
        <v>#VALUE!</v>
      </c>
      <c r="BQ276" s="214" t="e">
        <f t="shared" ca="1" si="279"/>
        <v>#VALUE!</v>
      </c>
      <c r="BR276" s="215" t="e">
        <f t="shared" ref="BR276:BV279" ca="1" si="280">BH276+BM276</f>
        <v>#VALUE!</v>
      </c>
      <c r="BS276" s="216" t="e">
        <f t="shared" ca="1" si="280"/>
        <v>#VALUE!</v>
      </c>
      <c r="BT276" s="216" t="e">
        <f t="shared" ca="1" si="280"/>
        <v>#VALUE!</v>
      </c>
      <c r="BU276" s="216" t="e">
        <f t="shared" ca="1" si="280"/>
        <v>#VALUE!</v>
      </c>
      <c r="BV276" s="217" t="e">
        <f t="shared" ca="1" si="280"/>
        <v>#VALUE!</v>
      </c>
      <c r="BX276" s="88" t="s">
        <v>14</v>
      </c>
      <c r="BY276" s="213">
        <f t="shared" ref="BY276:CH279" ca="1" si="281">IFERROR(BY294/BH294, 1)*BH276</f>
        <v>0</v>
      </c>
      <c r="BZ276" s="206">
        <f t="shared" ca="1" si="281"/>
        <v>0</v>
      </c>
      <c r="CA276" s="206">
        <f t="shared" ca="1" si="281"/>
        <v>0</v>
      </c>
      <c r="CB276" s="206">
        <f t="shared" ca="1" si="281"/>
        <v>0</v>
      </c>
      <c r="CC276" s="214">
        <f t="shared" ca="1" si="281"/>
        <v>0</v>
      </c>
      <c r="CD276" s="213" t="e">
        <f t="shared" ca="1" si="281"/>
        <v>#VALUE!</v>
      </c>
      <c r="CE276" s="206" t="e">
        <f t="shared" ca="1" si="281"/>
        <v>#VALUE!</v>
      </c>
      <c r="CF276" s="206" t="e">
        <f t="shared" ca="1" si="281"/>
        <v>#VALUE!</v>
      </c>
      <c r="CG276" s="206" t="e">
        <f t="shared" ca="1" si="281"/>
        <v>#VALUE!</v>
      </c>
      <c r="CH276" s="214" t="e">
        <f t="shared" ca="1" si="281"/>
        <v>#VALUE!</v>
      </c>
      <c r="CI276" s="215" t="e">
        <f t="shared" ref="CI276:CM279" ca="1" si="282">BY276+CD276</f>
        <v>#VALUE!</v>
      </c>
      <c r="CJ276" s="216" t="e">
        <f t="shared" ca="1" si="282"/>
        <v>#VALUE!</v>
      </c>
      <c r="CK276" s="216" t="e">
        <f t="shared" ca="1" si="282"/>
        <v>#VALUE!</v>
      </c>
      <c r="CL276" s="216" t="e">
        <f t="shared" ca="1" si="282"/>
        <v>#VALUE!</v>
      </c>
      <c r="CM276" s="217" t="e">
        <f t="shared" ca="1" si="282"/>
        <v>#VALUE!</v>
      </c>
      <c r="CO276" s="215" cm="1">
        <f t="array" aca="1" ref="CO276" ca="1">_xlfn.SINGLE(IFERROR(SUMIFS(rng_out_rx_base, rng_out_GB_Medispan, "G", rng_out_sel_G_ind, "G", rng_out_mail_ind, $B276, rng_out_ds, $C276, rng_out_sel_sp_ind, $D276, rng_out_sel_excl_ind,$E276)/[1]Tables!$AT$4, 0))</f>
        <v>0</v>
      </c>
      <c r="CP276" s="217" cm="1">
        <f t="array" aca="1" ref="CP276" ca="1">_xlfn.SINGLE(IFERROR(SUMIFS(rng_out_rx_base, rng_out_GB_Medispan, "B", rng_out_sel_G_ind, "B", rng_out_mail_ind, $B276, rng_out_ds, $C276, rng_out_sel_sp_ind, $D276, rng_out_sel_excl_ind,$E276)/[1]Tables!$AT$4, 0))</f>
        <v>0</v>
      </c>
      <c r="CQ276" s="218">
        <f ca="1">SUM(CO276:CP276)</f>
        <v>0</v>
      </c>
      <c r="CR276" s="215" cm="1">
        <f t="array" aca="1" ref="CR276" ca="1">_xlfn.SINGLE(IFERROR(SUMIFS(rng_out_qty_base, rng_out_GB_Medispan, "G", rng_out_sel_G_ind, "G", rng_out_mail_ind, $B276, rng_out_ds, $C276, rng_out_sel_sp_ind, $D276, rng_out_sel_excl_ind,$E276)/[1]Tables!$AT$4, 0))</f>
        <v>0</v>
      </c>
      <c r="CS276" s="216" cm="1">
        <f t="array" aca="1" ref="CS276" ca="1">_xlfn.SINGLE(IFERROR(SUMIFS(rng_out_qty_base, rng_out_GB_Medispan, "B", rng_out_sel_G_ind, "B", rng_out_mail_ind, $B276, rng_out_ds, $C276, rng_out_sel_sp_ind, $D276, rng_out_sel_excl_ind,$E276)/[1]Tables!$AT$4, 0))</f>
        <v>0</v>
      </c>
      <c r="CT276" s="219">
        <f ca="1">SUM(CR276:CS276)</f>
        <v>0</v>
      </c>
      <c r="CU276" s="215" cm="1">
        <f t="array" aca="1" ref="CU276" ca="1">_xlfn.SINGLE(IFERROR(SUMIFS(rng_out_ds_base, rng_out_GB_Medispan, "G", rng_out_sel_G_ind, "G", rng_out_mail_ind, $B276, rng_out_ds, $C276, rng_out_sel_sp_ind, $D276, rng_out_sel_excl_ind,$E276)/[1]Tables!$AT$4, 0))</f>
        <v>0</v>
      </c>
      <c r="CV276" s="217" cm="1">
        <f t="array" aca="1" ref="CV276" ca="1">_xlfn.SINGLE(IFERROR(SUMIFS(rng_out_ds_base, rng_out_GB_Medispan, "B", rng_out_sel_G_ind, "B", rng_out_mail_ind, $B276, rng_out_ds, $C276, rng_out_sel_sp_ind, $D276, rng_out_sel_excl_ind,$E276)/[1]Tables!$AT$4, 0))</f>
        <v>0</v>
      </c>
      <c r="CW276" s="218">
        <f ca="1">SUM(CU276:CV276)</f>
        <v>0</v>
      </c>
    </row>
    <row r="277" spans="2:101" x14ac:dyDescent="0.35">
      <c r="B277" s="105" t="s">
        <v>11</v>
      </c>
      <c r="C277" s="106">
        <v>90</v>
      </c>
      <c r="D277" s="106" t="s">
        <v>12</v>
      </c>
      <c r="E277" s="107" t="s">
        <v>13</v>
      </c>
      <c r="F277" s="106">
        <v>1</v>
      </c>
      <c r="G277" s="106"/>
      <c r="H277" s="108" t="s">
        <v>15</v>
      </c>
      <c r="I277" s="203" t="e" cm="1">
        <f t="array" aca="1" ref="I277" ca="1">SUMIFS(rng_out_rx_pre_yr1,rng_out_sel_excl_yr_ind, "", rng_out_GB_Medispan, I$1,rng_out_sel_G_ind,I$1,rng_out_mail_ind,$B277,rng_out_ds,$C277,rng_out_sel_sp_ind,$D277,rng_out_sel_excl_ind,$E277)+
SUMIFS(rng_out_rx_pre_yr1,rng_out_sel_excl_yr_ind, [1]Tables!$HN$4, rng_out_GB_Medispan, I$1,rng_out_sel_G_ind,I$1,rng_out_mail_ind,$B277,rng_out_ds,$C277,rng_out_sel_sp_ind,$D277,rng_out_sel_excl_ind,$E277)* _xlfn.XLOOKUP([1]Tables!$HN$4,'[1]RA Output'!$AY$4:$AY$5,'[1]RA Output'!AZ$4:AZ$5,0)  +
SUMIFS(rng_out_rx_pre_yr1,rng_out_sel_excl_yr_ind, [1]Tables!$HN$5, rng_out_GB_Medispan, I$1,rng_out_sel_G_ind,I$1,rng_out_mail_ind,$B277,rng_out_ds,$C277,rng_out_sel_sp_ind,$D277,rng_out_sel_excl_ind,$E277)* _xlfn.XLOOKUP([1]Tables!$HN$5,'[1]RA Output'!$AY$4:$AY$5,'[1]RA Output'!AZ$4:AZ$5,0)+
IF($E$280="N", 0,
SUMIFS(rng_out_rx_pre_yr1, rng_out_GB_Medispan, I$1, rng_out_sel_G_ind, I$1, rng_out_mail_ind, $B277, rng_out_ds, $C277, rng_out_sel_sp_ind, $D277, rng_out_sel_excl_ind,"N", rng_out_post_reb_ind_yr1, 0))</f>
        <v>#VALUE!</v>
      </c>
      <c r="J277" s="195" t="e" cm="1">
        <f t="array" aca="1" ref="J277" ca="1">SUMIFS(rng_out_rx_pre_yr2,rng_out_sel_excl_yr_ind, "", rng_out_GB_Medispan, J$1,rng_out_sel_G_ind,J$1,rng_out_mail_ind,$B277,rng_out_ds,$C277,rng_out_sel_sp_ind,$D277,rng_out_sel_excl_ind,$E277)+
SUMIFS(rng_out_rx_pre_yr2,rng_out_sel_excl_yr_ind, [1]Tables!$HN$4, rng_out_GB_Medispan, J$1,rng_out_sel_G_ind,J$1,rng_out_mail_ind,$B277,rng_out_ds,$C277,rng_out_sel_sp_ind,$D277,rng_out_sel_excl_ind,$E277)* _xlfn.XLOOKUP([1]Tables!$HN$4,'[1]RA Output'!$AY$4:$AY$5,'[1]RA Output'!BA$4:BA$5,0)  +
SUMIFS(rng_out_rx_pre_yr2,rng_out_sel_excl_yr_ind, [1]Tables!$HN$5, rng_out_GB_Medispan, J$1,rng_out_sel_G_ind,J$1,rng_out_mail_ind,$B277,rng_out_ds,$C277,rng_out_sel_sp_ind,$D277,rng_out_sel_excl_ind,$E277)* _xlfn.XLOOKUP([1]Tables!$HN$5,'[1]RA Output'!$AY$4:$AY$5,'[1]RA Output'!BA$4:BA$5,0)+
IF($E$280="N", 0,
SUMIFS(rng_out_rx_pre_yr2, rng_out_GB_Medispan, J$1, rng_out_sel_G_ind, J$1, rng_out_mail_ind, $B277, rng_out_ds, $C277, rng_out_sel_sp_ind, $D277, rng_out_sel_excl_ind,"N", rng_out_post_reb_ind_yr2, 0))</f>
        <v>#VALUE!</v>
      </c>
      <c r="K277" s="195" t="e" cm="1">
        <f t="array" aca="1" ref="K277" ca="1">SUMIFS(rng_out_rx_pre_yr3,rng_out_sel_excl_yr_ind, "", rng_out_GB_Medispan, K$1,rng_out_sel_G_ind,K$1,rng_out_mail_ind,$B277,rng_out_ds,$C277,rng_out_sel_sp_ind,$D277,rng_out_sel_excl_ind,$E277)+
SUMIFS(rng_out_rx_pre_yr3,rng_out_sel_excl_yr_ind, [1]Tables!$HN$4, rng_out_GB_Medispan, K$1,rng_out_sel_G_ind,K$1,rng_out_mail_ind,$B277,rng_out_ds,$C277,rng_out_sel_sp_ind,$D277,rng_out_sel_excl_ind,$E277)* _xlfn.XLOOKUP([1]Tables!$HN$4,'[1]RA Output'!$AY$4:$AY$5,'[1]RA Output'!BB$4:BB$5,0)  +
SUMIFS(rng_out_rx_pre_yr3,rng_out_sel_excl_yr_ind, [1]Tables!$HN$5, rng_out_GB_Medispan, K$1,rng_out_sel_G_ind,K$1,rng_out_mail_ind,$B277,rng_out_ds,$C277,rng_out_sel_sp_ind,$D277,rng_out_sel_excl_ind,$E277)* _xlfn.XLOOKUP([1]Tables!$HN$5,'[1]RA Output'!$AY$4:$AY$5,'[1]RA Output'!BB$4:BB$5,0)+
IF($E$280="N", 0,
SUMIFS(rng_out_rx_pre_yr3, rng_out_GB_Medispan, K$1, rng_out_sel_G_ind, K$1, rng_out_mail_ind, $B277, rng_out_ds, $C277, rng_out_sel_sp_ind, $D277, rng_out_sel_excl_ind,"N", rng_out_post_reb_ind_yr3, 0))</f>
        <v>#VALUE!</v>
      </c>
      <c r="L277" s="195" t="e" cm="1">
        <f t="array" aca="1" ref="L277" ca="1">SUMIFS(rng_out_rx_pre_yr4,rng_out_sel_excl_yr_ind, "", rng_out_GB_Medispan, L$1,rng_out_sel_G_ind,L$1,rng_out_mail_ind,$B277,rng_out_ds,$C277,rng_out_sel_sp_ind,$D277,rng_out_sel_excl_ind,$E277)+
SUMIFS(rng_out_rx_pre_yr4,rng_out_sel_excl_yr_ind, [1]Tables!$HN$4, rng_out_GB_Medispan, L$1,rng_out_sel_G_ind,L$1,rng_out_mail_ind,$B277,rng_out_ds,$C277,rng_out_sel_sp_ind,$D277,rng_out_sel_excl_ind,$E277)* _xlfn.XLOOKUP([1]Tables!$HN$4,'[1]RA Output'!$AY$4:$AY$5,'[1]RA Output'!BC$4:BC$5,0)  +
SUMIFS(rng_out_rx_pre_yr4,rng_out_sel_excl_yr_ind, [1]Tables!$HN$5, rng_out_GB_Medispan, L$1,rng_out_sel_G_ind,L$1,rng_out_mail_ind,$B277,rng_out_ds,$C277,rng_out_sel_sp_ind,$D277,rng_out_sel_excl_ind,$E277)* _xlfn.XLOOKUP([1]Tables!$HN$5,'[1]RA Output'!$AY$4:$AY$5,'[1]RA Output'!BC$4:BC$5,0)+
IF($E$280="N", 0,
SUMIFS(rng_out_rx_pre_yr4, rng_out_GB_Medispan, L$1, rng_out_sel_G_ind, L$1, rng_out_mail_ind, $B277, rng_out_ds, $C277, rng_out_sel_sp_ind, $D277, rng_out_sel_excl_ind,"N", rng_out_post_reb_ind_yr4, 0))</f>
        <v>#VALUE!</v>
      </c>
      <c r="M277" s="204" t="e" cm="1">
        <f t="array" aca="1" ref="M277" ca="1">SUMIFS(rng_out_rx_pre_yr5,rng_out_sel_excl_yr_ind, "", rng_out_GB_Medispan, M$1,rng_out_sel_G_ind,M$1,rng_out_mail_ind,$B277,rng_out_ds,$C277,rng_out_sel_sp_ind,$D277,rng_out_sel_excl_ind,$E277)+
SUMIFS(rng_out_rx_pre_yr5,rng_out_sel_excl_yr_ind, [1]Tables!$HN$4, rng_out_GB_Medispan, M$1,rng_out_sel_G_ind,M$1,rng_out_mail_ind,$B277,rng_out_ds,$C277,rng_out_sel_sp_ind,$D277,rng_out_sel_excl_ind,$E277)* _xlfn.XLOOKUP([1]Tables!$HN$4,'[1]RA Output'!$AY$4:$AY$5,'[1]RA Output'!BD$4:BD$5,0)  +
SUMIFS(rng_out_rx_pre_yr5,rng_out_sel_excl_yr_ind, [1]Tables!$HN$5, rng_out_GB_Medispan, M$1,rng_out_sel_G_ind,M$1,rng_out_mail_ind,$B277,rng_out_ds,$C277,rng_out_sel_sp_ind,$D277,rng_out_sel_excl_ind,$E277)* _xlfn.XLOOKUP([1]Tables!$HN$5,'[1]RA Output'!$AY$4:$AY$5,'[1]RA Output'!BD$4:BD$5,0)+
IF($E$280="N", 0,
SUMIFS(rng_out_rx_pre_yr5, rng_out_GB_Medispan, M$1, rng_out_sel_G_ind, M$1, rng_out_mail_ind, $B277, rng_out_ds, $C277, rng_out_sel_sp_ind, $D277, rng_out_sel_excl_ind,"N", rng_out_post_reb_ind_yr5, 0))</f>
        <v>#VALUE!</v>
      </c>
      <c r="N277" s="203" t="e" cm="1">
        <f t="array" aca="1" ref="N277" ca="1">SUMIFS(rng_out_rx_pre_yr1,rng_out_sel_excl_yr_ind, "", rng_out_GB_Medispan, N$1,rng_out_sel_G_ind,N$1,rng_out_mail_ind,$B277,rng_out_ds,$C277,rng_out_sel_sp_ind,$D277,rng_out_sel_excl_ind,$E277)+
SUMIFS(rng_out_rx_pre_yr1,rng_out_sel_excl_yr_ind, [1]Tables!$HN$4, rng_out_GB_Medispan, N$1,rng_out_sel_G_ind,N$1,rng_out_mail_ind,$B277,rng_out_ds,$C277,rng_out_sel_sp_ind,$D277,rng_out_sel_excl_ind,$E277)* _xlfn.XLOOKUP([1]Tables!$HN$4,'[1]RA Output'!$AY$4:$AY$5,'[1]RA Output'!AZ$4:AZ$5,0)  +
SUMIFS(rng_out_rx_pre_yr1,rng_out_sel_excl_yr_ind, [1]Tables!$HN$5, rng_out_GB_Medispan, N$1,rng_out_sel_G_ind,N$1,rng_out_mail_ind,$B277,rng_out_ds,$C277,rng_out_sel_sp_ind,$D277,rng_out_sel_excl_ind,$E277)* _xlfn.XLOOKUP([1]Tables!$HN$5,'[1]RA Output'!$AY$4:$AY$5,'[1]RA Output'!AZ$4:AZ$5,0)+
IF($E$280="N", 0,
SUMIFS(rng_out_rx_pre_yr1, rng_out_GB_Medispan, N$1, rng_out_sel_G_ind, N$1, rng_out_mail_ind, $B277, rng_out_ds, $C277, rng_out_sel_sp_ind, $D277, rng_out_sel_excl_ind,"N", rng_out_post_reb_ind_yr1, 0))</f>
        <v>#VALUE!</v>
      </c>
      <c r="O277" s="195" t="e" cm="1">
        <f t="array" aca="1" ref="O277" ca="1">SUMIFS(rng_out_rx_pre_yr2,rng_out_sel_excl_yr_ind, "", rng_out_GB_Medispan, O$1,rng_out_sel_G_ind,O$1,rng_out_mail_ind,$B277,rng_out_ds,$C277,rng_out_sel_sp_ind,$D277,rng_out_sel_excl_ind,$E277)+
SUMIFS(rng_out_rx_pre_yr2,rng_out_sel_excl_yr_ind, [1]Tables!$HN$4, rng_out_GB_Medispan, O$1,rng_out_sel_G_ind,O$1,rng_out_mail_ind,$B277,rng_out_ds,$C277,rng_out_sel_sp_ind,$D277,rng_out_sel_excl_ind,$E277)* _xlfn.XLOOKUP([1]Tables!$HN$4,'[1]RA Output'!$AY$4:$AY$5,'[1]RA Output'!BA$4:BA$5,0)  +
SUMIFS(rng_out_rx_pre_yr2,rng_out_sel_excl_yr_ind, [1]Tables!$HN$5, rng_out_GB_Medispan, O$1,rng_out_sel_G_ind,O$1,rng_out_mail_ind,$B277,rng_out_ds,$C277,rng_out_sel_sp_ind,$D277,rng_out_sel_excl_ind,$E277)* _xlfn.XLOOKUP([1]Tables!$HN$5,'[1]RA Output'!$AY$4:$AY$5,'[1]RA Output'!BA$4:BA$5,0)+
IF($E$280="N", 0,
SUMIFS(rng_out_rx_pre_yr2, rng_out_GB_Medispan, O$1, rng_out_sel_G_ind, O$1, rng_out_mail_ind, $B277, rng_out_ds, $C277, rng_out_sel_sp_ind, $D277, rng_out_sel_excl_ind,"N", rng_out_post_reb_ind_yr2, 0))</f>
        <v>#VALUE!</v>
      </c>
      <c r="P277" s="195" t="e" cm="1">
        <f t="array" aca="1" ref="P277" ca="1">SUMIFS(rng_out_rx_pre_yr3,rng_out_sel_excl_yr_ind, "", rng_out_GB_Medispan, P$1,rng_out_sel_G_ind,P$1,rng_out_mail_ind,$B277,rng_out_ds,$C277,rng_out_sel_sp_ind,$D277,rng_out_sel_excl_ind,$E277)+
SUMIFS(rng_out_rx_pre_yr3,rng_out_sel_excl_yr_ind, [1]Tables!$HN$4, rng_out_GB_Medispan, P$1,rng_out_sel_G_ind,P$1,rng_out_mail_ind,$B277,rng_out_ds,$C277,rng_out_sel_sp_ind,$D277,rng_out_sel_excl_ind,$E277)* _xlfn.XLOOKUP([1]Tables!$HN$4,'[1]RA Output'!$AY$4:$AY$5,'[1]RA Output'!BB$4:BB$5,0)  +
SUMIFS(rng_out_rx_pre_yr3,rng_out_sel_excl_yr_ind, [1]Tables!$HN$5, rng_out_GB_Medispan, P$1,rng_out_sel_G_ind,P$1,rng_out_mail_ind,$B277,rng_out_ds,$C277,rng_out_sel_sp_ind,$D277,rng_out_sel_excl_ind,$E277)* _xlfn.XLOOKUP([1]Tables!$HN$5,'[1]RA Output'!$AY$4:$AY$5,'[1]RA Output'!BB$4:BB$5,0)+
IF($E$280="N", 0,
SUMIFS(rng_out_rx_pre_yr3, rng_out_GB_Medispan, P$1, rng_out_sel_G_ind, P$1, rng_out_mail_ind, $B277, rng_out_ds, $C277, rng_out_sel_sp_ind, $D277, rng_out_sel_excl_ind,"N", rng_out_post_reb_ind_yr3, 0))</f>
        <v>#VALUE!</v>
      </c>
      <c r="Q277" s="195" t="e" cm="1">
        <f t="array" aca="1" ref="Q277" ca="1">SUMIFS(rng_out_rx_pre_yr4,rng_out_sel_excl_yr_ind, "", rng_out_GB_Medispan, Q$1,rng_out_sel_G_ind,Q$1,rng_out_mail_ind,$B277,rng_out_ds,$C277,rng_out_sel_sp_ind,$D277,rng_out_sel_excl_ind,$E277)+
SUMIFS(rng_out_rx_pre_yr4,rng_out_sel_excl_yr_ind, [1]Tables!$HN$4, rng_out_GB_Medispan, Q$1,rng_out_sel_G_ind,Q$1,rng_out_mail_ind,$B277,rng_out_ds,$C277,rng_out_sel_sp_ind,$D277,rng_out_sel_excl_ind,$E277)* _xlfn.XLOOKUP([1]Tables!$HN$4,'[1]RA Output'!$AY$4:$AY$5,'[1]RA Output'!BC$4:BC$5,0)  +
SUMIFS(rng_out_rx_pre_yr4,rng_out_sel_excl_yr_ind, [1]Tables!$HN$5, rng_out_GB_Medispan, Q$1,rng_out_sel_G_ind,Q$1,rng_out_mail_ind,$B277,rng_out_ds,$C277,rng_out_sel_sp_ind,$D277,rng_out_sel_excl_ind,$E277)* _xlfn.XLOOKUP([1]Tables!$HN$5,'[1]RA Output'!$AY$4:$AY$5,'[1]RA Output'!BC$4:BC$5,0)+
IF($E$280="N", 0,
SUMIFS(rng_out_rx_pre_yr4, rng_out_GB_Medispan, Q$1, rng_out_sel_G_ind, Q$1, rng_out_mail_ind, $B277, rng_out_ds, $C277, rng_out_sel_sp_ind, $D277, rng_out_sel_excl_ind,"N", rng_out_post_reb_ind_yr4, 0))</f>
        <v>#VALUE!</v>
      </c>
      <c r="R277" s="204" t="e" cm="1">
        <f t="array" aca="1" ref="R277" ca="1">SUMIFS(rng_out_rx_pre_yr5,rng_out_sel_excl_yr_ind, "", rng_out_GB_Medispan, R$1,rng_out_sel_G_ind,R$1,rng_out_mail_ind,$B277,rng_out_ds,$C277,rng_out_sel_sp_ind,$D277,rng_out_sel_excl_ind,$E277)+
SUMIFS(rng_out_rx_pre_yr5,rng_out_sel_excl_yr_ind, [1]Tables!$HN$4, rng_out_GB_Medispan, R$1,rng_out_sel_G_ind,R$1,rng_out_mail_ind,$B277,rng_out_ds,$C277,rng_out_sel_sp_ind,$D277,rng_out_sel_excl_ind,$E277)* _xlfn.XLOOKUP([1]Tables!$HN$4,'[1]RA Output'!$AY$4:$AY$5,'[1]RA Output'!BD$4:BD$5,0)  +
SUMIFS(rng_out_rx_pre_yr5,rng_out_sel_excl_yr_ind, [1]Tables!$HN$5, rng_out_GB_Medispan, R$1,rng_out_sel_G_ind,R$1,rng_out_mail_ind,$B277,rng_out_ds,$C277,rng_out_sel_sp_ind,$D277,rng_out_sel_excl_ind,$E277)* _xlfn.XLOOKUP([1]Tables!$HN$5,'[1]RA Output'!$AY$4:$AY$5,'[1]RA Output'!BD$4:BD$5,0)+
IF($E$280="N", 0,
SUMIFS(rng_out_rx_pre_yr5, rng_out_GB_Medispan, R$1, rng_out_sel_G_ind, R$1, rng_out_mail_ind, $B277, rng_out_ds, $C277, rng_out_sel_sp_ind, $D277, rng_out_sel_excl_ind,"N", rng_out_post_reb_ind_yr5, 0))</f>
        <v>#VALUE!</v>
      </c>
      <c r="S277" s="203" t="e">
        <f t="shared" ca="1" si="276"/>
        <v>#VALUE!</v>
      </c>
      <c r="T277" s="206" t="e">
        <f t="shared" ca="1" si="276"/>
        <v>#VALUE!</v>
      </c>
      <c r="U277" s="206" t="e">
        <f t="shared" ca="1" si="276"/>
        <v>#VALUE!</v>
      </c>
      <c r="V277" s="206" t="e">
        <f t="shared" ca="1" si="276"/>
        <v>#VALUE!</v>
      </c>
      <c r="W277" s="207" t="e">
        <f t="shared" ca="1" si="276"/>
        <v>#VALUE!</v>
      </c>
      <c r="Y277" s="109" t="s">
        <v>15</v>
      </c>
      <c r="Z277" s="208">
        <f ca="1">IFERROR(I277/[1]Tables!$AT$4, 0)</f>
        <v>0</v>
      </c>
      <c r="AA277" s="206">
        <f ca="1">IFERROR(J277/[1]Tables!$AT$4, 0)</f>
        <v>0</v>
      </c>
      <c r="AB277" s="206">
        <f ca="1">IFERROR(K277/[1]Tables!$AT$4, 0)</f>
        <v>0</v>
      </c>
      <c r="AC277" s="206">
        <f ca="1">IFERROR(L277/[1]Tables!$AT$4, 0)</f>
        <v>0</v>
      </c>
      <c r="AD277" s="209">
        <f ca="1">IFERROR(M277/[1]Tables!$AT$4, 0)</f>
        <v>0</v>
      </c>
      <c r="AE277" s="208">
        <f ca="1">IFERROR(N277/[1]Tables!$AT$4, 0)</f>
        <v>0</v>
      </c>
      <c r="AF277" s="206">
        <f ca="1">IFERROR(O277/[1]Tables!$AT$4, 0)</f>
        <v>0</v>
      </c>
      <c r="AG277" s="206">
        <f ca="1">IFERROR(P277/[1]Tables!$AT$4, 0)</f>
        <v>0</v>
      </c>
      <c r="AH277" s="206">
        <f ca="1">IFERROR(Q277/[1]Tables!$AT$4, 0)</f>
        <v>0</v>
      </c>
      <c r="AI277" s="209">
        <f ca="1">IFERROR(R277/[1]Tables!$AT$4, 0)</f>
        <v>0</v>
      </c>
      <c r="AJ277" s="208">
        <f t="shared" ca="1" si="277"/>
        <v>0</v>
      </c>
      <c r="AK277" s="206">
        <f t="shared" ca="1" si="277"/>
        <v>0</v>
      </c>
      <c r="AL277" s="206">
        <f t="shared" ca="1" si="277"/>
        <v>0</v>
      </c>
      <c r="AM277" s="206">
        <f t="shared" ca="1" si="277"/>
        <v>0</v>
      </c>
      <c r="AN277" s="209">
        <f t="shared" ca="1" si="277"/>
        <v>0</v>
      </c>
      <c r="AP277" s="110" t="s">
        <v>15</v>
      </c>
      <c r="AQ277" s="210" cm="1">
        <f t="array" aca="1" ref="AQ277" ca="1">IFERROR(IF(OR(input_Shift="No", [1]Tables!$BN$4=1), 0, ((SUMIFS(INDIRECT('[1]RA Output'!AZ$1),rng_out_sel_excl_yr_ind, "", rng_out_GB_Medispan, N$1,rng_out_sel_G_ind,N$1,rng_out_mail_ind,$B277,rng_out_ds,$C277,rng_out_sel_sp_ind,$D277,rng_out_sel_excl_ind,$E277, rng_out_MSB_excl, $F277)+
SUMIFS(INDIRECT('[1]RA Output'!AZ$1),rng_out_sel_excl_yr_ind, [1]Tables!$HN$4, rng_out_GB_Medispan, N$1,rng_out_sel_G_ind,N$1,rng_out_mail_ind,$B277,rng_out_ds,$C277,rng_out_sel_sp_ind,$D277,rng_out_sel_excl_ind,$E277, rng_out_MSB_excl, $F277)* _xlfn.XLOOKUP([1]Tables!$HN$4,'[1]RA Output'!$AY$4:$AY$5,'[1]RA Output'!AZ$4:AZ$5,0)  +
SUMIFS(INDIRECT('[1]RA Output'!AZ$1),rng_out_sel_excl_yr_ind, [1]Tables!$HN$5, rng_out_GB_Medispan, N$1,rng_out_sel_G_ind,N$1,rng_out_mail_ind,$B277,rng_out_ds,$C277,rng_out_sel_sp_ind,$D277,rng_out_sel_excl_ind,$E277, rng_out_MSB_excl, $F277)* _xlfn.XLOOKUP([1]Tables!$HN$5,'[1]RA Output'!$AY$4:$AY$5,'[1]RA Output'!AZ$4:AZ$5,0))/[1]Tables!$AT$4)/[1]Tables!$BN$4*(1-[1]Tables!$BN$4)), 0)
+ IFERROR((SUMIFS(INDIRECT('[1]RA Output'!AZ$1),rng_out_sel_excl_yr_ind, "", rng_out_GB_Medispan, I$1,rng_out_sel_G_ind,I$1,rng_out_mail_ind,$B277,rng_out_ds,$C277,rng_out_sel_sp_ind,$D277,rng_out_sel_excl_ind,$E277)+
SUMIFS(INDIRECT('[1]RA Output'!AZ$1),rng_out_sel_excl_yr_ind, [1]Tables!$HN$4, rng_out_GB_Medispan, I$1,rng_out_sel_G_ind,I$1,rng_out_mail_ind,$B277,rng_out_ds,$C277,rng_out_sel_sp_ind,$D277,rng_out_sel_excl_ind,$E277)* _xlfn.XLOOKUP([1]Tables!$HN$4,'[1]RA Output'!$AY$4:$AY$5,'[1]RA Output'!AZ$4:AZ$5,0)  +
SUMIFS(INDIRECT('[1]RA Output'!AZ$1),rng_out_sel_excl_yr_ind, [1]Tables!$HN$5, rng_out_GB_Medispan, I$1,rng_out_sel_G_ind,I$1,rng_out_mail_ind,$B277,rng_out_ds,$C277,rng_out_sel_sp_ind,$D277,rng_out_sel_excl_ind,$E277)* _xlfn.XLOOKUP([1]Tables!$HN$5,'[1]RA Output'!$AY$4:$AY$5,'[1]RA Output'!AZ$4:AZ$5,0))/[1]Tables!$AT$4, 0)+
IF($E$280="N", 0,
IFERROR((SUMIFS(INDIRECT('[1]RA Output'!AZ$1), rng_out_GB_Medispan, I$1, rng_out_sel_G_ind, I$1, rng_out_mail_ind, $B277, rng_out_ds, $C277, rng_out_sel_sp_ind, $D277, rng_out_sel_excl_ind,"N", INDIRECT('[1]RA Output'!EQ$1), 0))/[1]Tables!$AT$4, 0))</f>
        <v>0</v>
      </c>
      <c r="AR277" s="195" cm="1">
        <f t="array" aca="1" ref="AR277" ca="1">IFERROR(IF(OR(input_Shift="No", [1]Tables!$BN$4=1), 0, ((SUMIFS(INDIRECT('[1]RA Output'!BA$1),rng_out_sel_excl_yr_ind, "", rng_out_GB_Medispan, O$1,rng_out_sel_G_ind,O$1,rng_out_mail_ind,$B277,rng_out_ds,$C277,rng_out_sel_sp_ind,$D277,rng_out_sel_excl_ind,$E277, rng_out_MSB_excl, $F277)+
SUMIFS(INDIRECT('[1]RA Output'!BA$1),rng_out_sel_excl_yr_ind, [1]Tables!$HN$4, rng_out_GB_Medispan, O$1,rng_out_sel_G_ind,O$1,rng_out_mail_ind,$B277,rng_out_ds,$C277,rng_out_sel_sp_ind,$D277,rng_out_sel_excl_ind,$E277, rng_out_MSB_excl, $F277)* _xlfn.XLOOKUP([1]Tables!$HN$4,'[1]RA Output'!$AY$4:$AY$5,'[1]RA Output'!BA$4:BA$5,0)  +
SUMIFS(INDIRECT('[1]RA Output'!BA$1),rng_out_sel_excl_yr_ind, [1]Tables!$HN$5, rng_out_GB_Medispan, O$1,rng_out_sel_G_ind,O$1,rng_out_mail_ind,$B277,rng_out_ds,$C277,rng_out_sel_sp_ind,$D277,rng_out_sel_excl_ind,$E277, rng_out_MSB_excl, $F277)* _xlfn.XLOOKUP([1]Tables!$HN$5,'[1]RA Output'!$AY$4:$AY$5,'[1]RA Output'!BA$4:BA$5,0))/[1]Tables!$AT$4)/[1]Tables!$BN$4*(1-[1]Tables!$BN$4)), 0)
+ IFERROR((SUMIFS(INDIRECT('[1]RA Output'!BA$1),rng_out_sel_excl_yr_ind, "", rng_out_GB_Medispan, J$1,rng_out_sel_G_ind,J$1,rng_out_mail_ind,$B277,rng_out_ds,$C277,rng_out_sel_sp_ind,$D277,rng_out_sel_excl_ind,$E277)+
SUMIFS(INDIRECT('[1]RA Output'!BA$1),rng_out_sel_excl_yr_ind, [1]Tables!$HN$4, rng_out_GB_Medispan, J$1,rng_out_sel_G_ind,J$1,rng_out_mail_ind,$B277,rng_out_ds,$C277,rng_out_sel_sp_ind,$D277,rng_out_sel_excl_ind,$E277)* _xlfn.XLOOKUP([1]Tables!$HN$4,'[1]RA Output'!$AY$4:$AY$5,'[1]RA Output'!BA$4:BA$5,0)  +
SUMIFS(INDIRECT('[1]RA Output'!BA$1),rng_out_sel_excl_yr_ind, [1]Tables!$HN$5, rng_out_GB_Medispan, J$1,rng_out_sel_G_ind,J$1,rng_out_mail_ind,$B277,rng_out_ds,$C277,rng_out_sel_sp_ind,$D277,rng_out_sel_excl_ind,$E277)* _xlfn.XLOOKUP([1]Tables!$HN$5,'[1]RA Output'!$AY$4:$AY$5,'[1]RA Output'!BA$4:BA$5,0))/[1]Tables!$AT$4, 0)+
IF($E$280="N", 0,
IFERROR((SUMIFS(INDIRECT('[1]RA Output'!BA$1), rng_out_GB_Medispan, J$1, rng_out_sel_G_ind, J$1, rng_out_mail_ind, $B277, rng_out_ds, $C277, rng_out_sel_sp_ind, $D277, rng_out_sel_excl_ind,"N", INDIRECT('[1]RA Output'!ER$1), 0))/[1]Tables!$AT$4, 0))</f>
        <v>0</v>
      </c>
      <c r="AS277" s="195" cm="1">
        <f t="array" aca="1" ref="AS277" ca="1">IFERROR(IF(OR(input_Shift="No", [1]Tables!$BN$4=1), 0, ((SUMIFS(INDIRECT('[1]RA Output'!BB$1),rng_out_sel_excl_yr_ind, "", rng_out_GB_Medispan, P$1,rng_out_sel_G_ind,P$1,rng_out_mail_ind,$B277,rng_out_ds,$C277,rng_out_sel_sp_ind,$D277,rng_out_sel_excl_ind,$E277, rng_out_MSB_excl, $F277)+
SUMIFS(INDIRECT('[1]RA Output'!BB$1),rng_out_sel_excl_yr_ind, [1]Tables!$HN$4, rng_out_GB_Medispan, P$1,rng_out_sel_G_ind,P$1,rng_out_mail_ind,$B277,rng_out_ds,$C277,rng_out_sel_sp_ind,$D277,rng_out_sel_excl_ind,$E277, rng_out_MSB_excl, $F277)* _xlfn.XLOOKUP([1]Tables!$HN$4,'[1]RA Output'!$AY$4:$AY$5,'[1]RA Output'!BB$4:BB$5,0)  +
SUMIFS(INDIRECT('[1]RA Output'!BB$1),rng_out_sel_excl_yr_ind, [1]Tables!$HN$5, rng_out_GB_Medispan, P$1,rng_out_sel_G_ind,P$1,rng_out_mail_ind,$B277,rng_out_ds,$C277,rng_out_sel_sp_ind,$D277,rng_out_sel_excl_ind,$E277, rng_out_MSB_excl, $F277)* _xlfn.XLOOKUP([1]Tables!$HN$5,'[1]RA Output'!$AY$4:$AY$5,'[1]RA Output'!BB$4:BB$5,0))/[1]Tables!$AT$4)/[1]Tables!$BN$4*(1-[1]Tables!$BN$4)), 0)
+ IFERROR((SUMIFS(INDIRECT('[1]RA Output'!BB$1),rng_out_sel_excl_yr_ind, "", rng_out_GB_Medispan, K$1,rng_out_sel_G_ind,K$1,rng_out_mail_ind,$B277,rng_out_ds,$C277,rng_out_sel_sp_ind,$D277,rng_out_sel_excl_ind,$E277)+
SUMIFS(INDIRECT('[1]RA Output'!BB$1),rng_out_sel_excl_yr_ind, [1]Tables!$HN$4, rng_out_GB_Medispan, K$1,rng_out_sel_G_ind,K$1,rng_out_mail_ind,$B277,rng_out_ds,$C277,rng_out_sel_sp_ind,$D277,rng_out_sel_excl_ind,$E277)* _xlfn.XLOOKUP([1]Tables!$HN$4,'[1]RA Output'!$AY$4:$AY$5,'[1]RA Output'!BB$4:BB$5,0)  +
SUMIFS(INDIRECT('[1]RA Output'!BB$1),rng_out_sel_excl_yr_ind, [1]Tables!$HN$5, rng_out_GB_Medispan, K$1,rng_out_sel_G_ind,K$1,rng_out_mail_ind,$B277,rng_out_ds,$C277,rng_out_sel_sp_ind,$D277,rng_out_sel_excl_ind,$E277)* _xlfn.XLOOKUP([1]Tables!$HN$5,'[1]RA Output'!$AY$4:$AY$5,'[1]RA Output'!BB$4:BB$5,0))/[1]Tables!$AT$4, 0)+
IF($E$280="N", 0,
IFERROR((SUMIFS(INDIRECT('[1]RA Output'!BB$1), rng_out_GB_Medispan, K$1, rng_out_sel_G_ind, K$1, rng_out_mail_ind, $B277, rng_out_ds, $C277, rng_out_sel_sp_ind, $D277, rng_out_sel_excl_ind,"N", INDIRECT('[1]RA Output'!ES$1), 0))/[1]Tables!$AT$4, 0))</f>
        <v>0</v>
      </c>
      <c r="AT277" s="195" cm="1">
        <f t="array" aca="1" ref="AT277" ca="1">IFERROR(IF(OR(input_Shift="No", [1]Tables!$BN$4=1), 0, ((SUMIFS(INDIRECT('[1]RA Output'!BC$1),rng_out_sel_excl_yr_ind, "", rng_out_GB_Medispan, Q$1,rng_out_sel_G_ind,Q$1,rng_out_mail_ind,$B277,rng_out_ds,$C277,rng_out_sel_sp_ind,$D277,rng_out_sel_excl_ind,$E277, rng_out_MSB_excl, $F277)+
SUMIFS(INDIRECT('[1]RA Output'!BC$1),rng_out_sel_excl_yr_ind, [1]Tables!$HN$4, rng_out_GB_Medispan, Q$1,rng_out_sel_G_ind,Q$1,rng_out_mail_ind,$B277,rng_out_ds,$C277,rng_out_sel_sp_ind,$D277,rng_out_sel_excl_ind,$E277, rng_out_MSB_excl, $F277)* _xlfn.XLOOKUP([1]Tables!$HN$4,'[1]RA Output'!$AY$4:$AY$5,'[1]RA Output'!BC$4:BC$5,0)  +
SUMIFS(INDIRECT('[1]RA Output'!BC$1),rng_out_sel_excl_yr_ind, [1]Tables!$HN$5, rng_out_GB_Medispan, Q$1,rng_out_sel_G_ind,Q$1,rng_out_mail_ind,$B277,rng_out_ds,$C277,rng_out_sel_sp_ind,$D277,rng_out_sel_excl_ind,$E277, rng_out_MSB_excl, $F277)* _xlfn.XLOOKUP([1]Tables!$HN$5,'[1]RA Output'!$AY$4:$AY$5,'[1]RA Output'!BC$4:BC$5,0))/[1]Tables!$AT$4)/[1]Tables!$BN$4*(1-[1]Tables!$BN$4)), 0)
+ IFERROR((SUMIFS(INDIRECT('[1]RA Output'!BC$1),rng_out_sel_excl_yr_ind, "", rng_out_GB_Medispan, L$1,rng_out_sel_G_ind,L$1,rng_out_mail_ind,$B277,rng_out_ds,$C277,rng_out_sel_sp_ind,$D277,rng_out_sel_excl_ind,$E277)+
SUMIFS(INDIRECT('[1]RA Output'!BC$1),rng_out_sel_excl_yr_ind, [1]Tables!$HN$4, rng_out_GB_Medispan, L$1,rng_out_sel_G_ind,L$1,rng_out_mail_ind,$B277,rng_out_ds,$C277,rng_out_sel_sp_ind,$D277,rng_out_sel_excl_ind,$E277)* _xlfn.XLOOKUP([1]Tables!$HN$4,'[1]RA Output'!$AY$4:$AY$5,'[1]RA Output'!BC$4:BC$5,0)  +
SUMIFS(INDIRECT('[1]RA Output'!BC$1),rng_out_sel_excl_yr_ind, [1]Tables!$HN$5, rng_out_GB_Medispan, L$1,rng_out_sel_G_ind,L$1,rng_out_mail_ind,$B277,rng_out_ds,$C277,rng_out_sel_sp_ind,$D277,rng_out_sel_excl_ind,$E277)* _xlfn.XLOOKUP([1]Tables!$HN$5,'[1]RA Output'!$AY$4:$AY$5,'[1]RA Output'!BC$4:BC$5,0))/[1]Tables!$AT$4, 0)+
IF($E$280="N", 0,
IFERROR((SUMIFS(INDIRECT('[1]RA Output'!BC$1), rng_out_GB_Medispan, L$1, rng_out_sel_G_ind, L$1, rng_out_mail_ind, $B277, rng_out_ds, $C277, rng_out_sel_sp_ind, $D277, rng_out_sel_excl_ind,"N", INDIRECT('[1]RA Output'!ET$1), 0))/[1]Tables!$AT$4, 0))</f>
        <v>0</v>
      </c>
      <c r="AU277" s="211" cm="1">
        <f t="array" aca="1" ref="AU277" ca="1">IFERROR(IF(OR(input_Shift="No", [1]Tables!$BN$4=1), 0, ((SUMIFS(INDIRECT('[1]RA Output'!BD$1),rng_out_sel_excl_yr_ind, "", rng_out_GB_Medispan, R$1,rng_out_sel_G_ind,R$1,rng_out_mail_ind,$B277,rng_out_ds,$C277,rng_out_sel_sp_ind,$D277,rng_out_sel_excl_ind,$E277, rng_out_MSB_excl, $F277)+
SUMIFS(INDIRECT('[1]RA Output'!BD$1),rng_out_sel_excl_yr_ind, [1]Tables!$HN$4, rng_out_GB_Medispan, R$1,rng_out_sel_G_ind,R$1,rng_out_mail_ind,$B277,rng_out_ds,$C277,rng_out_sel_sp_ind,$D277,rng_out_sel_excl_ind,$E277, rng_out_MSB_excl, $F277)* _xlfn.XLOOKUP([1]Tables!$HN$4,'[1]RA Output'!$AY$4:$AY$5,'[1]RA Output'!BD$4:BD$5,0)  +
SUMIFS(INDIRECT('[1]RA Output'!BD$1),rng_out_sel_excl_yr_ind, [1]Tables!$HN$5, rng_out_GB_Medispan, R$1,rng_out_sel_G_ind,R$1,rng_out_mail_ind,$B277,rng_out_ds,$C277,rng_out_sel_sp_ind,$D277,rng_out_sel_excl_ind,$E277, rng_out_MSB_excl, $F277)* _xlfn.XLOOKUP([1]Tables!$HN$5,'[1]RA Output'!$AY$4:$AY$5,'[1]RA Output'!BD$4:BD$5,0))/[1]Tables!$AT$4)/[1]Tables!$BN$4*(1-[1]Tables!$BN$4)), 0)
+ IFERROR((SUMIFS(INDIRECT('[1]RA Output'!BD$1),rng_out_sel_excl_yr_ind, "", rng_out_GB_Medispan, M$1,rng_out_sel_G_ind,M$1,rng_out_mail_ind,$B277,rng_out_ds,$C277,rng_out_sel_sp_ind,$D277,rng_out_sel_excl_ind,$E277)+
SUMIFS(INDIRECT('[1]RA Output'!BD$1),rng_out_sel_excl_yr_ind, [1]Tables!$HN$4, rng_out_GB_Medispan, M$1,rng_out_sel_G_ind,M$1,rng_out_mail_ind,$B277,rng_out_ds,$C277,rng_out_sel_sp_ind,$D277,rng_out_sel_excl_ind,$E277)* _xlfn.XLOOKUP([1]Tables!$HN$4,'[1]RA Output'!$AY$4:$AY$5,'[1]RA Output'!BD$4:BD$5,0)  +
SUMIFS(INDIRECT('[1]RA Output'!BD$1),rng_out_sel_excl_yr_ind, [1]Tables!$HN$5, rng_out_GB_Medispan, M$1,rng_out_sel_G_ind,M$1,rng_out_mail_ind,$B277,rng_out_ds,$C277,rng_out_sel_sp_ind,$D277,rng_out_sel_excl_ind,$E277)* _xlfn.XLOOKUP([1]Tables!$HN$5,'[1]RA Output'!$AY$4:$AY$5,'[1]RA Output'!BD$4:BD$5,0))/[1]Tables!$AT$4, 0)+
IF($E$280="N", 0,
IFERROR((SUMIFS(INDIRECT('[1]RA Output'!BD$1), rng_out_GB_Medispan, M$1, rng_out_sel_G_ind, M$1, rng_out_mail_ind, $B277, rng_out_ds, $C277, rng_out_sel_sp_ind, $D277, rng_out_sel_excl_ind,"N", INDIRECT('[1]RA Output'!EU$1), 0))/[1]Tables!$AT$4, 0))</f>
        <v>0</v>
      </c>
      <c r="AV277" s="210" t="e" cm="1">
        <f t="array" aca="1" ref="AV277" ca="1">(SUMIFS(rng_out_rx_post_yr1,rng_out_sel_excl_yr_ind, "", rng_out_GB_Medispan, N$1,rng_out_sel_G_ind,N$1,rng_out_mail_ind,$B277,rng_out_ds,$C277,rng_out_sel_sp_ind,$D277,rng_out_sel_excl_ind,$E277)+
SUMIFS(rng_out_rx_post_yr1,rng_out_sel_excl_yr_ind, [1]Tables!$HN$4, rng_out_GB_Medispan, N$1,rng_out_sel_G_ind,N$1,rng_out_mail_ind,$B277,rng_out_ds,$C277,rng_out_sel_sp_ind,$D277,rng_out_sel_excl_ind,$E277)* _xlfn.XLOOKUP([1]Tables!$HN$4,'[1]RA Output'!$AY$4:$AY$5,'[1]RA Output'!AZ$4:AZ$5,0)  +
SUMIFS(rng_out_rx_post_yr1,rng_out_sel_excl_yr_ind, [1]Tables!$HN$5, rng_out_GB_Medispan, N$1,rng_out_sel_G_ind,N$1,rng_out_mail_ind,$B277,rng_out_ds,$C277,rng_out_sel_sp_ind,$D277,rng_out_sel_excl_ind,$E277)* _xlfn.XLOOKUP([1]Tables!$HN$5,'[1]RA Output'!$AY$4:$AY$5,'[1]RA Output'!AZ$4:AZ$5,0))/[1]Tables!$AT$4+
IFERROR(IF($E$289="N", 0,
SUMIFS(rng_out_rx_post_yr1, rng_out_GB_Medispan, N$1, rng_out_sel_G_ind, N$1, rng_out_mail_ind, $B277, rng_out_ds, $C277, rng_out_sel_sp_ind, $D277, rng_out_sel_excl_ind,"N", rng_out_post_reb_ind_yr1, 0)/[1]Tables!$AT$4),0)</f>
        <v>#VALUE!</v>
      </c>
      <c r="AW277" s="195" t="e" cm="1">
        <f t="array" aca="1" ref="AW277" ca="1">(SUMIFS(rng_out_rx_post_yr2,rng_out_sel_excl_yr_ind, "", rng_out_GB_Medispan, O$1,rng_out_sel_G_ind,O$1,rng_out_mail_ind,$B277,rng_out_ds,$C277,rng_out_sel_sp_ind,$D277,rng_out_sel_excl_ind,$E277)+
SUMIFS(rng_out_rx_post_yr2,rng_out_sel_excl_yr_ind, [1]Tables!$HN$4, rng_out_GB_Medispan, O$1,rng_out_sel_G_ind,O$1,rng_out_mail_ind,$B277,rng_out_ds,$C277,rng_out_sel_sp_ind,$D277,rng_out_sel_excl_ind,$E277)* _xlfn.XLOOKUP([1]Tables!$HN$4,'[1]RA Output'!$AY$4:$AY$5,'[1]RA Output'!BA$4:BA$5,0)  +
SUMIFS(rng_out_rx_post_yr2,rng_out_sel_excl_yr_ind, [1]Tables!$HN$5, rng_out_GB_Medispan, O$1,rng_out_sel_G_ind,O$1,rng_out_mail_ind,$B277,rng_out_ds,$C277,rng_out_sel_sp_ind,$D277,rng_out_sel_excl_ind,$E277)* _xlfn.XLOOKUP([1]Tables!$HN$5,'[1]RA Output'!$AY$4:$AY$5,'[1]RA Output'!BA$4:BA$5,0))/[1]Tables!$AT$4+
IFERROR(IF($E$289="N", 0,
SUMIFS(rng_out_rx_post_yr2, rng_out_GB_Medispan, O$1, rng_out_sel_G_ind, O$1, rng_out_mail_ind, $B277, rng_out_ds, $C277, rng_out_sel_sp_ind, $D277, rng_out_sel_excl_ind,"N", rng_out_post_reb_ind_yr2, 0)/[1]Tables!$AT$4),0)</f>
        <v>#VALUE!</v>
      </c>
      <c r="AX277" s="195" t="e" cm="1">
        <f t="array" aca="1" ref="AX277" ca="1">(SUMIFS(rng_out_rx_post_yr3,rng_out_sel_excl_yr_ind, "", rng_out_GB_Medispan, P$1,rng_out_sel_G_ind,P$1,rng_out_mail_ind,$B277,rng_out_ds,$C277,rng_out_sel_sp_ind,$D277,rng_out_sel_excl_ind,$E277)+
SUMIFS(rng_out_rx_post_yr3,rng_out_sel_excl_yr_ind, [1]Tables!$HN$4, rng_out_GB_Medispan, P$1,rng_out_sel_G_ind,P$1,rng_out_mail_ind,$B277,rng_out_ds,$C277,rng_out_sel_sp_ind,$D277,rng_out_sel_excl_ind,$E277)* _xlfn.XLOOKUP([1]Tables!$HN$4,'[1]RA Output'!$AY$4:$AY$5,'[1]RA Output'!BB$4:BB$5,0)  +
SUMIFS(rng_out_rx_post_yr3,rng_out_sel_excl_yr_ind, [1]Tables!$HN$5, rng_out_GB_Medispan, P$1,rng_out_sel_G_ind,P$1,rng_out_mail_ind,$B277,rng_out_ds,$C277,rng_out_sel_sp_ind,$D277,rng_out_sel_excl_ind,$E277)* _xlfn.XLOOKUP([1]Tables!$HN$5,'[1]RA Output'!$AY$4:$AY$5,'[1]RA Output'!BB$4:BB$5,0))/[1]Tables!$AT$4+
IFERROR(IF($E$289="N", 0,
SUMIFS(rng_out_rx_post_yr3, rng_out_GB_Medispan, P$1, rng_out_sel_G_ind, P$1, rng_out_mail_ind, $B277, rng_out_ds, $C277, rng_out_sel_sp_ind, $D277, rng_out_sel_excl_ind,"N", rng_out_post_reb_ind_yr3, 0)/[1]Tables!$AT$4),0)</f>
        <v>#VALUE!</v>
      </c>
      <c r="AY277" s="195" t="e" cm="1">
        <f t="array" aca="1" ref="AY277" ca="1">(SUMIFS(rng_out_rx_post_yr4,rng_out_sel_excl_yr_ind, "", rng_out_GB_Medispan, Q$1,rng_out_sel_G_ind,Q$1,rng_out_mail_ind,$B277,rng_out_ds,$C277,rng_out_sel_sp_ind,$D277,rng_out_sel_excl_ind,$E277)+
SUMIFS(rng_out_rx_post_yr4,rng_out_sel_excl_yr_ind, [1]Tables!$HN$4, rng_out_GB_Medispan, Q$1,rng_out_sel_G_ind,Q$1,rng_out_mail_ind,$B277,rng_out_ds,$C277,rng_out_sel_sp_ind,$D277,rng_out_sel_excl_ind,$E277)* _xlfn.XLOOKUP([1]Tables!$HN$4,'[1]RA Output'!$AY$4:$AY$5,'[1]RA Output'!BC$4:BC$5,0)  +
SUMIFS(rng_out_rx_post_yr4,rng_out_sel_excl_yr_ind, [1]Tables!$HN$5, rng_out_GB_Medispan, Q$1,rng_out_sel_G_ind,Q$1,rng_out_mail_ind,$B277,rng_out_ds,$C277,rng_out_sel_sp_ind,$D277,rng_out_sel_excl_ind,$E277)* _xlfn.XLOOKUP([1]Tables!$HN$5,'[1]RA Output'!$AY$4:$AY$5,'[1]RA Output'!BC$4:BC$5,0))/[1]Tables!$AT$4+
IFERROR(IF($E$289="N", 0,
SUMIFS(rng_out_rx_post_yr4, rng_out_GB_Medispan, Q$1, rng_out_sel_G_ind, Q$1, rng_out_mail_ind, $B277, rng_out_ds, $C277, rng_out_sel_sp_ind, $D277, rng_out_sel_excl_ind,"N", rng_out_post_reb_ind_yr4, 0)/[1]Tables!$AT$4),0)</f>
        <v>#VALUE!</v>
      </c>
      <c r="AZ277" s="211" t="e" cm="1">
        <f t="array" aca="1" ref="AZ277" ca="1">(SUMIFS(rng_out_rx_post_yr5,rng_out_sel_excl_yr_ind, "", rng_out_GB_Medispan, R$1,rng_out_sel_G_ind,R$1,rng_out_mail_ind,$B277,rng_out_ds,$C277,rng_out_sel_sp_ind,$D277,rng_out_sel_excl_ind,$E277)+
SUMIFS(rng_out_rx_post_yr5,rng_out_sel_excl_yr_ind, [1]Tables!$HN$4, rng_out_GB_Medispan, R$1,rng_out_sel_G_ind,R$1,rng_out_mail_ind,$B277,rng_out_ds,$C277,rng_out_sel_sp_ind,$D277,rng_out_sel_excl_ind,$E277)* _xlfn.XLOOKUP([1]Tables!$HN$4,'[1]RA Output'!$AY$4:$AY$5,'[1]RA Output'!BD$4:BD$5,0)  +
SUMIFS(rng_out_rx_post_yr5,rng_out_sel_excl_yr_ind, [1]Tables!$HN$5, rng_out_GB_Medispan, R$1,rng_out_sel_G_ind,R$1,rng_out_mail_ind,$B277,rng_out_ds,$C277,rng_out_sel_sp_ind,$D277,rng_out_sel_excl_ind,$E277)* _xlfn.XLOOKUP([1]Tables!$HN$5,'[1]RA Output'!$AY$4:$AY$5,'[1]RA Output'!BD$4:BD$5,0))/[1]Tables!$AT$4+
IFERROR(IF($E$289="N", 0,
SUMIFS(rng_out_rx_post_yr5, rng_out_GB_Medispan, R$1, rng_out_sel_G_ind, R$1, rng_out_mail_ind, $B277, rng_out_ds, $C277, rng_out_sel_sp_ind, $D277, rng_out_sel_excl_ind,"N", rng_out_post_reb_ind_yr5, 0)/[1]Tables!$AT$4),0)</f>
        <v>#VALUE!</v>
      </c>
      <c r="BA277" s="206" t="e">
        <f t="shared" ca="1" si="278"/>
        <v>#VALUE!</v>
      </c>
      <c r="BB277" s="206" t="e">
        <f t="shared" ca="1" si="278"/>
        <v>#VALUE!</v>
      </c>
      <c r="BC277" s="206" t="e">
        <f t="shared" ca="1" si="278"/>
        <v>#VALUE!</v>
      </c>
      <c r="BD277" s="206" t="e">
        <f t="shared" ca="1" si="278"/>
        <v>#VALUE!</v>
      </c>
      <c r="BE277" s="212" t="e">
        <f t="shared" ca="1" si="278"/>
        <v>#VALUE!</v>
      </c>
      <c r="BG277" s="111" t="s">
        <v>15</v>
      </c>
      <c r="BH277" s="213">
        <f t="shared" ca="1" si="279"/>
        <v>0</v>
      </c>
      <c r="BI277" s="206">
        <f t="shared" ca="1" si="279"/>
        <v>0</v>
      </c>
      <c r="BJ277" s="206">
        <f t="shared" ca="1" si="279"/>
        <v>0</v>
      </c>
      <c r="BK277" s="206">
        <f t="shared" ca="1" si="279"/>
        <v>0</v>
      </c>
      <c r="BL277" s="214">
        <f t="shared" ca="1" si="279"/>
        <v>0</v>
      </c>
      <c r="BM277" s="213" t="e">
        <f t="shared" ca="1" si="279"/>
        <v>#VALUE!</v>
      </c>
      <c r="BN277" s="206" t="e">
        <f t="shared" ca="1" si="279"/>
        <v>#VALUE!</v>
      </c>
      <c r="BO277" s="206" t="e">
        <f t="shared" ca="1" si="279"/>
        <v>#VALUE!</v>
      </c>
      <c r="BP277" s="206" t="e">
        <f t="shared" ca="1" si="279"/>
        <v>#VALUE!</v>
      </c>
      <c r="BQ277" s="214" t="e">
        <f t="shared" ca="1" si="279"/>
        <v>#VALUE!</v>
      </c>
      <c r="BR277" s="213" t="e">
        <f t="shared" ca="1" si="280"/>
        <v>#VALUE!</v>
      </c>
      <c r="BS277" s="206" t="e">
        <f t="shared" ca="1" si="280"/>
        <v>#VALUE!</v>
      </c>
      <c r="BT277" s="206" t="e">
        <f t="shared" ca="1" si="280"/>
        <v>#VALUE!</v>
      </c>
      <c r="BU277" s="206" t="e">
        <f t="shared" ca="1" si="280"/>
        <v>#VALUE!</v>
      </c>
      <c r="BV277" s="214" t="e">
        <f t="shared" ca="1" si="280"/>
        <v>#VALUE!</v>
      </c>
      <c r="BX277" s="111" t="s">
        <v>15</v>
      </c>
      <c r="BY277" s="213">
        <f t="shared" ca="1" si="281"/>
        <v>0</v>
      </c>
      <c r="BZ277" s="206">
        <f t="shared" ca="1" si="281"/>
        <v>0</v>
      </c>
      <c r="CA277" s="206">
        <f t="shared" ca="1" si="281"/>
        <v>0</v>
      </c>
      <c r="CB277" s="206">
        <f t="shared" ca="1" si="281"/>
        <v>0</v>
      </c>
      <c r="CC277" s="214">
        <f t="shared" ca="1" si="281"/>
        <v>0</v>
      </c>
      <c r="CD277" s="213" t="e">
        <f t="shared" ca="1" si="281"/>
        <v>#VALUE!</v>
      </c>
      <c r="CE277" s="206" t="e">
        <f t="shared" ca="1" si="281"/>
        <v>#VALUE!</v>
      </c>
      <c r="CF277" s="206" t="e">
        <f t="shared" ca="1" si="281"/>
        <v>#VALUE!</v>
      </c>
      <c r="CG277" s="206" t="e">
        <f t="shared" ca="1" si="281"/>
        <v>#VALUE!</v>
      </c>
      <c r="CH277" s="214" t="e">
        <f t="shared" ca="1" si="281"/>
        <v>#VALUE!</v>
      </c>
      <c r="CI277" s="213" t="e">
        <f t="shared" ca="1" si="282"/>
        <v>#VALUE!</v>
      </c>
      <c r="CJ277" s="206" t="e">
        <f t="shared" ca="1" si="282"/>
        <v>#VALUE!</v>
      </c>
      <c r="CK277" s="206" t="e">
        <f t="shared" ca="1" si="282"/>
        <v>#VALUE!</v>
      </c>
      <c r="CL277" s="206" t="e">
        <f t="shared" ca="1" si="282"/>
        <v>#VALUE!</v>
      </c>
      <c r="CM277" s="214" t="e">
        <f t="shared" ca="1" si="282"/>
        <v>#VALUE!</v>
      </c>
      <c r="CO277" s="213" cm="1">
        <f t="array" aca="1" ref="CO277" ca="1">_xlfn.SINGLE(IFERROR(SUMIFS(rng_out_rx_base, rng_out_GB_Medispan, "G", rng_out_sel_G_ind, "G", rng_out_mail_ind, $B277, rng_out_ds, $C277, rng_out_sel_sp_ind, $D277, rng_out_sel_excl_ind,$E277)/[1]Tables!$AT$4, 0))</f>
        <v>0</v>
      </c>
      <c r="CP277" s="214" cm="1">
        <f t="array" aca="1" ref="CP277" ca="1">_xlfn.SINGLE(IFERROR(SUMIFS(rng_out_rx_base, rng_out_GB_Medispan, "B", rng_out_sel_G_ind, "B", rng_out_mail_ind, $B277, rng_out_ds, $C277, rng_out_sel_sp_ind, $D277, rng_out_sel_excl_ind,$E277)/[1]Tables!$AT$4, 0))</f>
        <v>0</v>
      </c>
      <c r="CQ277" s="220">
        <f ca="1">SUM(CO277:CP277)</f>
        <v>0</v>
      </c>
      <c r="CR277" s="213" cm="1">
        <f t="array" aca="1" ref="CR277" ca="1">_xlfn.SINGLE(IFERROR(SUMIFS(rng_out_qty_base, rng_out_GB_Medispan, "G", rng_out_sel_G_ind, "G", rng_out_mail_ind, $B277, rng_out_ds, $C277, rng_out_sel_sp_ind, $D277, rng_out_sel_excl_ind,$E277)/[1]Tables!$AT$4, 0))</f>
        <v>0</v>
      </c>
      <c r="CS277" s="206" cm="1">
        <f t="array" aca="1" ref="CS277" ca="1">_xlfn.SINGLE(IFERROR(SUMIFS(rng_out_qty_base, rng_out_GB_Medispan, "B", rng_out_sel_G_ind, "B", rng_out_mail_ind, $B277, rng_out_ds, $C277, rng_out_sel_sp_ind, $D277, rng_out_sel_excl_ind,$E277)/[1]Tables!$AT$4, 0))</f>
        <v>0</v>
      </c>
      <c r="CT277" s="221">
        <f ca="1">SUM(CR277:CS277)</f>
        <v>0</v>
      </c>
      <c r="CU277" s="213" cm="1">
        <f t="array" aca="1" ref="CU277" ca="1">_xlfn.SINGLE(IFERROR(SUMIFS(rng_out_ds_base, rng_out_GB_Medispan, "G", rng_out_sel_G_ind, "G", rng_out_mail_ind, $B277, rng_out_ds, $C277, rng_out_sel_sp_ind, $D277, rng_out_sel_excl_ind,$E277)/[1]Tables!$AT$4, 0))</f>
        <v>0</v>
      </c>
      <c r="CV277" s="214" cm="1">
        <f t="array" aca="1" ref="CV277" ca="1">_xlfn.SINGLE(IFERROR(SUMIFS(rng_out_ds_base, rng_out_GB_Medispan, "B", rng_out_sel_G_ind, "B", rng_out_mail_ind, $B277, rng_out_ds, $C277, rng_out_sel_sp_ind, $D277, rng_out_sel_excl_ind,$E277)/[1]Tables!$AT$4, 0))</f>
        <v>0</v>
      </c>
      <c r="CW277" s="220">
        <f ca="1">SUM(CU277:CV277)</f>
        <v>0</v>
      </c>
    </row>
    <row r="278" spans="2:101" x14ac:dyDescent="0.35">
      <c r="B278" s="105" t="s">
        <v>16</v>
      </c>
      <c r="C278" s="106"/>
      <c r="D278" s="106" t="s">
        <v>12</v>
      </c>
      <c r="E278" s="107" t="s">
        <v>13</v>
      </c>
      <c r="F278" s="106">
        <v>1</v>
      </c>
      <c r="G278" s="106"/>
      <c r="H278" s="118" t="s">
        <v>7</v>
      </c>
      <c r="I278" s="203" t="e" cm="1">
        <f t="array" aca="1" ref="I278" ca="1">SUMIFS(rng_out_rx_pre_yr1,rng_out_sel_excl_yr_ind, "", rng_out_GB_Medispan, I$1,rng_out_sel_G_ind,I$1,rng_out_mail_ind,$B278,rng_out_sel_sp_ind,$D278,rng_out_sel_excl_ind,$E278)+
SUMIFS(rng_out_rx_pre_yr1,rng_out_sel_excl_yr_ind, [1]Tables!$HN$4, rng_out_GB_Medispan, I$1,rng_out_sel_G_ind,I$1,rng_out_mail_ind,$B278,rng_out_sel_sp_ind,$D278,rng_out_sel_excl_ind,$E278)* _xlfn.XLOOKUP([1]Tables!$HN$4,'[1]RA Output'!$AY$4:$AY$5,'[1]RA Output'!AZ$4:AZ$5,0)  +
SUMIFS(rng_out_rx_pre_yr1,rng_out_sel_excl_yr_ind, [1]Tables!$HN$5, rng_out_GB_Medispan, I$1,rng_out_sel_G_ind,I$1,rng_out_mail_ind,$B278,rng_out_sel_sp_ind,$D278,rng_out_sel_excl_ind,$E278)* _xlfn.XLOOKUP([1]Tables!$HN$5,'[1]RA Output'!$AY$4:$AY$5,'[1]RA Output'!AZ$4:AZ$5,0)+
IF($E$280="N", 0,
SUMIFS(rng_out_rx_pre_yr1, rng_out_GB_Medispan, I$1, rng_out_sel_G_ind, I$1, rng_out_mail_ind, $B278, rng_out_sel_sp_ind, $D278, rng_out_sel_excl_ind,"N", rng_out_post_reb_ind_yr1, 0))</f>
        <v>#VALUE!</v>
      </c>
      <c r="J278" s="195" t="e" cm="1">
        <f t="array" aca="1" ref="J278" ca="1">SUMIFS(rng_out_rx_pre_yr2,rng_out_sel_excl_yr_ind, "", rng_out_GB_Medispan, J$1,rng_out_sel_G_ind,J$1,rng_out_mail_ind,$B278,rng_out_sel_sp_ind,$D278,rng_out_sel_excl_ind,$E278)+
SUMIFS(rng_out_rx_pre_yr2,rng_out_sel_excl_yr_ind, [1]Tables!$HN$4, rng_out_GB_Medispan, J$1,rng_out_sel_G_ind,J$1,rng_out_mail_ind,$B278,rng_out_sel_sp_ind,$D278,rng_out_sel_excl_ind,$E278)* _xlfn.XLOOKUP([1]Tables!$HN$4,'[1]RA Output'!$AY$4:$AY$5,'[1]RA Output'!BA$4:BA$5,0)  +
SUMIFS(rng_out_rx_pre_yr2,rng_out_sel_excl_yr_ind, [1]Tables!$HN$5, rng_out_GB_Medispan, J$1,rng_out_sel_G_ind,J$1,rng_out_mail_ind,$B278,rng_out_sel_sp_ind,$D278,rng_out_sel_excl_ind,$E278)* _xlfn.XLOOKUP([1]Tables!$HN$5,'[1]RA Output'!$AY$4:$AY$5,'[1]RA Output'!BA$4:BA$5,0)+
IF($E$280="N", 0,
SUMIFS(rng_out_rx_pre_yr2, rng_out_GB_Medispan, J$1, rng_out_sel_G_ind, J$1, rng_out_mail_ind, $B278, rng_out_sel_sp_ind, $D278, rng_out_sel_excl_ind,"N", rng_out_post_reb_ind_yr2, 0))</f>
        <v>#VALUE!</v>
      </c>
      <c r="K278" s="195" t="e" cm="1">
        <f t="array" aca="1" ref="K278" ca="1">SUMIFS(rng_out_rx_pre_yr3,rng_out_sel_excl_yr_ind, "", rng_out_GB_Medispan, K$1,rng_out_sel_G_ind,K$1,rng_out_mail_ind,$B278,rng_out_sel_sp_ind,$D278,rng_out_sel_excl_ind,$E278)+
SUMIFS(rng_out_rx_pre_yr3,rng_out_sel_excl_yr_ind, [1]Tables!$HN$4, rng_out_GB_Medispan, K$1,rng_out_sel_G_ind,K$1,rng_out_mail_ind,$B278,rng_out_sel_sp_ind,$D278,rng_out_sel_excl_ind,$E278)* _xlfn.XLOOKUP([1]Tables!$HN$4,'[1]RA Output'!$AY$4:$AY$5,'[1]RA Output'!BB$4:BB$5,0)  +
SUMIFS(rng_out_rx_pre_yr3,rng_out_sel_excl_yr_ind, [1]Tables!$HN$5, rng_out_GB_Medispan, K$1,rng_out_sel_G_ind,K$1,rng_out_mail_ind,$B278,rng_out_sel_sp_ind,$D278,rng_out_sel_excl_ind,$E278)* _xlfn.XLOOKUP([1]Tables!$HN$5,'[1]RA Output'!$AY$4:$AY$5,'[1]RA Output'!BB$4:BB$5,0)+
IF($E$280="N", 0,
SUMIFS(rng_out_rx_pre_yr3, rng_out_GB_Medispan, K$1, rng_out_sel_G_ind, K$1, rng_out_mail_ind, $B278, rng_out_sel_sp_ind, $D278, rng_out_sel_excl_ind,"N", rng_out_post_reb_ind_yr3, 0))</f>
        <v>#VALUE!</v>
      </c>
      <c r="L278" s="195" t="e" cm="1">
        <f t="array" aca="1" ref="L278" ca="1">SUMIFS(rng_out_rx_pre_yr4,rng_out_sel_excl_yr_ind, "", rng_out_GB_Medispan, L$1,rng_out_sel_G_ind,L$1,rng_out_mail_ind,$B278,rng_out_sel_sp_ind,$D278,rng_out_sel_excl_ind,$E278)+
SUMIFS(rng_out_rx_pre_yr4,rng_out_sel_excl_yr_ind, [1]Tables!$HN$4, rng_out_GB_Medispan, L$1,rng_out_sel_G_ind,L$1,rng_out_mail_ind,$B278,rng_out_sel_sp_ind,$D278,rng_out_sel_excl_ind,$E278)* _xlfn.XLOOKUP([1]Tables!$HN$4,'[1]RA Output'!$AY$4:$AY$5,'[1]RA Output'!BC$4:BC$5,0)  +
SUMIFS(rng_out_rx_pre_yr4,rng_out_sel_excl_yr_ind, [1]Tables!$HN$5, rng_out_GB_Medispan, L$1,rng_out_sel_G_ind,L$1,rng_out_mail_ind,$B278,rng_out_sel_sp_ind,$D278,rng_out_sel_excl_ind,$E278)* _xlfn.XLOOKUP([1]Tables!$HN$5,'[1]RA Output'!$AY$4:$AY$5,'[1]RA Output'!BC$4:BC$5,0)+
IF($E$280="N", 0,
SUMIFS(rng_out_rx_pre_yr4, rng_out_GB_Medispan, L$1, rng_out_sel_G_ind, L$1, rng_out_mail_ind, $B278, rng_out_sel_sp_ind, $D278, rng_out_sel_excl_ind,"N", rng_out_post_reb_ind_yr4, 0))</f>
        <v>#VALUE!</v>
      </c>
      <c r="M278" s="204" t="e" cm="1">
        <f t="array" aca="1" ref="M278" ca="1">SUMIFS(rng_out_rx_pre_yr5,rng_out_sel_excl_yr_ind, "", rng_out_GB_Medispan, M$1,rng_out_sel_G_ind,M$1,rng_out_mail_ind,$B278,rng_out_sel_sp_ind,$D278,rng_out_sel_excl_ind,$E278)+
SUMIFS(rng_out_rx_pre_yr5,rng_out_sel_excl_yr_ind, [1]Tables!$HN$4, rng_out_GB_Medispan, M$1,rng_out_sel_G_ind,M$1,rng_out_mail_ind,$B278,rng_out_sel_sp_ind,$D278,rng_out_sel_excl_ind,$E278)* _xlfn.XLOOKUP([1]Tables!$HN$4,'[1]RA Output'!$AY$4:$AY$5,'[1]RA Output'!BD$4:BD$5,0)  +
SUMIFS(rng_out_rx_pre_yr5,rng_out_sel_excl_yr_ind, [1]Tables!$HN$5, rng_out_GB_Medispan, M$1,rng_out_sel_G_ind,M$1,rng_out_mail_ind,$B278,rng_out_sel_sp_ind,$D278,rng_out_sel_excl_ind,$E278)* _xlfn.XLOOKUP([1]Tables!$HN$5,'[1]RA Output'!$AY$4:$AY$5,'[1]RA Output'!BD$4:BD$5,0)+
IF($E$280="N", 0,
SUMIFS(rng_out_rx_pre_yr5, rng_out_GB_Medispan, M$1, rng_out_sel_G_ind, M$1, rng_out_mail_ind, $B278, rng_out_sel_sp_ind, $D278, rng_out_sel_excl_ind,"N", rng_out_post_reb_ind_yr5, 0))</f>
        <v>#VALUE!</v>
      </c>
      <c r="N278" s="203" t="e" cm="1">
        <f t="array" aca="1" ref="N278" ca="1">SUMIFS(rng_out_rx_pre_yr1,rng_out_sel_excl_yr_ind, "", rng_out_GB_Medispan, N$1,rng_out_sel_G_ind,N$1,rng_out_mail_ind,$B278,rng_out_sel_sp_ind,$D278,rng_out_sel_excl_ind,$E278)+
SUMIFS(rng_out_rx_pre_yr1,rng_out_sel_excl_yr_ind, [1]Tables!$HN$4, rng_out_GB_Medispan, N$1,rng_out_sel_G_ind,N$1,rng_out_mail_ind,$B278,rng_out_sel_sp_ind,$D278,rng_out_sel_excl_ind,$E278)* _xlfn.XLOOKUP([1]Tables!$HN$4,'[1]RA Output'!$AY$4:$AY$5,'[1]RA Output'!AZ$4:AZ$5,0)  +
SUMIFS(rng_out_rx_pre_yr1,rng_out_sel_excl_yr_ind, [1]Tables!$HN$5, rng_out_GB_Medispan, N$1,rng_out_sel_G_ind,N$1,rng_out_mail_ind,$B278,rng_out_sel_sp_ind,$D278,rng_out_sel_excl_ind,$E278)* _xlfn.XLOOKUP([1]Tables!$HN$5,'[1]RA Output'!$AY$4:$AY$5,'[1]RA Output'!AZ$4:AZ$5,0)+
IF($E$280="N", 0,
SUMIFS(rng_out_rx_pre_yr1, rng_out_GB_Medispan, N$1, rng_out_sel_G_ind, N$1, rng_out_mail_ind, $B278, rng_out_sel_sp_ind, $D278, rng_out_sel_excl_ind,"N", rng_out_post_reb_ind_yr1, 0))</f>
        <v>#VALUE!</v>
      </c>
      <c r="O278" s="195" t="e" cm="1">
        <f t="array" aca="1" ref="O278" ca="1">SUMIFS(rng_out_rx_pre_yr2,rng_out_sel_excl_yr_ind, "", rng_out_GB_Medispan, O$1,rng_out_sel_G_ind,O$1,rng_out_mail_ind,$B278,rng_out_sel_sp_ind,$D278,rng_out_sel_excl_ind,$E278)+
SUMIFS(rng_out_rx_pre_yr2,rng_out_sel_excl_yr_ind, [1]Tables!$HN$4, rng_out_GB_Medispan, O$1,rng_out_sel_G_ind,O$1,rng_out_mail_ind,$B278,rng_out_sel_sp_ind,$D278,rng_out_sel_excl_ind,$E278)* _xlfn.XLOOKUP([1]Tables!$HN$4,'[1]RA Output'!$AY$4:$AY$5,'[1]RA Output'!BA$4:BA$5,0)  +
SUMIFS(rng_out_rx_pre_yr2,rng_out_sel_excl_yr_ind, [1]Tables!$HN$5, rng_out_GB_Medispan, O$1,rng_out_sel_G_ind,O$1,rng_out_mail_ind,$B278,rng_out_sel_sp_ind,$D278,rng_out_sel_excl_ind,$E278)* _xlfn.XLOOKUP([1]Tables!$HN$5,'[1]RA Output'!$AY$4:$AY$5,'[1]RA Output'!BA$4:BA$5,0)+
IF($E$280="N", 0,
SUMIFS(rng_out_rx_pre_yr2, rng_out_GB_Medispan, O$1, rng_out_sel_G_ind, O$1, rng_out_mail_ind, $B278, rng_out_sel_sp_ind, $D278, rng_out_sel_excl_ind,"N", rng_out_post_reb_ind_yr2, 0))</f>
        <v>#VALUE!</v>
      </c>
      <c r="P278" s="195" t="e" cm="1">
        <f t="array" aca="1" ref="P278" ca="1">SUMIFS(rng_out_rx_pre_yr3,rng_out_sel_excl_yr_ind, "", rng_out_GB_Medispan, P$1,rng_out_sel_G_ind,P$1,rng_out_mail_ind,$B278,rng_out_sel_sp_ind,$D278,rng_out_sel_excl_ind,$E278)+
SUMIFS(rng_out_rx_pre_yr3,rng_out_sel_excl_yr_ind, [1]Tables!$HN$4, rng_out_GB_Medispan, P$1,rng_out_sel_G_ind,P$1,rng_out_mail_ind,$B278,rng_out_sel_sp_ind,$D278,rng_out_sel_excl_ind,$E278)* _xlfn.XLOOKUP([1]Tables!$HN$4,'[1]RA Output'!$AY$4:$AY$5,'[1]RA Output'!BB$4:BB$5,0)  +
SUMIFS(rng_out_rx_pre_yr3,rng_out_sel_excl_yr_ind, [1]Tables!$HN$5, rng_out_GB_Medispan, P$1,rng_out_sel_G_ind,P$1,rng_out_mail_ind,$B278,rng_out_sel_sp_ind,$D278,rng_out_sel_excl_ind,$E278)* _xlfn.XLOOKUP([1]Tables!$HN$5,'[1]RA Output'!$AY$4:$AY$5,'[1]RA Output'!BB$4:BB$5,0)+
IF($E$280="N", 0,
SUMIFS(rng_out_rx_pre_yr3, rng_out_GB_Medispan, P$1, rng_out_sel_G_ind, P$1, rng_out_mail_ind, $B278, rng_out_sel_sp_ind, $D278, rng_out_sel_excl_ind,"N", rng_out_post_reb_ind_yr3, 0))</f>
        <v>#VALUE!</v>
      </c>
      <c r="Q278" s="195" t="e" cm="1">
        <f t="array" aca="1" ref="Q278" ca="1">SUMIFS(rng_out_rx_pre_yr4,rng_out_sel_excl_yr_ind, "", rng_out_GB_Medispan, Q$1,rng_out_sel_G_ind,Q$1,rng_out_mail_ind,$B278,rng_out_sel_sp_ind,$D278,rng_out_sel_excl_ind,$E278)+
SUMIFS(rng_out_rx_pre_yr4,rng_out_sel_excl_yr_ind, [1]Tables!$HN$4, rng_out_GB_Medispan, Q$1,rng_out_sel_G_ind,Q$1,rng_out_mail_ind,$B278,rng_out_sel_sp_ind,$D278,rng_out_sel_excl_ind,$E278)* _xlfn.XLOOKUP([1]Tables!$HN$4,'[1]RA Output'!$AY$4:$AY$5,'[1]RA Output'!BC$4:BC$5,0)  +
SUMIFS(rng_out_rx_pre_yr4,rng_out_sel_excl_yr_ind, [1]Tables!$HN$5, rng_out_GB_Medispan, Q$1,rng_out_sel_G_ind,Q$1,rng_out_mail_ind,$B278,rng_out_sel_sp_ind,$D278,rng_out_sel_excl_ind,$E278)* _xlfn.XLOOKUP([1]Tables!$HN$5,'[1]RA Output'!$AY$4:$AY$5,'[1]RA Output'!BC$4:BC$5,0)+
IF($E$280="N", 0,
SUMIFS(rng_out_rx_pre_yr4, rng_out_GB_Medispan, Q$1, rng_out_sel_G_ind, Q$1, rng_out_mail_ind, $B278, rng_out_sel_sp_ind, $D278, rng_out_sel_excl_ind,"N", rng_out_post_reb_ind_yr4, 0))</f>
        <v>#VALUE!</v>
      </c>
      <c r="R278" s="204" t="e" cm="1">
        <f t="array" aca="1" ref="R278" ca="1">SUMIFS(rng_out_rx_pre_yr5,rng_out_sel_excl_yr_ind, "", rng_out_GB_Medispan, R$1,rng_out_sel_G_ind,R$1,rng_out_mail_ind,$B278,rng_out_sel_sp_ind,$D278,rng_out_sel_excl_ind,$E278)+
SUMIFS(rng_out_rx_pre_yr5,rng_out_sel_excl_yr_ind, [1]Tables!$HN$4, rng_out_GB_Medispan, R$1,rng_out_sel_G_ind,R$1,rng_out_mail_ind,$B278,rng_out_sel_sp_ind,$D278,rng_out_sel_excl_ind,$E278)* _xlfn.XLOOKUP([1]Tables!$HN$4,'[1]RA Output'!$AY$4:$AY$5,'[1]RA Output'!BD$4:BD$5,0)  +
SUMIFS(rng_out_rx_pre_yr5,rng_out_sel_excl_yr_ind, [1]Tables!$HN$5, rng_out_GB_Medispan, R$1,rng_out_sel_G_ind,R$1,rng_out_mail_ind,$B278,rng_out_sel_sp_ind,$D278,rng_out_sel_excl_ind,$E278)* _xlfn.XLOOKUP([1]Tables!$HN$5,'[1]RA Output'!$AY$4:$AY$5,'[1]RA Output'!BD$4:BD$5,0)+
IF($E$280="N", 0,
SUMIFS(rng_out_rx_pre_yr5, rng_out_GB_Medispan, R$1, rng_out_sel_G_ind, R$1, rng_out_mail_ind, $B278, rng_out_sel_sp_ind, $D278, rng_out_sel_excl_ind,"N", rng_out_post_reb_ind_yr5, 0))</f>
        <v>#VALUE!</v>
      </c>
      <c r="S278" s="203" t="e">
        <f t="shared" ca="1" si="276"/>
        <v>#VALUE!</v>
      </c>
      <c r="T278" s="206" t="e">
        <f t="shared" ca="1" si="276"/>
        <v>#VALUE!</v>
      </c>
      <c r="U278" s="206" t="e">
        <f t="shared" ca="1" si="276"/>
        <v>#VALUE!</v>
      </c>
      <c r="V278" s="206" t="e">
        <f t="shared" ca="1" si="276"/>
        <v>#VALUE!</v>
      </c>
      <c r="W278" s="207" t="e">
        <f t="shared" ca="1" si="276"/>
        <v>#VALUE!</v>
      </c>
      <c r="Y278" s="119" t="s">
        <v>7</v>
      </c>
      <c r="Z278" s="208">
        <f ca="1">IFERROR(I278/[1]Tables!$AT$4, 0)</f>
        <v>0</v>
      </c>
      <c r="AA278" s="206">
        <f ca="1">IFERROR(J278/[1]Tables!$AT$4, 0)</f>
        <v>0</v>
      </c>
      <c r="AB278" s="206">
        <f ca="1">IFERROR(K278/[1]Tables!$AT$4, 0)</f>
        <v>0</v>
      </c>
      <c r="AC278" s="206">
        <f ca="1">IFERROR(L278/[1]Tables!$AT$4, 0)</f>
        <v>0</v>
      </c>
      <c r="AD278" s="209">
        <f ca="1">IFERROR(M278/[1]Tables!$AT$4, 0)</f>
        <v>0</v>
      </c>
      <c r="AE278" s="208">
        <f ca="1">IFERROR(N278/[1]Tables!$AT$4, 0)</f>
        <v>0</v>
      </c>
      <c r="AF278" s="206">
        <f ca="1">IFERROR(O278/[1]Tables!$AT$4, 0)</f>
        <v>0</v>
      </c>
      <c r="AG278" s="206">
        <f ca="1">IFERROR(P278/[1]Tables!$AT$4, 0)</f>
        <v>0</v>
      </c>
      <c r="AH278" s="206">
        <f ca="1">IFERROR(Q278/[1]Tables!$AT$4, 0)</f>
        <v>0</v>
      </c>
      <c r="AI278" s="209">
        <f ca="1">IFERROR(R278/[1]Tables!$AT$4, 0)</f>
        <v>0</v>
      </c>
      <c r="AJ278" s="208">
        <f t="shared" ca="1" si="277"/>
        <v>0</v>
      </c>
      <c r="AK278" s="206">
        <f t="shared" ca="1" si="277"/>
        <v>0</v>
      </c>
      <c r="AL278" s="206">
        <f t="shared" ca="1" si="277"/>
        <v>0</v>
      </c>
      <c r="AM278" s="206">
        <f t="shared" ca="1" si="277"/>
        <v>0</v>
      </c>
      <c r="AN278" s="209">
        <f t="shared" ca="1" si="277"/>
        <v>0</v>
      </c>
      <c r="AP278" s="120" t="s">
        <v>7</v>
      </c>
      <c r="AQ278" s="210" cm="1">
        <f t="array" aca="1" ref="AQ278" ca="1">IFERROR(IF(OR(input_Shift="No", [1]Tables!$BN$4=1), 0, ((SUMIFS(INDIRECT('[1]RA Output'!AZ$1),rng_out_sel_excl_yr_ind, "", rng_out_GB_Medispan, N$1,rng_out_sel_G_ind,N$1,rng_out_mail_ind,$B278,rng_out_sel_sp_ind,$D278,rng_out_sel_excl_ind,$E278, rng_out_MSB_excl, $F278)+
SUMIFS(INDIRECT('[1]RA Output'!AZ$1),rng_out_sel_excl_yr_ind, [1]Tables!$HN$4, rng_out_GB_Medispan, N$1,rng_out_sel_G_ind,N$1,rng_out_mail_ind,$B278,rng_out_sel_sp_ind,$D278,rng_out_sel_excl_ind,$E278, rng_out_MSB_excl, $F278)* _xlfn.XLOOKUP([1]Tables!$HN$4,'[1]RA Output'!$AY$4:$AY$5,'[1]RA Output'!AZ$4:AZ$5,0)  +
SUMIFS(INDIRECT('[1]RA Output'!AZ$1),rng_out_sel_excl_yr_ind, [1]Tables!$HN$5, rng_out_GB_Medispan, N$1,rng_out_sel_G_ind,N$1,rng_out_mail_ind,$B278,rng_out_sel_sp_ind,$D278,rng_out_sel_excl_ind,$E278, rng_out_MSB_excl, $F278)* _xlfn.XLOOKUP([1]Tables!$HN$5,'[1]RA Output'!$AY$4:$AY$5,'[1]RA Output'!AZ$4:AZ$5,0))/[1]Tables!$AT$4)/[1]Tables!$BN$4*(1-[1]Tables!$BN$4)), 0)
+ IFERROR((SUMIFS(INDIRECT('[1]RA Output'!AZ$1),rng_out_sel_excl_yr_ind, "", rng_out_GB_Medispan, I$1,rng_out_sel_G_ind,I$1,rng_out_mail_ind,$B278,rng_out_sel_sp_ind,$D278,rng_out_sel_excl_ind,$E278)+
SUMIFS(INDIRECT('[1]RA Output'!AZ$1),rng_out_sel_excl_yr_ind, [1]Tables!$HN$4, rng_out_GB_Medispan, I$1,rng_out_sel_G_ind,I$1,rng_out_mail_ind,$B278,rng_out_sel_sp_ind,$D278,rng_out_sel_excl_ind,$E278)* _xlfn.XLOOKUP([1]Tables!$HN$4,'[1]RA Output'!$AY$4:$AY$5,'[1]RA Output'!AZ$4:AZ$5,0)  +
SUMIFS(INDIRECT('[1]RA Output'!AZ$1),rng_out_sel_excl_yr_ind, [1]Tables!$HN$5, rng_out_GB_Medispan, I$1,rng_out_sel_G_ind,I$1,rng_out_mail_ind,$B278,rng_out_sel_sp_ind,$D278,rng_out_sel_excl_ind,$E278)* _xlfn.XLOOKUP([1]Tables!$HN$5,'[1]RA Output'!$AY$4:$AY$5,'[1]RA Output'!AZ$4:AZ$5,0))/[1]Tables!$AT$4, 0)+
IF($E$280="N", 0,
IFERROR((SUMIFS(INDIRECT('[1]RA Output'!AZ$1), rng_out_GB_Medispan, I$1, rng_out_sel_G_ind, I$1, rng_out_mail_ind, $B278, rng_out_sel_sp_ind, $D278, rng_out_sel_excl_ind,"N", INDIRECT('[1]RA Output'!EQ$1), 0))/[1]Tables!$AT$4, 0))</f>
        <v>0</v>
      </c>
      <c r="AR278" s="195" cm="1">
        <f t="array" aca="1" ref="AR278" ca="1">IFERROR(IF(OR(input_Shift="No", [1]Tables!$BN$4=1), 0, ((SUMIFS(INDIRECT('[1]RA Output'!BA$1),rng_out_sel_excl_yr_ind, "", rng_out_GB_Medispan, O$1,rng_out_sel_G_ind,O$1,rng_out_mail_ind,$B278,rng_out_sel_sp_ind,$D278,rng_out_sel_excl_ind,$E278, rng_out_MSB_excl, $F278)+
SUMIFS(INDIRECT('[1]RA Output'!BA$1),rng_out_sel_excl_yr_ind, [1]Tables!$HN$4, rng_out_GB_Medispan, O$1,rng_out_sel_G_ind,O$1,rng_out_mail_ind,$B278,rng_out_sel_sp_ind,$D278,rng_out_sel_excl_ind,$E278, rng_out_MSB_excl, $F278)* _xlfn.XLOOKUP([1]Tables!$HN$4,'[1]RA Output'!$AY$4:$AY$5,'[1]RA Output'!BA$4:BA$5,0)  +
SUMIFS(INDIRECT('[1]RA Output'!BA$1),rng_out_sel_excl_yr_ind, [1]Tables!$HN$5, rng_out_GB_Medispan, O$1,rng_out_sel_G_ind,O$1,rng_out_mail_ind,$B278,rng_out_sel_sp_ind,$D278,rng_out_sel_excl_ind,$E278, rng_out_MSB_excl, $F278)* _xlfn.XLOOKUP([1]Tables!$HN$5,'[1]RA Output'!$AY$4:$AY$5,'[1]RA Output'!BA$4:BA$5,0))/[1]Tables!$AT$4)/[1]Tables!$BN$4*(1-[1]Tables!$BN$4)), 0)
+ IFERROR((SUMIFS(INDIRECT('[1]RA Output'!BA$1),rng_out_sel_excl_yr_ind, "", rng_out_GB_Medispan, J$1,rng_out_sel_G_ind,J$1,rng_out_mail_ind,$B278,rng_out_sel_sp_ind,$D278,rng_out_sel_excl_ind,$E278)+
SUMIFS(INDIRECT('[1]RA Output'!BA$1),rng_out_sel_excl_yr_ind, [1]Tables!$HN$4, rng_out_GB_Medispan, J$1,rng_out_sel_G_ind,J$1,rng_out_mail_ind,$B278,rng_out_sel_sp_ind,$D278,rng_out_sel_excl_ind,$E278)* _xlfn.XLOOKUP([1]Tables!$HN$4,'[1]RA Output'!$AY$4:$AY$5,'[1]RA Output'!BA$4:BA$5,0)  +
SUMIFS(INDIRECT('[1]RA Output'!BA$1),rng_out_sel_excl_yr_ind, [1]Tables!$HN$5, rng_out_GB_Medispan, J$1,rng_out_sel_G_ind,J$1,rng_out_mail_ind,$B278,rng_out_sel_sp_ind,$D278,rng_out_sel_excl_ind,$E278)* _xlfn.XLOOKUP([1]Tables!$HN$5,'[1]RA Output'!$AY$4:$AY$5,'[1]RA Output'!BA$4:BA$5,0))/[1]Tables!$AT$4, 0)+
IF($E$280="N", 0,
IFERROR((SUMIFS(INDIRECT('[1]RA Output'!BA$1), rng_out_GB_Medispan, J$1, rng_out_sel_G_ind, J$1, rng_out_mail_ind, $B278, rng_out_sel_sp_ind, $D278, rng_out_sel_excl_ind,"N", INDIRECT('[1]RA Output'!ER$1), 0))/[1]Tables!$AT$4, 0))</f>
        <v>0</v>
      </c>
      <c r="AS278" s="195" cm="1">
        <f t="array" aca="1" ref="AS278" ca="1">IFERROR(IF(OR(input_Shift="No", [1]Tables!$BN$4=1), 0, ((SUMIFS(INDIRECT('[1]RA Output'!BB$1),rng_out_sel_excl_yr_ind, "", rng_out_GB_Medispan, P$1,rng_out_sel_G_ind,P$1,rng_out_mail_ind,$B278,rng_out_sel_sp_ind,$D278,rng_out_sel_excl_ind,$E278, rng_out_MSB_excl, $F278)+
SUMIFS(INDIRECT('[1]RA Output'!BB$1),rng_out_sel_excl_yr_ind, [1]Tables!$HN$4, rng_out_GB_Medispan, P$1,rng_out_sel_G_ind,P$1,rng_out_mail_ind,$B278,rng_out_sel_sp_ind,$D278,rng_out_sel_excl_ind,$E278, rng_out_MSB_excl, $F278)* _xlfn.XLOOKUP([1]Tables!$HN$4,'[1]RA Output'!$AY$4:$AY$5,'[1]RA Output'!BB$4:BB$5,0)  +
SUMIFS(INDIRECT('[1]RA Output'!BB$1),rng_out_sel_excl_yr_ind, [1]Tables!$HN$5, rng_out_GB_Medispan, P$1,rng_out_sel_G_ind,P$1,rng_out_mail_ind,$B278,rng_out_sel_sp_ind,$D278,rng_out_sel_excl_ind,$E278, rng_out_MSB_excl, $F278)* _xlfn.XLOOKUP([1]Tables!$HN$5,'[1]RA Output'!$AY$4:$AY$5,'[1]RA Output'!BB$4:BB$5,0))/[1]Tables!$AT$4)/[1]Tables!$BN$4*(1-[1]Tables!$BN$4)), 0)
+ IFERROR((SUMIFS(INDIRECT('[1]RA Output'!BB$1),rng_out_sel_excl_yr_ind, "", rng_out_GB_Medispan, K$1,rng_out_sel_G_ind,K$1,rng_out_mail_ind,$B278,rng_out_sel_sp_ind,$D278,rng_out_sel_excl_ind,$E278)+
SUMIFS(INDIRECT('[1]RA Output'!BB$1),rng_out_sel_excl_yr_ind, [1]Tables!$HN$4, rng_out_GB_Medispan, K$1,rng_out_sel_G_ind,K$1,rng_out_mail_ind,$B278,rng_out_sel_sp_ind,$D278,rng_out_sel_excl_ind,$E278)* _xlfn.XLOOKUP([1]Tables!$HN$4,'[1]RA Output'!$AY$4:$AY$5,'[1]RA Output'!BB$4:BB$5,0)  +
SUMIFS(INDIRECT('[1]RA Output'!BB$1),rng_out_sel_excl_yr_ind, [1]Tables!$HN$5, rng_out_GB_Medispan, K$1,rng_out_sel_G_ind,K$1,rng_out_mail_ind,$B278,rng_out_sel_sp_ind,$D278,rng_out_sel_excl_ind,$E278)* _xlfn.XLOOKUP([1]Tables!$HN$5,'[1]RA Output'!$AY$4:$AY$5,'[1]RA Output'!BB$4:BB$5,0))/[1]Tables!$AT$4, 0)+
IF($E$280="N", 0,
IFERROR((SUMIFS(INDIRECT('[1]RA Output'!BB$1), rng_out_GB_Medispan, K$1, rng_out_sel_G_ind, K$1, rng_out_mail_ind, $B278, rng_out_sel_sp_ind, $D278, rng_out_sel_excl_ind,"N", INDIRECT('[1]RA Output'!ES$1), 0))/[1]Tables!$AT$4, 0))</f>
        <v>0</v>
      </c>
      <c r="AT278" s="195" cm="1">
        <f t="array" aca="1" ref="AT278" ca="1">IFERROR(IF(OR(input_Shift="No", [1]Tables!$BN$4=1), 0, ((SUMIFS(INDIRECT('[1]RA Output'!BC$1),rng_out_sel_excl_yr_ind, "", rng_out_GB_Medispan, Q$1,rng_out_sel_G_ind,Q$1,rng_out_mail_ind,$B278,rng_out_sel_sp_ind,$D278,rng_out_sel_excl_ind,$E278, rng_out_MSB_excl, $F278)+
SUMIFS(INDIRECT('[1]RA Output'!BC$1),rng_out_sel_excl_yr_ind, [1]Tables!$HN$4, rng_out_GB_Medispan, Q$1,rng_out_sel_G_ind,Q$1,rng_out_mail_ind,$B278,rng_out_sel_sp_ind,$D278,rng_out_sel_excl_ind,$E278, rng_out_MSB_excl, $F278)* _xlfn.XLOOKUP([1]Tables!$HN$4,'[1]RA Output'!$AY$4:$AY$5,'[1]RA Output'!BC$4:BC$5,0)  +
SUMIFS(INDIRECT('[1]RA Output'!BC$1),rng_out_sel_excl_yr_ind, [1]Tables!$HN$5, rng_out_GB_Medispan, Q$1,rng_out_sel_G_ind,Q$1,rng_out_mail_ind,$B278,rng_out_sel_sp_ind,$D278,rng_out_sel_excl_ind,$E278, rng_out_MSB_excl, $F278)* _xlfn.XLOOKUP([1]Tables!$HN$5,'[1]RA Output'!$AY$4:$AY$5,'[1]RA Output'!BC$4:BC$5,0))/[1]Tables!$AT$4)/[1]Tables!$BN$4*(1-[1]Tables!$BN$4)), 0)
+ IFERROR((SUMIFS(INDIRECT('[1]RA Output'!BC$1),rng_out_sel_excl_yr_ind, "", rng_out_GB_Medispan, L$1,rng_out_sel_G_ind,L$1,rng_out_mail_ind,$B278,rng_out_sel_sp_ind,$D278,rng_out_sel_excl_ind,$E278)+
SUMIFS(INDIRECT('[1]RA Output'!BC$1),rng_out_sel_excl_yr_ind, [1]Tables!$HN$4, rng_out_GB_Medispan, L$1,rng_out_sel_G_ind,L$1,rng_out_mail_ind,$B278,rng_out_sel_sp_ind,$D278,rng_out_sel_excl_ind,$E278)* _xlfn.XLOOKUP([1]Tables!$HN$4,'[1]RA Output'!$AY$4:$AY$5,'[1]RA Output'!BC$4:BC$5,0)  +
SUMIFS(INDIRECT('[1]RA Output'!BC$1),rng_out_sel_excl_yr_ind, [1]Tables!$HN$5, rng_out_GB_Medispan, L$1,rng_out_sel_G_ind,L$1,rng_out_mail_ind,$B278,rng_out_sel_sp_ind,$D278,rng_out_sel_excl_ind,$E278)* _xlfn.XLOOKUP([1]Tables!$HN$5,'[1]RA Output'!$AY$4:$AY$5,'[1]RA Output'!BC$4:BC$5,0))/[1]Tables!$AT$4, 0)+
IF($E$280="N", 0,
IFERROR((SUMIFS(INDIRECT('[1]RA Output'!BC$1), rng_out_GB_Medispan, L$1, rng_out_sel_G_ind, L$1, rng_out_mail_ind, $B278, rng_out_sel_sp_ind, $D278, rng_out_sel_excl_ind,"N", INDIRECT('[1]RA Output'!ET$1), 0))/[1]Tables!$AT$4, 0))</f>
        <v>0</v>
      </c>
      <c r="AU278" s="211" cm="1">
        <f t="array" aca="1" ref="AU278" ca="1">IFERROR(IF(OR(input_Shift="No", [1]Tables!$BN$4=1), 0, ((SUMIFS(INDIRECT('[1]RA Output'!BD$1),rng_out_sel_excl_yr_ind, "", rng_out_GB_Medispan, R$1,rng_out_sel_G_ind,R$1,rng_out_mail_ind,$B278,rng_out_sel_sp_ind,$D278,rng_out_sel_excl_ind,$E278, rng_out_MSB_excl, $F278)+
SUMIFS(INDIRECT('[1]RA Output'!BD$1),rng_out_sel_excl_yr_ind, [1]Tables!$HN$4, rng_out_GB_Medispan, R$1,rng_out_sel_G_ind,R$1,rng_out_mail_ind,$B278,rng_out_sel_sp_ind,$D278,rng_out_sel_excl_ind,$E278, rng_out_MSB_excl, $F278)* _xlfn.XLOOKUP([1]Tables!$HN$4,'[1]RA Output'!$AY$4:$AY$5,'[1]RA Output'!BD$4:BD$5,0)  +
SUMIFS(INDIRECT('[1]RA Output'!BD$1),rng_out_sel_excl_yr_ind, [1]Tables!$HN$5, rng_out_GB_Medispan, R$1,rng_out_sel_G_ind,R$1,rng_out_mail_ind,$B278,rng_out_sel_sp_ind,$D278,rng_out_sel_excl_ind,$E278, rng_out_MSB_excl, $F278)* _xlfn.XLOOKUP([1]Tables!$HN$5,'[1]RA Output'!$AY$4:$AY$5,'[1]RA Output'!BD$4:BD$5,0))/[1]Tables!$AT$4)/[1]Tables!$BN$4*(1-[1]Tables!$BN$4)), 0)
+ IFERROR((SUMIFS(INDIRECT('[1]RA Output'!BD$1),rng_out_sel_excl_yr_ind, "", rng_out_GB_Medispan, M$1,rng_out_sel_G_ind,M$1,rng_out_mail_ind,$B278,rng_out_sel_sp_ind,$D278,rng_out_sel_excl_ind,$E278)+
SUMIFS(INDIRECT('[1]RA Output'!BD$1),rng_out_sel_excl_yr_ind, [1]Tables!$HN$4, rng_out_GB_Medispan, M$1,rng_out_sel_G_ind,M$1,rng_out_mail_ind,$B278,rng_out_sel_sp_ind,$D278,rng_out_sel_excl_ind,$E278)* _xlfn.XLOOKUP([1]Tables!$HN$4,'[1]RA Output'!$AY$4:$AY$5,'[1]RA Output'!BD$4:BD$5,0)  +
SUMIFS(INDIRECT('[1]RA Output'!BD$1),rng_out_sel_excl_yr_ind, [1]Tables!$HN$5, rng_out_GB_Medispan, M$1,rng_out_sel_G_ind,M$1,rng_out_mail_ind,$B278,rng_out_sel_sp_ind,$D278,rng_out_sel_excl_ind,$E278)* _xlfn.XLOOKUP([1]Tables!$HN$5,'[1]RA Output'!$AY$4:$AY$5,'[1]RA Output'!BD$4:BD$5,0))/[1]Tables!$AT$4, 0)+
IF($E$280="N", 0,
IFERROR((SUMIFS(INDIRECT('[1]RA Output'!BD$1), rng_out_GB_Medispan, M$1, rng_out_sel_G_ind, M$1, rng_out_mail_ind, $B278, rng_out_sel_sp_ind, $D278, rng_out_sel_excl_ind,"N", INDIRECT('[1]RA Output'!EU$1), 0))/[1]Tables!$AT$4, 0))</f>
        <v>0</v>
      </c>
      <c r="AV278" s="210" t="e" cm="1">
        <f t="array" aca="1" ref="AV278" ca="1">(SUMIFS(rng_out_rx_post_yr1,rng_out_sel_excl_yr_ind, "", rng_out_GB_Medispan, N$1,rng_out_sel_G_ind,N$1,rng_out_mail_ind,$B278,rng_out_sel_sp_ind,$D278,rng_out_sel_excl_ind,$E278)+
SUMIFS(rng_out_rx_post_yr1,rng_out_sel_excl_yr_ind, [1]Tables!$HN$4, rng_out_GB_Medispan, N$1,rng_out_sel_G_ind,N$1,rng_out_mail_ind,$B278,rng_out_sel_sp_ind,$D278,rng_out_sel_excl_ind,$E278)* _xlfn.XLOOKUP([1]Tables!$HN$4,'[1]RA Output'!$AY$4:$AY$5,'[1]RA Output'!AZ$4:AZ$5,0)  +
SUMIFS(rng_out_rx_post_yr1,rng_out_sel_excl_yr_ind, [1]Tables!$HN$5, rng_out_GB_Medispan, N$1,rng_out_sel_G_ind,N$1,rng_out_mail_ind,$B278,rng_out_sel_sp_ind,$D278,rng_out_sel_excl_ind,$E278)* _xlfn.XLOOKUP([1]Tables!$HN$5,'[1]RA Output'!$AY$4:$AY$5,'[1]RA Output'!AZ$4:AZ$5,0))/[1]Tables!$AT$4+
IFERROR(IF($E$289="N", 0,
SUMIFS(rng_out_rx_post_yr1, rng_out_GB_Medispan, N$1, rng_out_sel_G_ind, N$1, rng_out_mail_ind, $B278, rng_out_sel_sp_ind, $D278, rng_out_sel_excl_ind,"N", rng_out_post_reb_ind_yr1, 0)/[1]Tables!$AT$4),0)</f>
        <v>#VALUE!</v>
      </c>
      <c r="AW278" s="195" t="e" cm="1">
        <f t="array" aca="1" ref="AW278" ca="1">(SUMIFS(rng_out_rx_post_yr2,rng_out_sel_excl_yr_ind, "", rng_out_GB_Medispan, O$1,rng_out_sel_G_ind,O$1,rng_out_mail_ind,$B278,rng_out_sel_sp_ind,$D278,rng_out_sel_excl_ind,$E278)+
SUMIFS(rng_out_rx_post_yr2,rng_out_sel_excl_yr_ind, [1]Tables!$HN$4, rng_out_GB_Medispan, O$1,rng_out_sel_G_ind,O$1,rng_out_mail_ind,$B278,rng_out_sel_sp_ind,$D278,rng_out_sel_excl_ind,$E278)* _xlfn.XLOOKUP([1]Tables!$HN$4,'[1]RA Output'!$AY$4:$AY$5,'[1]RA Output'!BA$4:BA$5,0)  +
SUMIFS(rng_out_rx_post_yr2,rng_out_sel_excl_yr_ind, [1]Tables!$HN$5, rng_out_GB_Medispan, O$1,rng_out_sel_G_ind,O$1,rng_out_mail_ind,$B278,rng_out_sel_sp_ind,$D278,rng_out_sel_excl_ind,$E278)* _xlfn.XLOOKUP([1]Tables!$HN$5,'[1]RA Output'!$AY$4:$AY$5,'[1]RA Output'!BA$4:BA$5,0))/[1]Tables!$AT$4+
IFERROR(IF($E$289="N", 0,
SUMIFS(rng_out_rx_post_yr2, rng_out_GB_Medispan, O$1, rng_out_sel_G_ind, O$1, rng_out_mail_ind, $B278, rng_out_sel_sp_ind, $D278, rng_out_sel_excl_ind,"N", rng_out_post_reb_ind_yr2, 0)/[1]Tables!$AT$4),0)</f>
        <v>#VALUE!</v>
      </c>
      <c r="AX278" s="195" t="e" cm="1">
        <f t="array" aca="1" ref="AX278" ca="1">(SUMIFS(rng_out_rx_post_yr3,rng_out_sel_excl_yr_ind, "", rng_out_GB_Medispan, P$1,rng_out_sel_G_ind,P$1,rng_out_mail_ind,$B278,rng_out_sel_sp_ind,$D278,rng_out_sel_excl_ind,$E278)+
SUMIFS(rng_out_rx_post_yr3,rng_out_sel_excl_yr_ind, [1]Tables!$HN$4, rng_out_GB_Medispan, P$1,rng_out_sel_G_ind,P$1,rng_out_mail_ind,$B278,rng_out_sel_sp_ind,$D278,rng_out_sel_excl_ind,$E278)* _xlfn.XLOOKUP([1]Tables!$HN$4,'[1]RA Output'!$AY$4:$AY$5,'[1]RA Output'!BB$4:BB$5,0)  +
SUMIFS(rng_out_rx_post_yr3,rng_out_sel_excl_yr_ind, [1]Tables!$HN$5, rng_out_GB_Medispan, P$1,rng_out_sel_G_ind,P$1,rng_out_mail_ind,$B278,rng_out_sel_sp_ind,$D278,rng_out_sel_excl_ind,$E278)* _xlfn.XLOOKUP([1]Tables!$HN$5,'[1]RA Output'!$AY$4:$AY$5,'[1]RA Output'!BB$4:BB$5,0))/[1]Tables!$AT$4+
IFERROR(IF($E$289="N", 0,
SUMIFS(rng_out_rx_post_yr3, rng_out_GB_Medispan, P$1, rng_out_sel_G_ind, P$1, rng_out_mail_ind, $B278, rng_out_sel_sp_ind, $D278, rng_out_sel_excl_ind,"N", rng_out_post_reb_ind_yr3, 0)/[1]Tables!$AT$4),0)</f>
        <v>#VALUE!</v>
      </c>
      <c r="AY278" s="195" t="e" cm="1">
        <f t="array" aca="1" ref="AY278" ca="1">(SUMIFS(rng_out_rx_post_yr4,rng_out_sel_excl_yr_ind, "", rng_out_GB_Medispan, Q$1,rng_out_sel_G_ind,Q$1,rng_out_mail_ind,$B278,rng_out_sel_sp_ind,$D278,rng_out_sel_excl_ind,$E278)+
SUMIFS(rng_out_rx_post_yr4,rng_out_sel_excl_yr_ind, [1]Tables!$HN$4, rng_out_GB_Medispan, Q$1,rng_out_sel_G_ind,Q$1,rng_out_mail_ind,$B278,rng_out_sel_sp_ind,$D278,rng_out_sel_excl_ind,$E278)* _xlfn.XLOOKUP([1]Tables!$HN$4,'[1]RA Output'!$AY$4:$AY$5,'[1]RA Output'!BC$4:BC$5,0)  +
SUMIFS(rng_out_rx_post_yr4,rng_out_sel_excl_yr_ind, [1]Tables!$HN$5, rng_out_GB_Medispan, Q$1,rng_out_sel_G_ind,Q$1,rng_out_mail_ind,$B278,rng_out_sel_sp_ind,$D278,rng_out_sel_excl_ind,$E278)* _xlfn.XLOOKUP([1]Tables!$HN$5,'[1]RA Output'!$AY$4:$AY$5,'[1]RA Output'!BC$4:BC$5,0))/[1]Tables!$AT$4+
IFERROR(IF($E$289="N", 0,
SUMIFS(rng_out_rx_post_yr4, rng_out_GB_Medispan, Q$1, rng_out_sel_G_ind, Q$1, rng_out_mail_ind, $B278, rng_out_sel_sp_ind, $D278, rng_out_sel_excl_ind,"N", rng_out_post_reb_ind_yr4, 0)/[1]Tables!$AT$4),0)</f>
        <v>#VALUE!</v>
      </c>
      <c r="AZ278" s="211" t="e" cm="1">
        <f t="array" aca="1" ref="AZ278" ca="1">(SUMIFS(rng_out_rx_post_yr5,rng_out_sel_excl_yr_ind, "", rng_out_GB_Medispan, R$1,rng_out_sel_G_ind,R$1,rng_out_mail_ind,$B278,rng_out_sel_sp_ind,$D278,rng_out_sel_excl_ind,$E278)+
SUMIFS(rng_out_rx_post_yr5,rng_out_sel_excl_yr_ind, [1]Tables!$HN$4, rng_out_GB_Medispan, R$1,rng_out_sel_G_ind,R$1,rng_out_mail_ind,$B278,rng_out_sel_sp_ind,$D278,rng_out_sel_excl_ind,$E278)* _xlfn.XLOOKUP([1]Tables!$HN$4,'[1]RA Output'!$AY$4:$AY$5,'[1]RA Output'!BD$4:BD$5,0)  +
SUMIFS(rng_out_rx_post_yr5,rng_out_sel_excl_yr_ind, [1]Tables!$HN$5, rng_out_GB_Medispan, R$1,rng_out_sel_G_ind,R$1,rng_out_mail_ind,$B278,rng_out_sel_sp_ind,$D278,rng_out_sel_excl_ind,$E278)* _xlfn.XLOOKUP([1]Tables!$HN$5,'[1]RA Output'!$AY$4:$AY$5,'[1]RA Output'!BD$4:BD$5,0))/[1]Tables!$AT$4+
IFERROR(IF($E$289="N", 0,
SUMIFS(rng_out_rx_post_yr5, rng_out_GB_Medispan, R$1, rng_out_sel_G_ind, R$1, rng_out_mail_ind, $B278, rng_out_sel_sp_ind, $D278, rng_out_sel_excl_ind,"N", rng_out_post_reb_ind_yr5, 0)/[1]Tables!$AT$4),0)</f>
        <v>#VALUE!</v>
      </c>
      <c r="BA278" s="206" t="e">
        <f t="shared" ca="1" si="278"/>
        <v>#VALUE!</v>
      </c>
      <c r="BB278" s="206" t="e">
        <f t="shared" ca="1" si="278"/>
        <v>#VALUE!</v>
      </c>
      <c r="BC278" s="206" t="e">
        <f t="shared" ca="1" si="278"/>
        <v>#VALUE!</v>
      </c>
      <c r="BD278" s="206" t="e">
        <f t="shared" ca="1" si="278"/>
        <v>#VALUE!</v>
      </c>
      <c r="BE278" s="212" t="e">
        <f t="shared" ca="1" si="278"/>
        <v>#VALUE!</v>
      </c>
      <c r="BG278" s="121" t="s">
        <v>7</v>
      </c>
      <c r="BH278" s="213">
        <f t="shared" ca="1" si="279"/>
        <v>0</v>
      </c>
      <c r="BI278" s="206">
        <f t="shared" ca="1" si="279"/>
        <v>0</v>
      </c>
      <c r="BJ278" s="206">
        <f t="shared" ca="1" si="279"/>
        <v>0</v>
      </c>
      <c r="BK278" s="206">
        <f t="shared" ca="1" si="279"/>
        <v>0</v>
      </c>
      <c r="BL278" s="214">
        <f t="shared" ca="1" si="279"/>
        <v>0</v>
      </c>
      <c r="BM278" s="213" t="e">
        <f t="shared" ca="1" si="279"/>
        <v>#VALUE!</v>
      </c>
      <c r="BN278" s="206" t="e">
        <f t="shared" ca="1" si="279"/>
        <v>#VALUE!</v>
      </c>
      <c r="BO278" s="206" t="e">
        <f t="shared" ca="1" si="279"/>
        <v>#VALUE!</v>
      </c>
      <c r="BP278" s="206" t="e">
        <f t="shared" ca="1" si="279"/>
        <v>#VALUE!</v>
      </c>
      <c r="BQ278" s="214" t="e">
        <f t="shared" ca="1" si="279"/>
        <v>#VALUE!</v>
      </c>
      <c r="BR278" s="213" t="e">
        <f t="shared" ca="1" si="280"/>
        <v>#VALUE!</v>
      </c>
      <c r="BS278" s="206" t="e">
        <f t="shared" ca="1" si="280"/>
        <v>#VALUE!</v>
      </c>
      <c r="BT278" s="206" t="e">
        <f t="shared" ca="1" si="280"/>
        <v>#VALUE!</v>
      </c>
      <c r="BU278" s="206" t="e">
        <f t="shared" ca="1" si="280"/>
        <v>#VALUE!</v>
      </c>
      <c r="BV278" s="214" t="e">
        <f t="shared" ca="1" si="280"/>
        <v>#VALUE!</v>
      </c>
      <c r="BX278" s="121" t="s">
        <v>7</v>
      </c>
      <c r="BY278" s="213">
        <f t="shared" ca="1" si="281"/>
        <v>0</v>
      </c>
      <c r="BZ278" s="206">
        <f t="shared" ca="1" si="281"/>
        <v>0</v>
      </c>
      <c r="CA278" s="206">
        <f t="shared" ca="1" si="281"/>
        <v>0</v>
      </c>
      <c r="CB278" s="206">
        <f t="shared" ca="1" si="281"/>
        <v>0</v>
      </c>
      <c r="CC278" s="214">
        <f t="shared" ca="1" si="281"/>
        <v>0</v>
      </c>
      <c r="CD278" s="213" t="e">
        <f t="shared" ca="1" si="281"/>
        <v>#VALUE!</v>
      </c>
      <c r="CE278" s="206" t="e">
        <f t="shared" ca="1" si="281"/>
        <v>#VALUE!</v>
      </c>
      <c r="CF278" s="206" t="e">
        <f t="shared" ca="1" si="281"/>
        <v>#VALUE!</v>
      </c>
      <c r="CG278" s="206" t="e">
        <f t="shared" ca="1" si="281"/>
        <v>#VALUE!</v>
      </c>
      <c r="CH278" s="214" t="e">
        <f t="shared" ca="1" si="281"/>
        <v>#VALUE!</v>
      </c>
      <c r="CI278" s="213" t="e">
        <f t="shared" ca="1" si="282"/>
        <v>#VALUE!</v>
      </c>
      <c r="CJ278" s="206" t="e">
        <f t="shared" ca="1" si="282"/>
        <v>#VALUE!</v>
      </c>
      <c r="CK278" s="206" t="e">
        <f t="shared" ca="1" si="282"/>
        <v>#VALUE!</v>
      </c>
      <c r="CL278" s="206" t="e">
        <f t="shared" ca="1" si="282"/>
        <v>#VALUE!</v>
      </c>
      <c r="CM278" s="214" t="e">
        <f t="shared" ca="1" si="282"/>
        <v>#VALUE!</v>
      </c>
      <c r="CO278" s="213" cm="1">
        <f t="array" aca="1" ref="CO278" ca="1">_xlfn.SINGLE(IFERROR(SUMIFS(rng_out_rx_base, rng_out_GB_Medispan, "G", rng_out_sel_G_ind, "G", rng_out_mail_ind, $B278, rng_out_sel_sp_ind, $D278, rng_out_sel_excl_ind,$E278)/[1]Tables!$AT$4, 0))</f>
        <v>0</v>
      </c>
      <c r="CP278" s="214" cm="1">
        <f t="array" aca="1" ref="CP278" ca="1">_xlfn.SINGLE(IFERROR(SUMIFS(rng_out_rx_base, rng_out_GB_Medispan, "B", rng_out_sel_G_ind, "B", rng_out_mail_ind, $B278, rng_out_sel_sp_ind, $D278, rng_out_sel_excl_ind,$E278)/[1]Tables!$AT$4, 0))</f>
        <v>0</v>
      </c>
      <c r="CQ278" s="220">
        <f ca="1">SUM(CO278:CP278)</f>
        <v>0</v>
      </c>
      <c r="CR278" s="213" cm="1">
        <f t="array" aca="1" ref="CR278" ca="1">_xlfn.SINGLE(IFERROR(SUMIFS(rng_out_qty_base, rng_out_GB_Medispan, "G", rng_out_sel_G_ind, "G", rng_out_mail_ind, $B278, rng_out_sel_sp_ind, $D278, rng_out_sel_excl_ind,$E278)/[1]Tables!$AT$4, 0))</f>
        <v>0</v>
      </c>
      <c r="CS278" s="206" cm="1">
        <f t="array" aca="1" ref="CS278" ca="1">_xlfn.SINGLE(IFERROR(SUMIFS(rng_out_qty_base, rng_out_GB_Medispan, "B", rng_out_sel_G_ind, "B", rng_out_mail_ind, $B278, rng_out_sel_sp_ind, $D278, rng_out_sel_excl_ind,$E278)/[1]Tables!$AT$4, 0))</f>
        <v>0</v>
      </c>
      <c r="CT278" s="221">
        <f ca="1">SUM(CR278:CS278)</f>
        <v>0</v>
      </c>
      <c r="CU278" s="213" cm="1">
        <f t="array" aca="1" ref="CU278" ca="1">_xlfn.SINGLE(IFERROR(SUMIFS(rng_out_ds_base, rng_out_GB_Medispan, "G", rng_out_sel_G_ind, "G", rng_out_mail_ind, $B278, rng_out_sel_sp_ind, $D278, rng_out_sel_excl_ind,$E278)/[1]Tables!$AT$4, 0))</f>
        <v>0</v>
      </c>
      <c r="CV278" s="214" cm="1">
        <f t="array" aca="1" ref="CV278" ca="1">_xlfn.SINGLE(IFERROR(SUMIFS(rng_out_ds_base, rng_out_GB_Medispan, "B", rng_out_sel_G_ind, "B", rng_out_mail_ind, $B278, rng_out_sel_sp_ind, $D278, rng_out_sel_excl_ind,$E278)/[1]Tables!$AT$4, 0))</f>
        <v>0</v>
      </c>
      <c r="CW278" s="220">
        <f ca="1">SUM(CU278:CV278)</f>
        <v>0</v>
      </c>
    </row>
    <row r="279" spans="2:101" ht="15" thickBot="1" x14ac:dyDescent="0.4">
      <c r="B279" s="122"/>
      <c r="C279" s="123"/>
      <c r="D279" s="123" t="s">
        <v>13</v>
      </c>
      <c r="E279" s="124" t="s">
        <v>13</v>
      </c>
      <c r="F279" s="106">
        <v>1</v>
      </c>
      <c r="G279" s="106"/>
      <c r="H279" s="118" t="s">
        <v>17</v>
      </c>
      <c r="I279" s="203" t="e" cm="1">
        <f t="array" aca="1" ref="I279" ca="1">SUMIFS(rng_out_rx_pre_yr1,rng_out_sel_excl_yr_ind, "", rng_out_GB_Medispan, I$1,rng_out_sel_G_ind,I$1,rng_out_sel_sp_ind,$D279,rng_out_sel_excl_ind,$E279)+
SUMIFS(rng_out_rx_pre_yr1,rng_out_sel_excl_yr_ind, [1]Tables!$HN$4, rng_out_GB_Medispan, I$1,rng_out_sel_G_ind,I$1,rng_out_sel_sp_ind,$D279,rng_out_sel_excl_ind,$E279)* _xlfn.XLOOKUP([1]Tables!$HN$4,'[1]RA Output'!$AY$4:$AY$5,'[1]RA Output'!AZ$4:AZ$5,0)  +
SUMIFS(rng_out_rx_pre_yr1,rng_out_sel_excl_yr_ind, [1]Tables!$HN$5, rng_out_GB_Medispan, I$1,rng_out_sel_G_ind,I$1,rng_out_sel_sp_ind,$D279,rng_out_sel_excl_ind,$E279)* _xlfn.XLOOKUP([1]Tables!$HN$5,'[1]RA Output'!$AY$4:$AY$5,'[1]RA Output'!AZ$4:AZ$5,0)+
IF($E$280="N", 0,
SUMIFS(rng_out_rx_pre_yr1, rng_out_GB_Medispan, I$1, rng_out_sel_G_ind, I$1, rng_out_sel_sp_ind, $D279, rng_out_sel_excl_ind,"N", rng_out_post_reb_ind_yr1, 0))</f>
        <v>#VALUE!</v>
      </c>
      <c r="J279" s="195" t="e" cm="1">
        <f t="array" aca="1" ref="J279" ca="1">SUMIFS(rng_out_rx_pre_yr2,rng_out_sel_excl_yr_ind, "", rng_out_GB_Medispan, J$1,rng_out_sel_G_ind,J$1,rng_out_sel_sp_ind,$D279,rng_out_sel_excl_ind,$E279)+
SUMIFS(rng_out_rx_pre_yr2,rng_out_sel_excl_yr_ind, [1]Tables!$HN$4, rng_out_GB_Medispan, J$1,rng_out_sel_G_ind,J$1,rng_out_sel_sp_ind,$D279,rng_out_sel_excl_ind,$E279)* _xlfn.XLOOKUP([1]Tables!$HN$4,'[1]RA Output'!$AY$4:$AY$5,'[1]RA Output'!BA$4:BA$5,0)  +
SUMIFS(rng_out_rx_pre_yr2,rng_out_sel_excl_yr_ind, [1]Tables!$HN$5, rng_out_GB_Medispan, J$1,rng_out_sel_G_ind,J$1,rng_out_sel_sp_ind,$D279,rng_out_sel_excl_ind,$E279)* _xlfn.XLOOKUP([1]Tables!$HN$5,'[1]RA Output'!$AY$4:$AY$5,'[1]RA Output'!BA$4:BA$5,0)+
IF($E$280="N", 0,
SUMIFS(rng_out_rx_pre_yr2, rng_out_GB_Medispan, J$1, rng_out_sel_G_ind, J$1, rng_out_sel_sp_ind, $D279, rng_out_sel_excl_ind,"N", rng_out_post_reb_ind_yr2, 0))</f>
        <v>#VALUE!</v>
      </c>
      <c r="K279" s="195" t="e" cm="1">
        <f t="array" aca="1" ref="K279" ca="1">SUMIFS(rng_out_rx_pre_yr3,rng_out_sel_excl_yr_ind, "", rng_out_GB_Medispan, K$1,rng_out_sel_G_ind,K$1,rng_out_sel_sp_ind,$D279,rng_out_sel_excl_ind,$E279)+
SUMIFS(rng_out_rx_pre_yr3,rng_out_sel_excl_yr_ind, [1]Tables!$HN$4, rng_out_GB_Medispan, K$1,rng_out_sel_G_ind,K$1,rng_out_sel_sp_ind,$D279,rng_out_sel_excl_ind,$E279)* _xlfn.XLOOKUP([1]Tables!$HN$4,'[1]RA Output'!$AY$4:$AY$5,'[1]RA Output'!BB$4:BB$5,0)  +
SUMIFS(rng_out_rx_pre_yr3,rng_out_sel_excl_yr_ind, [1]Tables!$HN$5, rng_out_GB_Medispan, K$1,rng_out_sel_G_ind,K$1,rng_out_sel_sp_ind,$D279,rng_out_sel_excl_ind,$E279)* _xlfn.XLOOKUP([1]Tables!$HN$5,'[1]RA Output'!$AY$4:$AY$5,'[1]RA Output'!BB$4:BB$5,0)+
IF($E$280="N", 0,
SUMIFS(rng_out_rx_pre_yr3, rng_out_GB_Medispan, K$1, rng_out_sel_G_ind, K$1, rng_out_sel_sp_ind, $D279, rng_out_sel_excl_ind,"N", rng_out_post_reb_ind_yr3, 0))</f>
        <v>#VALUE!</v>
      </c>
      <c r="L279" s="195" t="e" cm="1">
        <f t="array" aca="1" ref="L279" ca="1">SUMIFS(rng_out_rx_pre_yr4,rng_out_sel_excl_yr_ind, "", rng_out_GB_Medispan, L$1,rng_out_sel_G_ind,L$1,rng_out_sel_sp_ind,$D279,rng_out_sel_excl_ind,$E279)+
SUMIFS(rng_out_rx_pre_yr4,rng_out_sel_excl_yr_ind, [1]Tables!$HN$4, rng_out_GB_Medispan, L$1,rng_out_sel_G_ind,L$1,rng_out_sel_sp_ind,$D279,rng_out_sel_excl_ind,$E279)* _xlfn.XLOOKUP([1]Tables!$HN$4,'[1]RA Output'!$AY$4:$AY$5,'[1]RA Output'!BC$4:BC$5,0)  +
SUMIFS(rng_out_rx_pre_yr4,rng_out_sel_excl_yr_ind, [1]Tables!$HN$5, rng_out_GB_Medispan, L$1,rng_out_sel_G_ind,L$1,rng_out_sel_sp_ind,$D279,rng_out_sel_excl_ind,$E279)* _xlfn.XLOOKUP([1]Tables!$HN$5,'[1]RA Output'!$AY$4:$AY$5,'[1]RA Output'!BC$4:BC$5,0)+
IF($E$280="N", 0,
SUMIFS(rng_out_rx_pre_yr4, rng_out_GB_Medispan, L$1, rng_out_sel_G_ind, L$1, rng_out_sel_sp_ind, $D279, rng_out_sel_excl_ind,"N", rng_out_post_reb_ind_yr4, 0))</f>
        <v>#VALUE!</v>
      </c>
      <c r="M279" s="222" t="e" cm="1">
        <f t="array" aca="1" ref="M279" ca="1">SUMIFS(rng_out_rx_pre_yr5,rng_out_sel_excl_yr_ind, "", rng_out_GB_Medispan, M$1,rng_out_sel_G_ind,M$1,rng_out_sel_sp_ind,$D279,rng_out_sel_excl_ind,$E279)+
SUMIFS(rng_out_rx_pre_yr5,rng_out_sel_excl_yr_ind, [1]Tables!$HN$4, rng_out_GB_Medispan, M$1,rng_out_sel_G_ind,M$1,rng_out_sel_sp_ind,$D279,rng_out_sel_excl_ind,$E279)* _xlfn.XLOOKUP([1]Tables!$HN$4,'[1]RA Output'!$AY$4:$AY$5,'[1]RA Output'!BD$4:BD$5,0)  +
SUMIFS(rng_out_rx_pre_yr5,rng_out_sel_excl_yr_ind, [1]Tables!$HN$5, rng_out_GB_Medispan, M$1,rng_out_sel_G_ind,M$1,rng_out_sel_sp_ind,$D279,rng_out_sel_excl_ind,$E279)* _xlfn.XLOOKUP([1]Tables!$HN$5,'[1]RA Output'!$AY$4:$AY$5,'[1]RA Output'!BD$4:BD$5,0)+
IF($E$280="N", 0,
SUMIFS(rng_out_rx_pre_yr5, rng_out_GB_Medispan, M$1, rng_out_sel_G_ind, M$1, rng_out_sel_sp_ind, $D279, rng_out_sel_excl_ind,"N", rng_out_post_reb_ind_yr5, 0))</f>
        <v>#VALUE!</v>
      </c>
      <c r="N279" s="203" t="e" cm="1">
        <f t="array" aca="1" ref="N279" ca="1">SUMIFS(rng_out_rx_pre_yr1,rng_out_sel_excl_yr_ind, "", rng_out_GB_Medispan, N$1,rng_out_sel_G_ind,N$1,rng_out_sel_sp_ind,$D279,rng_out_sel_excl_ind,$E279)+
SUMIFS(rng_out_rx_pre_yr1,rng_out_sel_excl_yr_ind, [1]Tables!$HN$4, rng_out_GB_Medispan, N$1,rng_out_sel_G_ind,N$1,rng_out_sel_sp_ind,$D279,rng_out_sel_excl_ind,$E279)* _xlfn.XLOOKUP([1]Tables!$HN$4,'[1]RA Output'!$AY$4:$AY$5,'[1]RA Output'!AZ$4:AZ$5,0)  +
SUMIFS(rng_out_rx_pre_yr1,rng_out_sel_excl_yr_ind, [1]Tables!$HN$5, rng_out_GB_Medispan, N$1,rng_out_sel_G_ind,N$1,rng_out_sel_sp_ind,$D279,rng_out_sel_excl_ind,$E279)* _xlfn.XLOOKUP([1]Tables!$HN$5,'[1]RA Output'!$AY$4:$AY$5,'[1]RA Output'!AZ$4:AZ$5,0)+
IF($E$280="N", 0,
SUMIFS(rng_out_rx_pre_yr1, rng_out_GB_Medispan, N$1, rng_out_sel_G_ind, N$1, rng_out_sel_sp_ind, $D279, rng_out_sel_excl_ind,"N", rng_out_post_reb_ind_yr1, 0))</f>
        <v>#VALUE!</v>
      </c>
      <c r="O279" s="195" t="e" cm="1">
        <f t="array" aca="1" ref="O279" ca="1">SUMIFS(rng_out_rx_pre_yr2,rng_out_sel_excl_yr_ind, "", rng_out_GB_Medispan, O$1,rng_out_sel_G_ind,O$1,rng_out_sel_sp_ind,$D279,rng_out_sel_excl_ind,$E279)+
SUMIFS(rng_out_rx_pre_yr2,rng_out_sel_excl_yr_ind, [1]Tables!$HN$4, rng_out_GB_Medispan, O$1,rng_out_sel_G_ind,O$1,rng_out_sel_sp_ind,$D279,rng_out_sel_excl_ind,$E279)* _xlfn.XLOOKUP([1]Tables!$HN$4,'[1]RA Output'!$AY$4:$AY$5,'[1]RA Output'!BA$4:BA$5,0)  +
SUMIFS(rng_out_rx_pre_yr2,rng_out_sel_excl_yr_ind, [1]Tables!$HN$5, rng_out_GB_Medispan, O$1,rng_out_sel_G_ind,O$1,rng_out_sel_sp_ind,$D279,rng_out_sel_excl_ind,$E279)* _xlfn.XLOOKUP([1]Tables!$HN$5,'[1]RA Output'!$AY$4:$AY$5,'[1]RA Output'!BA$4:BA$5,0)+
IF($E$280="N", 0,
SUMIFS(rng_out_rx_pre_yr2, rng_out_GB_Medispan, O$1, rng_out_sel_G_ind, O$1, rng_out_sel_sp_ind, $D279, rng_out_sel_excl_ind,"N", rng_out_post_reb_ind_yr2, 0))</f>
        <v>#VALUE!</v>
      </c>
      <c r="P279" s="195" t="e" cm="1">
        <f t="array" aca="1" ref="P279" ca="1">SUMIFS(rng_out_rx_pre_yr3,rng_out_sel_excl_yr_ind, "", rng_out_GB_Medispan, P$1,rng_out_sel_G_ind,P$1,rng_out_sel_sp_ind,$D279,rng_out_sel_excl_ind,$E279)+
SUMIFS(rng_out_rx_pre_yr3,rng_out_sel_excl_yr_ind, [1]Tables!$HN$4, rng_out_GB_Medispan, P$1,rng_out_sel_G_ind,P$1,rng_out_sel_sp_ind,$D279,rng_out_sel_excl_ind,$E279)* _xlfn.XLOOKUP([1]Tables!$HN$4,'[1]RA Output'!$AY$4:$AY$5,'[1]RA Output'!BB$4:BB$5,0)  +
SUMIFS(rng_out_rx_pre_yr3,rng_out_sel_excl_yr_ind, [1]Tables!$HN$5, rng_out_GB_Medispan, P$1,rng_out_sel_G_ind,P$1,rng_out_sel_sp_ind,$D279,rng_out_sel_excl_ind,$E279)* _xlfn.XLOOKUP([1]Tables!$HN$5,'[1]RA Output'!$AY$4:$AY$5,'[1]RA Output'!BB$4:BB$5,0)+
IF($E$280="N", 0,
SUMIFS(rng_out_rx_pre_yr3, rng_out_GB_Medispan, P$1, rng_out_sel_G_ind, P$1, rng_out_sel_sp_ind, $D279, rng_out_sel_excl_ind,"N", rng_out_post_reb_ind_yr3, 0))</f>
        <v>#VALUE!</v>
      </c>
      <c r="Q279" s="195" t="e" cm="1">
        <f t="array" aca="1" ref="Q279" ca="1">SUMIFS(rng_out_rx_pre_yr4,rng_out_sel_excl_yr_ind, "", rng_out_GB_Medispan, Q$1,rng_out_sel_G_ind,Q$1,rng_out_sel_sp_ind,$D279,rng_out_sel_excl_ind,$E279)+
SUMIFS(rng_out_rx_pre_yr4,rng_out_sel_excl_yr_ind, [1]Tables!$HN$4, rng_out_GB_Medispan, Q$1,rng_out_sel_G_ind,Q$1,rng_out_sel_sp_ind,$D279,rng_out_sel_excl_ind,$E279)* _xlfn.XLOOKUP([1]Tables!$HN$4,'[1]RA Output'!$AY$4:$AY$5,'[1]RA Output'!BC$4:BC$5,0)  +
SUMIFS(rng_out_rx_pre_yr4,rng_out_sel_excl_yr_ind, [1]Tables!$HN$5, rng_out_GB_Medispan, Q$1,rng_out_sel_G_ind,Q$1,rng_out_sel_sp_ind,$D279,rng_out_sel_excl_ind,$E279)* _xlfn.XLOOKUP([1]Tables!$HN$5,'[1]RA Output'!$AY$4:$AY$5,'[1]RA Output'!BC$4:BC$5,0)+
IF($E$280="N", 0,
SUMIFS(rng_out_rx_pre_yr4, rng_out_GB_Medispan, Q$1, rng_out_sel_G_ind, Q$1, rng_out_sel_sp_ind, $D279, rng_out_sel_excl_ind,"N", rng_out_post_reb_ind_yr4, 0))</f>
        <v>#VALUE!</v>
      </c>
      <c r="R279" s="222" t="e" cm="1">
        <f t="array" aca="1" ref="R279" ca="1">SUMIFS(rng_out_rx_pre_yr5,rng_out_sel_excl_yr_ind, "", rng_out_GB_Medispan, R$1,rng_out_sel_G_ind,R$1,rng_out_sel_sp_ind,$D279,rng_out_sel_excl_ind,$E279)+
SUMIFS(rng_out_rx_pre_yr5,rng_out_sel_excl_yr_ind, [1]Tables!$HN$4, rng_out_GB_Medispan, R$1,rng_out_sel_G_ind,R$1,rng_out_sel_sp_ind,$D279,rng_out_sel_excl_ind,$E279)* _xlfn.XLOOKUP([1]Tables!$HN$4,'[1]RA Output'!$AY$4:$AY$5,'[1]RA Output'!BD$4:BD$5,0)  +
SUMIFS(rng_out_rx_pre_yr5,rng_out_sel_excl_yr_ind, [1]Tables!$HN$5, rng_out_GB_Medispan, R$1,rng_out_sel_G_ind,R$1,rng_out_sel_sp_ind,$D279,rng_out_sel_excl_ind,$E279)* _xlfn.XLOOKUP([1]Tables!$HN$5,'[1]RA Output'!$AY$4:$AY$5,'[1]RA Output'!BD$4:BD$5,0)+
IF($E$280="N", 0,
SUMIFS(rng_out_rx_pre_yr5, rng_out_GB_Medispan, R$1, rng_out_sel_G_ind, R$1, rng_out_sel_sp_ind, $D279, rng_out_sel_excl_ind,"N", rng_out_post_reb_ind_yr5, 0))</f>
        <v>#VALUE!</v>
      </c>
      <c r="S279" s="195" t="e">
        <f t="shared" ca="1" si="276"/>
        <v>#VALUE!</v>
      </c>
      <c r="T279" s="206" t="e">
        <f t="shared" ca="1" si="276"/>
        <v>#VALUE!</v>
      </c>
      <c r="U279" s="206" t="e">
        <f t="shared" ca="1" si="276"/>
        <v>#VALUE!</v>
      </c>
      <c r="V279" s="206" t="e">
        <f t="shared" ca="1" si="276"/>
        <v>#VALUE!</v>
      </c>
      <c r="W279" s="207" t="e">
        <f t="shared" ca="1" si="276"/>
        <v>#VALUE!</v>
      </c>
      <c r="Y279" s="119" t="s">
        <v>17</v>
      </c>
      <c r="Z279" s="223">
        <f ca="1">IFERROR(I279/[1]Tables!$AT$4, 0)</f>
        <v>0</v>
      </c>
      <c r="AA279" s="224">
        <f ca="1">IFERROR(J279/[1]Tables!$AT$4, 0)</f>
        <v>0</v>
      </c>
      <c r="AB279" s="224">
        <f ca="1">IFERROR(K279/[1]Tables!$AT$4, 0)</f>
        <v>0</v>
      </c>
      <c r="AC279" s="224">
        <f ca="1">IFERROR(L279/[1]Tables!$AT$4, 0)</f>
        <v>0</v>
      </c>
      <c r="AD279" s="225">
        <f ca="1">IFERROR(M279/[1]Tables!$AT$4, 0)</f>
        <v>0</v>
      </c>
      <c r="AE279" s="223">
        <f ca="1">IFERROR(N279/[1]Tables!$AT$4, 0)</f>
        <v>0</v>
      </c>
      <c r="AF279" s="224">
        <f ca="1">IFERROR(O279/[1]Tables!$AT$4, 0)</f>
        <v>0</v>
      </c>
      <c r="AG279" s="224">
        <f ca="1">IFERROR(P279/[1]Tables!$AT$4, 0)</f>
        <v>0</v>
      </c>
      <c r="AH279" s="224">
        <f ca="1">IFERROR(Q279/[1]Tables!$AT$4, 0)</f>
        <v>0</v>
      </c>
      <c r="AI279" s="225">
        <f ca="1">IFERROR(R279/[1]Tables!$AT$4, 0)</f>
        <v>0</v>
      </c>
      <c r="AJ279" s="224">
        <f t="shared" ca="1" si="277"/>
        <v>0</v>
      </c>
      <c r="AK279" s="224">
        <f t="shared" ca="1" si="277"/>
        <v>0</v>
      </c>
      <c r="AL279" s="224">
        <f t="shared" ca="1" si="277"/>
        <v>0</v>
      </c>
      <c r="AM279" s="224">
        <f t="shared" ca="1" si="277"/>
        <v>0</v>
      </c>
      <c r="AN279" s="225">
        <f t="shared" ca="1" si="277"/>
        <v>0</v>
      </c>
      <c r="AP279" s="120" t="s">
        <v>17</v>
      </c>
      <c r="AQ279" s="226" cm="1">
        <f t="array" aca="1" ref="AQ279" ca="1">IFERROR(IF(OR(input_Shift="No", [1]Tables!$BN$4=1), 0, ((SUMIFS(INDIRECT('[1]RA Output'!AZ$1),rng_out_sel_excl_yr_ind, "", rng_out_GB_Medispan, N$1,rng_out_sel_G_ind,N$1,rng_out_sel_sp_ind,$D279,rng_out_sel_excl_ind,$E279, rng_out_MSB_excl, $F279)+
SUMIFS(INDIRECT('[1]RA Output'!AZ$1),rng_out_sel_excl_yr_ind, [1]Tables!$HN$4, rng_out_GB_Medispan, N$1,rng_out_sel_G_ind,N$1,rng_out_sel_sp_ind,$D279,rng_out_sel_excl_ind,$E279, rng_out_MSB_excl, $F279)* _xlfn.XLOOKUP([1]Tables!$HN$4,'[1]RA Output'!$AY$4:$AY$5,'[1]RA Output'!AZ$4:AZ$5,0)  +
SUMIFS(INDIRECT('[1]RA Output'!AZ$1),rng_out_sel_excl_yr_ind, [1]Tables!$HN$5, rng_out_GB_Medispan, N$1,rng_out_sel_G_ind,N$1,rng_out_sel_sp_ind,$D279,rng_out_sel_excl_ind,$E279, rng_out_MSB_excl, $F279)* _xlfn.XLOOKUP([1]Tables!$HN$5,'[1]RA Output'!$AY$4:$AY$5,'[1]RA Output'!AZ$4:AZ$5,0))/[1]Tables!$AT$4)/[1]Tables!$BN$4*(1-[1]Tables!$BN$4)), 0)
+ IFERROR((SUMIFS(INDIRECT('[1]RA Output'!AZ$1),rng_out_sel_excl_yr_ind, "", rng_out_GB_Medispan, I$1,rng_out_sel_G_ind,I$1,rng_out_sel_sp_ind,$D279,rng_out_sel_excl_ind,$E279)+
SUMIFS(INDIRECT('[1]RA Output'!AZ$1),rng_out_sel_excl_yr_ind, [1]Tables!$HN$4, rng_out_GB_Medispan, I$1,rng_out_sel_G_ind,I$1,rng_out_sel_sp_ind,$D279,rng_out_sel_excl_ind,$E279)* _xlfn.XLOOKUP([1]Tables!$HN$4,'[1]RA Output'!$AY$4:$AY$5,'[1]RA Output'!AZ$4:AZ$5,0)  +
SUMIFS(INDIRECT('[1]RA Output'!AZ$1),rng_out_sel_excl_yr_ind, [1]Tables!$HN$5, rng_out_GB_Medispan, I$1,rng_out_sel_G_ind,I$1,rng_out_sel_sp_ind,$D279,rng_out_sel_excl_ind,$E279)* _xlfn.XLOOKUP([1]Tables!$HN$5,'[1]RA Output'!$AY$4:$AY$5,'[1]RA Output'!AZ$4:AZ$5,0))/[1]Tables!$AT$4, 0)+
IF($E$280="N", 0,
IFERROR((SUMIFS(INDIRECT('[1]RA Output'!AZ$1), rng_out_GB_Medispan, I$1, rng_out_sel_G_ind, I$1, rng_out_sel_sp_ind, $D279, rng_out_sel_excl_ind,"N", INDIRECT('[1]RA Output'!EQ$1), 0))/[1]Tables!$AT$4, 0))</f>
        <v>0</v>
      </c>
      <c r="AR279" s="227" cm="1">
        <f t="array" aca="1" ref="AR279" ca="1">IFERROR(IF(OR(input_Shift="No", [1]Tables!$BN$4=1), 0, ((SUMIFS(INDIRECT('[1]RA Output'!BA$1),rng_out_sel_excl_yr_ind, "", rng_out_GB_Medispan, O$1,rng_out_sel_G_ind,O$1,rng_out_sel_sp_ind,$D279,rng_out_sel_excl_ind,$E279, rng_out_MSB_excl, $F279)+
SUMIFS(INDIRECT('[1]RA Output'!BA$1),rng_out_sel_excl_yr_ind, [1]Tables!$HN$4, rng_out_GB_Medispan, O$1,rng_out_sel_G_ind,O$1,rng_out_sel_sp_ind,$D279,rng_out_sel_excl_ind,$E279, rng_out_MSB_excl, $F279)* _xlfn.XLOOKUP([1]Tables!$HN$4,'[1]RA Output'!$AY$4:$AY$5,'[1]RA Output'!BA$4:BA$5,0)  +
SUMIFS(INDIRECT('[1]RA Output'!BA$1),rng_out_sel_excl_yr_ind, [1]Tables!$HN$5, rng_out_GB_Medispan, O$1,rng_out_sel_G_ind,O$1,rng_out_sel_sp_ind,$D279,rng_out_sel_excl_ind,$E279, rng_out_MSB_excl, $F279)* _xlfn.XLOOKUP([1]Tables!$HN$5,'[1]RA Output'!$AY$4:$AY$5,'[1]RA Output'!BA$4:BA$5,0))/[1]Tables!$AT$4)/[1]Tables!$BN$4*(1-[1]Tables!$BN$4)), 0)
+ IFERROR((SUMIFS(INDIRECT('[1]RA Output'!BA$1),rng_out_sel_excl_yr_ind, "", rng_out_GB_Medispan, J$1,rng_out_sel_G_ind,J$1,rng_out_sel_sp_ind,$D279,rng_out_sel_excl_ind,$E279)+
SUMIFS(INDIRECT('[1]RA Output'!BA$1),rng_out_sel_excl_yr_ind, [1]Tables!$HN$4, rng_out_GB_Medispan, J$1,rng_out_sel_G_ind,J$1,rng_out_sel_sp_ind,$D279,rng_out_sel_excl_ind,$E279)* _xlfn.XLOOKUP([1]Tables!$HN$4,'[1]RA Output'!$AY$4:$AY$5,'[1]RA Output'!BA$4:BA$5,0)  +
SUMIFS(INDIRECT('[1]RA Output'!BA$1),rng_out_sel_excl_yr_ind, [1]Tables!$HN$5, rng_out_GB_Medispan, J$1,rng_out_sel_G_ind,J$1,rng_out_sel_sp_ind,$D279,rng_out_sel_excl_ind,$E279)* _xlfn.XLOOKUP([1]Tables!$HN$5,'[1]RA Output'!$AY$4:$AY$5,'[1]RA Output'!BA$4:BA$5,0))/[1]Tables!$AT$4, 0)+
IF($E$280="N", 0,
IFERROR((SUMIFS(INDIRECT('[1]RA Output'!BA$1), rng_out_GB_Medispan, J$1, rng_out_sel_G_ind, J$1, rng_out_sel_sp_ind, $D279, rng_out_sel_excl_ind,"N", INDIRECT('[1]RA Output'!ER$1), 0))/[1]Tables!$AT$4, 0))</f>
        <v>0</v>
      </c>
      <c r="AS279" s="227" cm="1">
        <f t="array" aca="1" ref="AS279" ca="1">IFERROR(IF(OR(input_Shift="No", [1]Tables!$BN$4=1), 0, ((SUMIFS(INDIRECT('[1]RA Output'!BB$1),rng_out_sel_excl_yr_ind, "", rng_out_GB_Medispan, P$1,rng_out_sel_G_ind,P$1,rng_out_sel_sp_ind,$D279,rng_out_sel_excl_ind,$E279, rng_out_MSB_excl, $F279)+
SUMIFS(INDIRECT('[1]RA Output'!BB$1),rng_out_sel_excl_yr_ind, [1]Tables!$HN$4, rng_out_GB_Medispan, P$1,rng_out_sel_G_ind,P$1,rng_out_sel_sp_ind,$D279,rng_out_sel_excl_ind,$E279, rng_out_MSB_excl, $F279)* _xlfn.XLOOKUP([1]Tables!$HN$4,'[1]RA Output'!$AY$4:$AY$5,'[1]RA Output'!BB$4:BB$5,0)  +
SUMIFS(INDIRECT('[1]RA Output'!BB$1),rng_out_sel_excl_yr_ind, [1]Tables!$HN$5, rng_out_GB_Medispan, P$1,rng_out_sel_G_ind,P$1,rng_out_sel_sp_ind,$D279,rng_out_sel_excl_ind,$E279, rng_out_MSB_excl, $F279)* _xlfn.XLOOKUP([1]Tables!$HN$5,'[1]RA Output'!$AY$4:$AY$5,'[1]RA Output'!BB$4:BB$5,0))/[1]Tables!$AT$4)/[1]Tables!$BN$4*(1-[1]Tables!$BN$4)), 0)
+ IFERROR((SUMIFS(INDIRECT('[1]RA Output'!BB$1),rng_out_sel_excl_yr_ind, "", rng_out_GB_Medispan, K$1,rng_out_sel_G_ind,K$1,rng_out_sel_sp_ind,$D279,rng_out_sel_excl_ind,$E279)+
SUMIFS(INDIRECT('[1]RA Output'!BB$1),rng_out_sel_excl_yr_ind, [1]Tables!$HN$4, rng_out_GB_Medispan, K$1,rng_out_sel_G_ind,K$1,rng_out_sel_sp_ind,$D279,rng_out_sel_excl_ind,$E279)* _xlfn.XLOOKUP([1]Tables!$HN$4,'[1]RA Output'!$AY$4:$AY$5,'[1]RA Output'!BB$4:BB$5,0)  +
SUMIFS(INDIRECT('[1]RA Output'!BB$1),rng_out_sel_excl_yr_ind, [1]Tables!$HN$5, rng_out_GB_Medispan, K$1,rng_out_sel_G_ind,K$1,rng_out_sel_sp_ind,$D279,rng_out_sel_excl_ind,$E279)* _xlfn.XLOOKUP([1]Tables!$HN$5,'[1]RA Output'!$AY$4:$AY$5,'[1]RA Output'!BB$4:BB$5,0))/[1]Tables!$AT$4, 0)+
IF($E$280="N", 0,
IFERROR((SUMIFS(INDIRECT('[1]RA Output'!BB$1), rng_out_GB_Medispan, K$1, rng_out_sel_G_ind, K$1, rng_out_sel_sp_ind, $D279, rng_out_sel_excl_ind,"N", INDIRECT('[1]RA Output'!ES$1), 0))/[1]Tables!$AT$4, 0))</f>
        <v>0</v>
      </c>
      <c r="AT279" s="227" cm="1">
        <f t="array" aca="1" ref="AT279" ca="1">IFERROR(IF(OR(input_Shift="No", [1]Tables!$BN$4=1), 0, ((SUMIFS(INDIRECT('[1]RA Output'!BC$1),rng_out_sel_excl_yr_ind, "", rng_out_GB_Medispan, Q$1,rng_out_sel_G_ind,Q$1,rng_out_sel_sp_ind,$D279,rng_out_sel_excl_ind,$E279, rng_out_MSB_excl, $F279)+
SUMIFS(INDIRECT('[1]RA Output'!BC$1),rng_out_sel_excl_yr_ind, [1]Tables!$HN$4, rng_out_GB_Medispan, Q$1,rng_out_sel_G_ind,Q$1,rng_out_sel_sp_ind,$D279,rng_out_sel_excl_ind,$E279, rng_out_MSB_excl, $F279)* _xlfn.XLOOKUP([1]Tables!$HN$4,'[1]RA Output'!$AY$4:$AY$5,'[1]RA Output'!BC$4:BC$5,0)  +
SUMIFS(INDIRECT('[1]RA Output'!BC$1),rng_out_sel_excl_yr_ind, [1]Tables!$HN$5, rng_out_GB_Medispan, Q$1,rng_out_sel_G_ind,Q$1,rng_out_sel_sp_ind,$D279,rng_out_sel_excl_ind,$E279, rng_out_MSB_excl, $F279)* _xlfn.XLOOKUP([1]Tables!$HN$5,'[1]RA Output'!$AY$4:$AY$5,'[1]RA Output'!BC$4:BC$5,0))/[1]Tables!$AT$4)/[1]Tables!$BN$4*(1-[1]Tables!$BN$4)), 0)
+ IFERROR((SUMIFS(INDIRECT('[1]RA Output'!BC$1),rng_out_sel_excl_yr_ind, "", rng_out_GB_Medispan, L$1,rng_out_sel_G_ind,L$1,rng_out_sel_sp_ind,$D279,rng_out_sel_excl_ind,$E279)+
SUMIFS(INDIRECT('[1]RA Output'!BC$1),rng_out_sel_excl_yr_ind, [1]Tables!$HN$4, rng_out_GB_Medispan, L$1,rng_out_sel_G_ind,L$1,rng_out_sel_sp_ind,$D279,rng_out_sel_excl_ind,$E279)* _xlfn.XLOOKUP([1]Tables!$HN$4,'[1]RA Output'!$AY$4:$AY$5,'[1]RA Output'!BC$4:BC$5,0)  +
SUMIFS(INDIRECT('[1]RA Output'!BC$1),rng_out_sel_excl_yr_ind, [1]Tables!$HN$5, rng_out_GB_Medispan, L$1,rng_out_sel_G_ind,L$1,rng_out_sel_sp_ind,$D279,rng_out_sel_excl_ind,$E279)* _xlfn.XLOOKUP([1]Tables!$HN$5,'[1]RA Output'!$AY$4:$AY$5,'[1]RA Output'!BC$4:BC$5,0))/[1]Tables!$AT$4, 0)+
IF($E$280="N", 0,
IFERROR((SUMIFS(INDIRECT('[1]RA Output'!BC$1), rng_out_GB_Medispan, L$1, rng_out_sel_G_ind, L$1, rng_out_sel_sp_ind, $D279, rng_out_sel_excl_ind,"N", INDIRECT('[1]RA Output'!ET$1), 0))/[1]Tables!$AT$4, 0))</f>
        <v>0</v>
      </c>
      <c r="AU279" s="228" cm="1">
        <f t="array" aca="1" ref="AU279" ca="1">IFERROR(IF(OR(input_Shift="No", [1]Tables!$BN$4=1), 0, ((SUMIFS(INDIRECT('[1]RA Output'!BD$1),rng_out_sel_excl_yr_ind, "", rng_out_GB_Medispan, R$1,rng_out_sel_G_ind,R$1,rng_out_sel_sp_ind,$D279,rng_out_sel_excl_ind,$E279, rng_out_MSB_excl, $F279)+
SUMIFS(INDIRECT('[1]RA Output'!BD$1),rng_out_sel_excl_yr_ind, [1]Tables!$HN$4, rng_out_GB_Medispan, R$1,rng_out_sel_G_ind,R$1,rng_out_sel_sp_ind,$D279,rng_out_sel_excl_ind,$E279, rng_out_MSB_excl, $F279)* _xlfn.XLOOKUP([1]Tables!$HN$4,'[1]RA Output'!$AY$4:$AY$5,'[1]RA Output'!BD$4:BD$5,0)  +
SUMIFS(INDIRECT('[1]RA Output'!BD$1),rng_out_sel_excl_yr_ind, [1]Tables!$HN$5, rng_out_GB_Medispan, R$1,rng_out_sel_G_ind,R$1,rng_out_sel_sp_ind,$D279,rng_out_sel_excl_ind,$E279, rng_out_MSB_excl, $F279)* _xlfn.XLOOKUP([1]Tables!$HN$5,'[1]RA Output'!$AY$4:$AY$5,'[1]RA Output'!BD$4:BD$5,0))/[1]Tables!$AT$4)/[1]Tables!$BN$4*(1-[1]Tables!$BN$4)), 0)
+ IFERROR((SUMIFS(INDIRECT('[1]RA Output'!BD$1),rng_out_sel_excl_yr_ind, "", rng_out_GB_Medispan, M$1,rng_out_sel_G_ind,M$1,rng_out_sel_sp_ind,$D279,rng_out_sel_excl_ind,$E279)+
SUMIFS(INDIRECT('[1]RA Output'!BD$1),rng_out_sel_excl_yr_ind, [1]Tables!$HN$4, rng_out_GB_Medispan, M$1,rng_out_sel_G_ind,M$1,rng_out_sel_sp_ind,$D279,rng_out_sel_excl_ind,$E279)* _xlfn.XLOOKUP([1]Tables!$HN$4,'[1]RA Output'!$AY$4:$AY$5,'[1]RA Output'!BD$4:BD$5,0)  +
SUMIFS(INDIRECT('[1]RA Output'!BD$1),rng_out_sel_excl_yr_ind, [1]Tables!$HN$5, rng_out_GB_Medispan, M$1,rng_out_sel_G_ind,M$1,rng_out_sel_sp_ind,$D279,rng_out_sel_excl_ind,$E279)* _xlfn.XLOOKUP([1]Tables!$HN$5,'[1]RA Output'!$AY$4:$AY$5,'[1]RA Output'!BD$4:BD$5,0))/[1]Tables!$AT$4, 0)+
IF($E$280="N", 0,
IFERROR((SUMIFS(INDIRECT('[1]RA Output'!BD$1), rng_out_GB_Medispan, M$1, rng_out_sel_G_ind, M$1, rng_out_sel_sp_ind, $D279, rng_out_sel_excl_ind,"N", INDIRECT('[1]RA Output'!EU$1), 0))/[1]Tables!$AT$4, 0))</f>
        <v>0</v>
      </c>
      <c r="AV279" s="226" t="e" cm="1">
        <f t="array" aca="1" ref="AV279" ca="1">(SUMIFS(rng_out_rx_post_yr1,rng_out_sel_excl_yr_ind, "", rng_out_GB_Medispan, N$1,rng_out_sel_G_ind,N$1,rng_out_sel_sp_ind,$D279,rng_out_sel_excl_ind,$E279)+
SUMIFS(rng_out_rx_post_yr1,rng_out_sel_excl_yr_ind, [1]Tables!$HN$4, rng_out_GB_Medispan, N$1,rng_out_sel_G_ind,N$1,rng_out_sel_sp_ind,$D279,rng_out_sel_excl_ind,$E279)* _xlfn.XLOOKUP([1]Tables!$HN$4,'[1]RA Output'!$AY$4:$AY$5,'[1]RA Output'!AZ$4:AZ$5,0)  +
SUMIFS(rng_out_rx_post_yr1,rng_out_sel_excl_yr_ind, [1]Tables!$HN$5, rng_out_GB_Medispan, N$1,rng_out_sel_G_ind,N$1,rng_out_sel_sp_ind,$D279,rng_out_sel_excl_ind,$E279)* _xlfn.XLOOKUP([1]Tables!$HN$5,'[1]RA Output'!$AY$4:$AY$5,'[1]RA Output'!AZ$4:AZ$5,0))/[1]Tables!$AT$4+
IFERROR(IF($E$289="N", 0,
SUMIFS(rng_out_rx_post_yr1, rng_out_GB_Medispan, N$1, rng_out_sel_G_ind, N$1, rng_out_sel_sp_ind, $D279, rng_out_sel_excl_ind,"N", rng_out_post_reb_ind_yr1, 0)/[1]Tables!$AT$4),0)</f>
        <v>#VALUE!</v>
      </c>
      <c r="AW279" s="227" t="e" cm="1">
        <f t="array" aca="1" ref="AW279" ca="1">(SUMIFS(rng_out_rx_post_yr2,rng_out_sel_excl_yr_ind, "", rng_out_GB_Medispan, O$1,rng_out_sel_G_ind,O$1,rng_out_sel_sp_ind,$D279,rng_out_sel_excl_ind,$E279)+
SUMIFS(rng_out_rx_post_yr2,rng_out_sel_excl_yr_ind, [1]Tables!$HN$4, rng_out_GB_Medispan, O$1,rng_out_sel_G_ind,O$1,rng_out_sel_sp_ind,$D279,rng_out_sel_excl_ind,$E279)* _xlfn.XLOOKUP([1]Tables!$HN$4,'[1]RA Output'!$AY$4:$AY$5,'[1]RA Output'!BA$4:BA$5,0)  +
SUMIFS(rng_out_rx_post_yr2,rng_out_sel_excl_yr_ind, [1]Tables!$HN$5, rng_out_GB_Medispan, O$1,rng_out_sel_G_ind,O$1,rng_out_sel_sp_ind,$D279,rng_out_sel_excl_ind,$E279)* _xlfn.XLOOKUP([1]Tables!$HN$5,'[1]RA Output'!$AY$4:$AY$5,'[1]RA Output'!BA$4:BA$5,0))/[1]Tables!$AT$4+
IFERROR(IF($E$289="N", 0,
SUMIFS(rng_out_rx_post_yr2, rng_out_GB_Medispan, O$1, rng_out_sel_G_ind, O$1, rng_out_sel_sp_ind, $D279, rng_out_sel_excl_ind,"N", rng_out_post_reb_ind_yr2, 0)/[1]Tables!$AT$4),0)</f>
        <v>#VALUE!</v>
      </c>
      <c r="AX279" s="227" t="e" cm="1">
        <f t="array" aca="1" ref="AX279" ca="1">(SUMIFS(rng_out_rx_post_yr3,rng_out_sel_excl_yr_ind, "", rng_out_GB_Medispan, P$1,rng_out_sel_G_ind,P$1,rng_out_sel_sp_ind,$D279,rng_out_sel_excl_ind,$E279)+
SUMIFS(rng_out_rx_post_yr3,rng_out_sel_excl_yr_ind, [1]Tables!$HN$4, rng_out_GB_Medispan, P$1,rng_out_sel_G_ind,P$1,rng_out_sel_sp_ind,$D279,rng_out_sel_excl_ind,$E279)* _xlfn.XLOOKUP([1]Tables!$HN$4,'[1]RA Output'!$AY$4:$AY$5,'[1]RA Output'!BB$4:BB$5,0)  +
SUMIFS(rng_out_rx_post_yr3,rng_out_sel_excl_yr_ind, [1]Tables!$HN$5, rng_out_GB_Medispan, P$1,rng_out_sel_G_ind,P$1,rng_out_sel_sp_ind,$D279,rng_out_sel_excl_ind,$E279)* _xlfn.XLOOKUP([1]Tables!$HN$5,'[1]RA Output'!$AY$4:$AY$5,'[1]RA Output'!BB$4:BB$5,0))/[1]Tables!$AT$4+
IFERROR(IF($E$289="N", 0,
SUMIFS(rng_out_rx_post_yr3, rng_out_GB_Medispan, P$1, rng_out_sel_G_ind, P$1, rng_out_sel_sp_ind, $D279, rng_out_sel_excl_ind,"N", rng_out_post_reb_ind_yr3, 0)/[1]Tables!$AT$4),0)</f>
        <v>#VALUE!</v>
      </c>
      <c r="AY279" s="227" t="e" cm="1">
        <f t="array" aca="1" ref="AY279" ca="1">(SUMIFS(rng_out_rx_post_yr4,rng_out_sel_excl_yr_ind, "", rng_out_GB_Medispan, Q$1,rng_out_sel_G_ind,Q$1,rng_out_sel_sp_ind,$D279,rng_out_sel_excl_ind,$E279)+
SUMIFS(rng_out_rx_post_yr4,rng_out_sel_excl_yr_ind, [1]Tables!$HN$4, rng_out_GB_Medispan, Q$1,rng_out_sel_G_ind,Q$1,rng_out_sel_sp_ind,$D279,rng_out_sel_excl_ind,$E279)* _xlfn.XLOOKUP([1]Tables!$HN$4,'[1]RA Output'!$AY$4:$AY$5,'[1]RA Output'!BC$4:BC$5,0)  +
SUMIFS(rng_out_rx_post_yr4,rng_out_sel_excl_yr_ind, [1]Tables!$HN$5, rng_out_GB_Medispan, Q$1,rng_out_sel_G_ind,Q$1,rng_out_sel_sp_ind,$D279,rng_out_sel_excl_ind,$E279)* _xlfn.XLOOKUP([1]Tables!$HN$5,'[1]RA Output'!$AY$4:$AY$5,'[1]RA Output'!BC$4:BC$5,0))/[1]Tables!$AT$4+
IFERROR(IF($E$289="N", 0,
SUMIFS(rng_out_rx_post_yr4, rng_out_GB_Medispan, Q$1, rng_out_sel_G_ind, Q$1, rng_out_sel_sp_ind, $D279, rng_out_sel_excl_ind,"N", rng_out_post_reb_ind_yr4, 0)/[1]Tables!$AT$4),0)</f>
        <v>#VALUE!</v>
      </c>
      <c r="AZ279" s="228" t="e" cm="1">
        <f t="array" aca="1" ref="AZ279" ca="1">(SUMIFS(rng_out_rx_post_yr5,rng_out_sel_excl_yr_ind, "", rng_out_GB_Medispan, R$1,rng_out_sel_G_ind,R$1,rng_out_sel_sp_ind,$D279,rng_out_sel_excl_ind,$E279)+
SUMIFS(rng_out_rx_post_yr5,rng_out_sel_excl_yr_ind, [1]Tables!$HN$4, rng_out_GB_Medispan, R$1,rng_out_sel_G_ind,R$1,rng_out_sel_sp_ind,$D279,rng_out_sel_excl_ind,$E279)* _xlfn.XLOOKUP([1]Tables!$HN$4,'[1]RA Output'!$AY$4:$AY$5,'[1]RA Output'!BD$4:BD$5,0)  +
SUMIFS(rng_out_rx_post_yr5,rng_out_sel_excl_yr_ind, [1]Tables!$HN$5, rng_out_GB_Medispan, R$1,rng_out_sel_G_ind,R$1,rng_out_sel_sp_ind,$D279,rng_out_sel_excl_ind,$E279)* _xlfn.XLOOKUP([1]Tables!$HN$5,'[1]RA Output'!$AY$4:$AY$5,'[1]RA Output'!BD$4:BD$5,0))/[1]Tables!$AT$4+
IFERROR(IF($E$289="N", 0,
SUMIFS(rng_out_rx_post_yr5, rng_out_GB_Medispan, R$1, rng_out_sel_G_ind, R$1, rng_out_sel_sp_ind, $D279, rng_out_sel_excl_ind,"N", rng_out_post_reb_ind_yr5, 0)/[1]Tables!$AT$4),0)</f>
        <v>#VALUE!</v>
      </c>
      <c r="BA279" s="229" t="e">
        <f t="shared" ca="1" si="278"/>
        <v>#VALUE!</v>
      </c>
      <c r="BB279" s="229" t="e">
        <f t="shared" ca="1" si="278"/>
        <v>#VALUE!</v>
      </c>
      <c r="BC279" s="229" t="e">
        <f t="shared" ca="1" si="278"/>
        <v>#VALUE!</v>
      </c>
      <c r="BD279" s="229" t="e">
        <f t="shared" ca="1" si="278"/>
        <v>#VALUE!</v>
      </c>
      <c r="BE279" s="230" t="e">
        <f t="shared" ca="1" si="278"/>
        <v>#VALUE!</v>
      </c>
      <c r="BG279" s="121" t="s">
        <v>17</v>
      </c>
      <c r="BH279" s="231">
        <f t="shared" ca="1" si="279"/>
        <v>0</v>
      </c>
      <c r="BI279" s="232">
        <f t="shared" ca="1" si="279"/>
        <v>0</v>
      </c>
      <c r="BJ279" s="232">
        <f t="shared" ca="1" si="279"/>
        <v>0</v>
      </c>
      <c r="BK279" s="232">
        <f t="shared" ca="1" si="279"/>
        <v>0</v>
      </c>
      <c r="BL279" s="233">
        <f t="shared" ca="1" si="279"/>
        <v>0</v>
      </c>
      <c r="BM279" s="231" t="e">
        <f t="shared" ca="1" si="279"/>
        <v>#VALUE!</v>
      </c>
      <c r="BN279" s="232" t="e">
        <f t="shared" ca="1" si="279"/>
        <v>#VALUE!</v>
      </c>
      <c r="BO279" s="232" t="e">
        <f t="shared" ca="1" si="279"/>
        <v>#VALUE!</v>
      </c>
      <c r="BP279" s="232" t="e">
        <f t="shared" ca="1" si="279"/>
        <v>#VALUE!</v>
      </c>
      <c r="BQ279" s="233" t="e">
        <f t="shared" ca="1" si="279"/>
        <v>#VALUE!</v>
      </c>
      <c r="BR279" s="232" t="e">
        <f t="shared" ca="1" si="280"/>
        <v>#VALUE!</v>
      </c>
      <c r="BS279" s="232" t="e">
        <f t="shared" ca="1" si="280"/>
        <v>#VALUE!</v>
      </c>
      <c r="BT279" s="232" t="e">
        <f t="shared" ca="1" si="280"/>
        <v>#VALUE!</v>
      </c>
      <c r="BU279" s="232" t="e">
        <f t="shared" ca="1" si="280"/>
        <v>#VALUE!</v>
      </c>
      <c r="BV279" s="233" t="e">
        <f t="shared" ca="1" si="280"/>
        <v>#VALUE!</v>
      </c>
      <c r="BX279" s="121" t="s">
        <v>17</v>
      </c>
      <c r="BY279" s="231">
        <f t="shared" ca="1" si="281"/>
        <v>0</v>
      </c>
      <c r="BZ279" s="232">
        <f t="shared" ca="1" si="281"/>
        <v>0</v>
      </c>
      <c r="CA279" s="232">
        <f t="shared" ca="1" si="281"/>
        <v>0</v>
      </c>
      <c r="CB279" s="232">
        <f t="shared" ca="1" si="281"/>
        <v>0</v>
      </c>
      <c r="CC279" s="233">
        <f t="shared" ca="1" si="281"/>
        <v>0</v>
      </c>
      <c r="CD279" s="231" t="e">
        <f t="shared" ca="1" si="281"/>
        <v>#VALUE!</v>
      </c>
      <c r="CE279" s="232" t="e">
        <f t="shared" ca="1" si="281"/>
        <v>#VALUE!</v>
      </c>
      <c r="CF279" s="232" t="e">
        <f t="shared" ca="1" si="281"/>
        <v>#VALUE!</v>
      </c>
      <c r="CG279" s="232" t="e">
        <f t="shared" ca="1" si="281"/>
        <v>#VALUE!</v>
      </c>
      <c r="CH279" s="233" t="e">
        <f t="shared" ca="1" si="281"/>
        <v>#VALUE!</v>
      </c>
      <c r="CI279" s="232" t="e">
        <f t="shared" ca="1" si="282"/>
        <v>#VALUE!</v>
      </c>
      <c r="CJ279" s="232" t="e">
        <f t="shared" ca="1" si="282"/>
        <v>#VALUE!</v>
      </c>
      <c r="CK279" s="232" t="e">
        <f t="shared" ca="1" si="282"/>
        <v>#VALUE!</v>
      </c>
      <c r="CL279" s="232" t="e">
        <f t="shared" ca="1" si="282"/>
        <v>#VALUE!</v>
      </c>
      <c r="CM279" s="233" t="e">
        <f t="shared" ca="1" si="282"/>
        <v>#VALUE!</v>
      </c>
      <c r="CO279" s="231" cm="1">
        <f t="array" aca="1" ref="CO279" ca="1">_xlfn.SINGLE(IFERROR(SUMIFS(rng_out_rx_base, rng_out_GB_Medispan, "G", rng_out_sel_G_ind, "G", rng_out_sel_sp_ind, $D279, rng_out_sel_excl_ind,$E279)/[1]Tables!$AT$4, 0))</f>
        <v>0</v>
      </c>
      <c r="CP279" s="233" cm="1">
        <f t="array" aca="1" ref="CP279" ca="1">_xlfn.SINGLE(IFERROR(SUMIFS(rng_out_rx_base, rng_out_GB_Medispan, "B", rng_out_sel_G_ind, "B", rng_out_sel_sp_ind, $D279, rng_out_sel_excl_ind,$E279)/[1]Tables!$AT$4, 0))</f>
        <v>0</v>
      </c>
      <c r="CQ279" s="234">
        <f ca="1">SUM(CO279:CP279)</f>
        <v>0</v>
      </c>
      <c r="CR279" s="231" cm="1">
        <f t="array" aca="1" ref="CR279" ca="1">_xlfn.SINGLE(IFERROR(SUMIFS(rng_out_qty_base, rng_out_GB_Medispan, "G", rng_out_sel_G_ind, "G", rng_out_sel_sp_ind, $D279, rng_out_sel_excl_ind,$E279)/[1]Tables!$AT$4, 0))</f>
        <v>0</v>
      </c>
      <c r="CS279" s="232" cm="1">
        <f t="array" aca="1" ref="CS279" ca="1">_xlfn.SINGLE(IFERROR(SUMIFS(rng_out_qty_base, rng_out_GB_Medispan, "B", rng_out_sel_G_ind, "B", rng_out_sel_sp_ind, $D279, rng_out_sel_excl_ind,$E279)/[1]Tables!$AT$4, 0))</f>
        <v>0</v>
      </c>
      <c r="CT279" s="235">
        <f ca="1">SUM(CR279:CS279)</f>
        <v>0</v>
      </c>
      <c r="CU279" s="231" cm="1">
        <f t="array" aca="1" ref="CU279" ca="1">_xlfn.SINGLE(IFERROR(SUMIFS(rng_out_ds_base, rng_out_GB_Medispan, "G", rng_out_sel_G_ind, "G", rng_out_sel_sp_ind, $D279, rng_out_sel_excl_ind,$E279)/[1]Tables!$AT$4, 0))</f>
        <v>0</v>
      </c>
      <c r="CV279" s="233" cm="1">
        <f t="array" aca="1" ref="CV279" ca="1">_xlfn.SINGLE(IFERROR(SUMIFS(rng_out_ds_base, rng_out_GB_Medispan, "B", rng_out_sel_G_ind, "B", rng_out_sel_sp_ind, $D279, rng_out_sel_excl_ind,$E279)/[1]Tables!$AT$4, 0))</f>
        <v>0</v>
      </c>
      <c r="CW279" s="234">
        <f ca="1">SUM(CU279:CV279)</f>
        <v>0</v>
      </c>
    </row>
    <row r="280" spans="2:101" ht="15" thickBot="1" x14ac:dyDescent="0.4">
      <c r="B280" s="106"/>
      <c r="C280" s="236"/>
      <c r="D280" s="236" t="s">
        <v>29</v>
      </c>
      <c r="E280" s="237" t="str">
        <f>IF(sel_excl_nonRebatable=1, "Y", "N")</f>
        <v>N</v>
      </c>
      <c r="G280" s="106"/>
      <c r="H280" s="154" t="s">
        <v>18</v>
      </c>
      <c r="I280" s="238" t="e">
        <f t="shared" ref="I280:W280" ca="1" si="283">SUM(I276:I279)</f>
        <v>#VALUE!</v>
      </c>
      <c r="J280" s="238" t="e">
        <f t="shared" ca="1" si="283"/>
        <v>#VALUE!</v>
      </c>
      <c r="K280" s="238" t="e">
        <f t="shared" ca="1" si="283"/>
        <v>#VALUE!</v>
      </c>
      <c r="L280" s="238" t="e">
        <f t="shared" ca="1" si="283"/>
        <v>#VALUE!</v>
      </c>
      <c r="M280" s="239" t="e">
        <f t="shared" ca="1" si="283"/>
        <v>#VALUE!</v>
      </c>
      <c r="N280" s="238" t="e">
        <f t="shared" ca="1" si="283"/>
        <v>#VALUE!</v>
      </c>
      <c r="O280" s="238" t="e">
        <f t="shared" ca="1" si="283"/>
        <v>#VALUE!</v>
      </c>
      <c r="P280" s="238" t="e">
        <f t="shared" ca="1" si="283"/>
        <v>#VALUE!</v>
      </c>
      <c r="Q280" s="238" t="e">
        <f t="shared" ca="1" si="283"/>
        <v>#VALUE!</v>
      </c>
      <c r="R280" s="239" t="e">
        <f t="shared" ca="1" si="283"/>
        <v>#VALUE!</v>
      </c>
      <c r="S280" s="238" t="e">
        <f t="shared" ca="1" si="283"/>
        <v>#VALUE!</v>
      </c>
      <c r="T280" s="238" t="e">
        <f t="shared" ca="1" si="283"/>
        <v>#VALUE!</v>
      </c>
      <c r="U280" s="238" t="e">
        <f t="shared" ca="1" si="283"/>
        <v>#VALUE!</v>
      </c>
      <c r="V280" s="238" t="e">
        <f t="shared" ca="1" si="283"/>
        <v>#VALUE!</v>
      </c>
      <c r="W280" s="239" t="e">
        <f t="shared" ca="1" si="283"/>
        <v>#VALUE!</v>
      </c>
      <c r="Y280" s="159" t="s">
        <v>18</v>
      </c>
      <c r="Z280" s="240">
        <f t="shared" ref="Z280:AN280" ca="1" si="284">SUM(Z276:Z279)</f>
        <v>0</v>
      </c>
      <c r="AA280" s="241">
        <f t="shared" ca="1" si="284"/>
        <v>0</v>
      </c>
      <c r="AB280" s="241">
        <f t="shared" ca="1" si="284"/>
        <v>0</v>
      </c>
      <c r="AC280" s="241">
        <f t="shared" ca="1" si="284"/>
        <v>0</v>
      </c>
      <c r="AD280" s="242">
        <f t="shared" ca="1" si="284"/>
        <v>0</v>
      </c>
      <c r="AE280" s="240">
        <f t="shared" ca="1" si="284"/>
        <v>0</v>
      </c>
      <c r="AF280" s="241">
        <f t="shared" ca="1" si="284"/>
        <v>0</v>
      </c>
      <c r="AG280" s="241">
        <f t="shared" ca="1" si="284"/>
        <v>0</v>
      </c>
      <c r="AH280" s="241">
        <f t="shared" ca="1" si="284"/>
        <v>0</v>
      </c>
      <c r="AI280" s="242">
        <f t="shared" ca="1" si="284"/>
        <v>0</v>
      </c>
      <c r="AJ280" s="241">
        <f t="shared" ca="1" si="284"/>
        <v>0</v>
      </c>
      <c r="AK280" s="241">
        <f t="shared" ca="1" si="284"/>
        <v>0</v>
      </c>
      <c r="AL280" s="241">
        <f t="shared" ca="1" si="284"/>
        <v>0</v>
      </c>
      <c r="AM280" s="241">
        <f t="shared" ca="1" si="284"/>
        <v>0</v>
      </c>
      <c r="AN280" s="242">
        <f t="shared" ca="1" si="284"/>
        <v>0</v>
      </c>
      <c r="AP280" s="166" t="s">
        <v>18</v>
      </c>
      <c r="AQ280" s="226">
        <f ca="1">SUM(AQ276:AQ279)</f>
        <v>0</v>
      </c>
      <c r="AR280" s="227">
        <f ca="1">SUM(AR276:AR279)</f>
        <v>0</v>
      </c>
      <c r="AS280" s="227">
        <f ca="1">SUM(AS276:AS279)</f>
        <v>0</v>
      </c>
      <c r="AT280" s="227">
        <f ca="1">SUM(AT276:AT279)</f>
        <v>0</v>
      </c>
      <c r="AU280" s="228">
        <f ca="1">SUM(AU276:AU279)</f>
        <v>0</v>
      </c>
      <c r="AV280" s="226" t="e">
        <f t="shared" ref="AV280:BE280" ca="1" si="285">SUM(AV276:AV279)</f>
        <v>#VALUE!</v>
      </c>
      <c r="AW280" s="227" t="e">
        <f t="shared" ca="1" si="285"/>
        <v>#VALUE!</v>
      </c>
      <c r="AX280" s="227" t="e">
        <f t="shared" ca="1" si="285"/>
        <v>#VALUE!</v>
      </c>
      <c r="AY280" s="227" t="e">
        <f t="shared" ca="1" si="285"/>
        <v>#VALUE!</v>
      </c>
      <c r="AZ280" s="228" t="e">
        <f t="shared" ca="1" si="285"/>
        <v>#VALUE!</v>
      </c>
      <c r="BA280" s="227" t="e">
        <f t="shared" ca="1" si="285"/>
        <v>#VALUE!</v>
      </c>
      <c r="BB280" s="227" t="e">
        <f t="shared" ca="1" si="285"/>
        <v>#VALUE!</v>
      </c>
      <c r="BC280" s="227" t="e">
        <f t="shared" ca="1" si="285"/>
        <v>#VALUE!</v>
      </c>
      <c r="BD280" s="227" t="e">
        <f t="shared" ca="1" si="285"/>
        <v>#VALUE!</v>
      </c>
      <c r="BE280" s="228" t="e">
        <f t="shared" ca="1" si="285"/>
        <v>#VALUE!</v>
      </c>
      <c r="BG280" s="171" t="s">
        <v>18</v>
      </c>
      <c r="BH280" s="244">
        <f t="shared" ref="BH280:BV280" ca="1" si="286">SUM(BH276:BH279)</f>
        <v>0</v>
      </c>
      <c r="BI280" s="245">
        <f t="shared" ca="1" si="286"/>
        <v>0</v>
      </c>
      <c r="BJ280" s="245">
        <f t="shared" ca="1" si="286"/>
        <v>0</v>
      </c>
      <c r="BK280" s="245">
        <f t="shared" ca="1" si="286"/>
        <v>0</v>
      </c>
      <c r="BL280" s="234">
        <f t="shared" ca="1" si="286"/>
        <v>0</v>
      </c>
      <c r="BM280" s="244" t="e">
        <f t="shared" ca="1" si="286"/>
        <v>#VALUE!</v>
      </c>
      <c r="BN280" s="245" t="e">
        <f t="shared" ca="1" si="286"/>
        <v>#VALUE!</v>
      </c>
      <c r="BO280" s="245" t="e">
        <f t="shared" ca="1" si="286"/>
        <v>#VALUE!</v>
      </c>
      <c r="BP280" s="245" t="e">
        <f t="shared" ca="1" si="286"/>
        <v>#VALUE!</v>
      </c>
      <c r="BQ280" s="234" t="e">
        <f t="shared" ca="1" si="286"/>
        <v>#VALUE!</v>
      </c>
      <c r="BR280" s="245" t="e">
        <f t="shared" ca="1" si="286"/>
        <v>#VALUE!</v>
      </c>
      <c r="BS280" s="245" t="e">
        <f t="shared" ca="1" si="286"/>
        <v>#VALUE!</v>
      </c>
      <c r="BT280" s="245" t="e">
        <f t="shared" ca="1" si="286"/>
        <v>#VALUE!</v>
      </c>
      <c r="BU280" s="245" t="e">
        <f t="shared" ca="1" si="286"/>
        <v>#VALUE!</v>
      </c>
      <c r="BV280" s="234" t="e">
        <f t="shared" ca="1" si="286"/>
        <v>#VALUE!</v>
      </c>
      <c r="BX280" s="171" t="s">
        <v>18</v>
      </c>
      <c r="BY280" s="244">
        <f t="shared" ref="BY280:CM280" ca="1" si="287">SUM(BY276:BY279)</f>
        <v>0</v>
      </c>
      <c r="BZ280" s="245">
        <f t="shared" ca="1" si="287"/>
        <v>0</v>
      </c>
      <c r="CA280" s="245">
        <f t="shared" ca="1" si="287"/>
        <v>0</v>
      </c>
      <c r="CB280" s="245">
        <f t="shared" ca="1" si="287"/>
        <v>0</v>
      </c>
      <c r="CC280" s="234">
        <f t="shared" ca="1" si="287"/>
        <v>0</v>
      </c>
      <c r="CD280" s="244" t="e">
        <f t="shared" ca="1" si="287"/>
        <v>#VALUE!</v>
      </c>
      <c r="CE280" s="245" t="e">
        <f t="shared" ca="1" si="287"/>
        <v>#VALUE!</v>
      </c>
      <c r="CF280" s="245" t="e">
        <f t="shared" ca="1" si="287"/>
        <v>#VALUE!</v>
      </c>
      <c r="CG280" s="245" t="e">
        <f t="shared" ca="1" si="287"/>
        <v>#VALUE!</v>
      </c>
      <c r="CH280" s="234" t="e">
        <f t="shared" ca="1" si="287"/>
        <v>#VALUE!</v>
      </c>
      <c r="CI280" s="245" t="e">
        <f t="shared" ca="1" si="287"/>
        <v>#VALUE!</v>
      </c>
      <c r="CJ280" s="245" t="e">
        <f t="shared" ca="1" si="287"/>
        <v>#VALUE!</v>
      </c>
      <c r="CK280" s="245" t="e">
        <f t="shared" ca="1" si="287"/>
        <v>#VALUE!</v>
      </c>
      <c r="CL280" s="245" t="e">
        <f t="shared" ca="1" si="287"/>
        <v>#VALUE!</v>
      </c>
      <c r="CM280" s="234" t="e">
        <f t="shared" ca="1" si="287"/>
        <v>#VALUE!</v>
      </c>
      <c r="CO280" s="246">
        <f t="shared" ref="CO280:CW280" ca="1" si="288">SUM(CO276:CO279)</f>
        <v>0</v>
      </c>
      <c r="CP280" s="247">
        <f t="shared" ca="1" si="288"/>
        <v>0</v>
      </c>
      <c r="CQ280" s="247">
        <f t="shared" ca="1" si="288"/>
        <v>0</v>
      </c>
      <c r="CR280" s="246">
        <f t="shared" ca="1" si="288"/>
        <v>0</v>
      </c>
      <c r="CS280" s="248">
        <f t="shared" ca="1" si="288"/>
        <v>0</v>
      </c>
      <c r="CT280" s="249">
        <f t="shared" ca="1" si="288"/>
        <v>0</v>
      </c>
      <c r="CU280" s="246">
        <f t="shared" ca="1" si="288"/>
        <v>0</v>
      </c>
      <c r="CV280" s="247">
        <f t="shared" ca="1" si="288"/>
        <v>0</v>
      </c>
      <c r="CW280" s="247">
        <f t="shared" ca="1" si="288"/>
        <v>0</v>
      </c>
    </row>
    <row r="281" spans="2:101" ht="15" thickBot="1" x14ac:dyDescent="0.4">
      <c r="M281" s="195"/>
      <c r="N281" s="195"/>
      <c r="O281" s="195"/>
      <c r="Q281" s="195"/>
    </row>
    <row r="282" spans="2:101" ht="15" thickBot="1" x14ac:dyDescent="0.4">
      <c r="I282" s="21" t="s">
        <v>74</v>
      </c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3"/>
      <c r="Z282" s="24" t="s">
        <v>74</v>
      </c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6"/>
      <c r="AQ282" s="27" t="s">
        <v>74</v>
      </c>
      <c r="AR282" s="28"/>
      <c r="AS282" s="28"/>
      <c r="AT282" s="28"/>
      <c r="AU282" s="29"/>
      <c r="AV282" s="28"/>
      <c r="AW282" s="28"/>
      <c r="AX282" s="28"/>
      <c r="AY282" s="28"/>
      <c r="AZ282" s="28"/>
      <c r="BA282" s="28"/>
      <c r="BB282" s="28"/>
      <c r="BC282" s="28"/>
      <c r="BD282" s="28"/>
      <c r="BE282" s="30"/>
      <c r="BH282" s="31" t="s">
        <v>74</v>
      </c>
      <c r="BI282" s="32"/>
      <c r="BJ282" s="32"/>
      <c r="BK282" s="32"/>
      <c r="BL282" s="32"/>
      <c r="BM282" s="32"/>
      <c r="BN282" s="32"/>
      <c r="BO282" s="32"/>
      <c r="BP282" s="32"/>
      <c r="BQ282" s="32"/>
      <c r="BR282" s="32"/>
      <c r="BS282" s="32"/>
      <c r="BT282" s="32"/>
      <c r="BU282" s="32"/>
      <c r="BV282" s="33"/>
      <c r="BY282" s="34" t="s">
        <v>74</v>
      </c>
      <c r="BZ282" s="35"/>
      <c r="CA282" s="35"/>
      <c r="CB282" s="35"/>
      <c r="CC282" s="35"/>
      <c r="CD282" s="35"/>
      <c r="CE282" s="35"/>
      <c r="CF282" s="35"/>
      <c r="CG282" s="35"/>
      <c r="CH282" s="35"/>
      <c r="CI282" s="35"/>
      <c r="CJ282" s="35"/>
      <c r="CK282" s="35"/>
      <c r="CL282" s="35"/>
      <c r="CM282" s="36"/>
      <c r="CO282" s="196" t="str">
        <f>"Base Yr (B/G indicator of Medispan + Override) "&amp;IF(input_Annual="Yes", "Annualized", "")</f>
        <v>Base Yr (B/G indicator of Medispan + Override) Annualized</v>
      </c>
      <c r="CP282" s="197"/>
      <c r="CQ282" s="197"/>
      <c r="CR282" s="198"/>
      <c r="CS282" s="198"/>
      <c r="CT282" s="198"/>
      <c r="CU282" s="198"/>
      <c r="CV282" s="198"/>
      <c r="CW282" s="198"/>
    </row>
    <row r="283" spans="2:101" ht="15" thickBot="1" x14ac:dyDescent="0.4">
      <c r="H283" s="37"/>
      <c r="I283" s="38" t="s">
        <v>56</v>
      </c>
      <c r="J283" s="39"/>
      <c r="K283" s="39"/>
      <c r="L283" s="39"/>
      <c r="M283" s="40"/>
      <c r="N283" s="38" t="s">
        <v>57</v>
      </c>
      <c r="O283" s="39"/>
      <c r="P283" s="39"/>
      <c r="Q283" s="39"/>
      <c r="R283" s="40"/>
      <c r="S283" s="38" t="s">
        <v>18</v>
      </c>
      <c r="T283" s="39"/>
      <c r="U283" s="39"/>
      <c r="V283" s="39"/>
      <c r="W283" s="40"/>
      <c r="Z283" s="38" t="s">
        <v>56</v>
      </c>
      <c r="AA283" s="39"/>
      <c r="AB283" s="39"/>
      <c r="AC283" s="39"/>
      <c r="AD283" s="40"/>
      <c r="AE283" s="38" t="s">
        <v>57</v>
      </c>
      <c r="AF283" s="39"/>
      <c r="AG283" s="39"/>
      <c r="AH283" s="39"/>
      <c r="AI283" s="40"/>
      <c r="AJ283" s="41" t="s">
        <v>18</v>
      </c>
      <c r="AK283" s="42"/>
      <c r="AL283" s="42"/>
      <c r="AM283" s="42"/>
      <c r="AN283" s="43"/>
      <c r="AQ283" s="38" t="s">
        <v>56</v>
      </c>
      <c r="AR283" s="39"/>
      <c r="AS283" s="39"/>
      <c r="AT283" s="39"/>
      <c r="AU283" s="40"/>
      <c r="AV283" s="38" t="s">
        <v>57</v>
      </c>
      <c r="AW283" s="39"/>
      <c r="AX283" s="39"/>
      <c r="AY283" s="39"/>
      <c r="AZ283" s="40"/>
      <c r="BA283" s="45" t="s">
        <v>18</v>
      </c>
      <c r="BB283" s="45"/>
      <c r="BC283" s="45"/>
      <c r="BD283" s="45"/>
      <c r="BE283" s="46"/>
      <c r="BH283" s="38" t="s">
        <v>56</v>
      </c>
      <c r="BI283" s="39"/>
      <c r="BJ283" s="39"/>
      <c r="BK283" s="39"/>
      <c r="BL283" s="40"/>
      <c r="BM283" s="38" t="s">
        <v>57</v>
      </c>
      <c r="BN283" s="39"/>
      <c r="BO283" s="39"/>
      <c r="BP283" s="39"/>
      <c r="BQ283" s="40"/>
      <c r="BR283" s="50" t="s">
        <v>18</v>
      </c>
      <c r="BS283" s="50"/>
      <c r="BT283" s="50"/>
      <c r="BU283" s="50"/>
      <c r="BV283" s="51"/>
      <c r="BY283" s="38" t="s">
        <v>56</v>
      </c>
      <c r="BZ283" s="39"/>
      <c r="CA283" s="39"/>
      <c r="CB283" s="39"/>
      <c r="CC283" s="40"/>
      <c r="CD283" s="38" t="s">
        <v>57</v>
      </c>
      <c r="CE283" s="39"/>
      <c r="CF283" s="39"/>
      <c r="CG283" s="39"/>
      <c r="CH283" s="40"/>
      <c r="CI283" s="50" t="s">
        <v>18</v>
      </c>
      <c r="CJ283" s="50"/>
      <c r="CK283" s="50"/>
      <c r="CL283" s="50"/>
      <c r="CM283" s="51"/>
      <c r="CO283" s="199" t="s">
        <v>23</v>
      </c>
      <c r="CP283" s="200"/>
      <c r="CQ283" s="201"/>
      <c r="CR283" s="199" t="s">
        <v>27</v>
      </c>
      <c r="CS283" s="200"/>
      <c r="CT283" s="201"/>
      <c r="CU283" s="200" t="s">
        <v>8</v>
      </c>
      <c r="CV283" s="200"/>
      <c r="CW283" s="201"/>
    </row>
    <row r="284" spans="2:101" ht="29.5" thickBot="1" x14ac:dyDescent="0.4">
      <c r="H284" s="55"/>
      <c r="I284" s="56" t="str">
        <f>[1]Tables!$AA$4</f>
        <v>07/27 - 06/28</v>
      </c>
      <c r="J284" s="55" t="str">
        <f>[1]Tables!$AA$5</f>
        <v>07/28 - 06/29</v>
      </c>
      <c r="K284" s="55" t="str">
        <f>[1]Tables!$AA$6</f>
        <v>07/29 - 06/30</v>
      </c>
      <c r="L284" s="55" t="str">
        <f>[1]Tables!$AA$7</f>
        <v>07/30 - 06/31</v>
      </c>
      <c r="M284" s="57" t="str">
        <f>[1]Tables!$AA$8</f>
        <v>07/31 - 06/32</v>
      </c>
      <c r="N284" s="56" t="str">
        <f>[1]Tables!$AA$4</f>
        <v>07/27 - 06/28</v>
      </c>
      <c r="O284" s="55" t="str">
        <f>[1]Tables!$AA$5</f>
        <v>07/28 - 06/29</v>
      </c>
      <c r="P284" s="55" t="str">
        <f>[1]Tables!$AA$6</f>
        <v>07/29 - 06/30</v>
      </c>
      <c r="Q284" s="55" t="str">
        <f>[1]Tables!$AA$7</f>
        <v>07/30 - 06/31</v>
      </c>
      <c r="R284" s="57" t="str">
        <f>[1]Tables!$AA$8</f>
        <v>07/31 - 06/32</v>
      </c>
      <c r="S284" s="56" t="str">
        <f>[1]Tables!$AA$4</f>
        <v>07/27 - 06/28</v>
      </c>
      <c r="T284" s="55" t="str">
        <f>[1]Tables!$AA$5</f>
        <v>07/28 - 06/29</v>
      </c>
      <c r="U284" s="55" t="str">
        <f>[1]Tables!$AA$6</f>
        <v>07/29 - 06/30</v>
      </c>
      <c r="V284" s="55" t="str">
        <f>[1]Tables!$AA$7</f>
        <v>07/30 - 06/31</v>
      </c>
      <c r="W284" s="57" t="str">
        <f>[1]Tables!$AA$8</f>
        <v>07/31 - 06/32</v>
      </c>
      <c r="Y284" s="58"/>
      <c r="Z284" s="59" t="str">
        <f>[1]Tables!$AA$4</f>
        <v>07/27 - 06/28</v>
      </c>
      <c r="AA284" s="60" t="str">
        <f>[1]Tables!$AA$5</f>
        <v>07/28 - 06/29</v>
      </c>
      <c r="AB284" s="60" t="str">
        <f>[1]Tables!$AA$6</f>
        <v>07/29 - 06/30</v>
      </c>
      <c r="AC284" s="60" t="str">
        <f>[1]Tables!$AA$7</f>
        <v>07/30 - 06/31</v>
      </c>
      <c r="AD284" s="61" t="str">
        <f>[1]Tables!$AA$8</f>
        <v>07/31 - 06/32</v>
      </c>
      <c r="AE284" s="59" t="str">
        <f>[1]Tables!$AA$4</f>
        <v>07/27 - 06/28</v>
      </c>
      <c r="AF284" s="60" t="str">
        <f>[1]Tables!$AA$5</f>
        <v>07/28 - 06/29</v>
      </c>
      <c r="AG284" s="60" t="str">
        <f>[1]Tables!$AA$6</f>
        <v>07/29 - 06/30</v>
      </c>
      <c r="AH284" s="60" t="str">
        <f>[1]Tables!$AA$7</f>
        <v>07/30 - 06/31</v>
      </c>
      <c r="AI284" s="61" t="str">
        <f>[1]Tables!$AA$8</f>
        <v>07/31 - 06/32</v>
      </c>
      <c r="AJ284" s="59" t="str">
        <f>[1]Tables!$AA$4</f>
        <v>07/27 - 06/28</v>
      </c>
      <c r="AK284" s="60" t="str">
        <f>[1]Tables!$AA$5</f>
        <v>07/28 - 06/29</v>
      </c>
      <c r="AL284" s="60" t="str">
        <f>[1]Tables!$AA$6</f>
        <v>07/29 - 06/30</v>
      </c>
      <c r="AM284" s="60" t="str">
        <f>[1]Tables!$AA$7</f>
        <v>07/30 - 06/31</v>
      </c>
      <c r="AN284" s="61" t="str">
        <f>[1]Tables!$AA$8</f>
        <v>07/31 - 06/32</v>
      </c>
      <c r="AP284" s="58"/>
      <c r="AQ284" s="62" t="str">
        <f>[1]Tables!$AA$4</f>
        <v>07/27 - 06/28</v>
      </c>
      <c r="AR284" s="63" t="str">
        <f>[1]Tables!$AA$5</f>
        <v>07/28 - 06/29</v>
      </c>
      <c r="AS284" s="63" t="str">
        <f>[1]Tables!$AA$6</f>
        <v>07/29 - 06/30</v>
      </c>
      <c r="AT284" s="63" t="str">
        <f>[1]Tables!$AA$7</f>
        <v>07/30 - 06/31</v>
      </c>
      <c r="AU284" s="64" t="str">
        <f>[1]Tables!$AA$8</f>
        <v>07/31 - 06/32</v>
      </c>
      <c r="AV284" s="62" t="str">
        <f>[1]Tables!$AA$4</f>
        <v>07/27 - 06/28</v>
      </c>
      <c r="AW284" s="63" t="str">
        <f>[1]Tables!$AA$5</f>
        <v>07/28 - 06/29</v>
      </c>
      <c r="AX284" s="63" t="str">
        <f>[1]Tables!$AA$6</f>
        <v>07/29 - 06/30</v>
      </c>
      <c r="AY284" s="63" t="str">
        <f>[1]Tables!$AA$7</f>
        <v>07/30 - 06/31</v>
      </c>
      <c r="AZ284" s="64" t="str">
        <f>[1]Tables!$AA$8</f>
        <v>07/31 - 06/32</v>
      </c>
      <c r="BA284" s="63" t="str">
        <f>[1]Tables!$AA$4</f>
        <v>07/27 - 06/28</v>
      </c>
      <c r="BB284" s="63" t="str">
        <f>[1]Tables!$AA$5</f>
        <v>07/28 - 06/29</v>
      </c>
      <c r="BC284" s="63" t="str">
        <f>[1]Tables!$AA$6</f>
        <v>07/29 - 06/30</v>
      </c>
      <c r="BD284" s="63" t="str">
        <f>[1]Tables!$AA$7</f>
        <v>07/30 - 06/31</v>
      </c>
      <c r="BE284" s="64" t="str">
        <f>[1]Tables!$AA$8</f>
        <v>07/31 - 06/32</v>
      </c>
      <c r="BG284" s="58"/>
      <c r="BH284" s="65" t="str">
        <f>[1]Tables!$AA$4</f>
        <v>07/27 - 06/28</v>
      </c>
      <c r="BI284" s="66" t="str">
        <f>[1]Tables!$AA$5</f>
        <v>07/28 - 06/29</v>
      </c>
      <c r="BJ284" s="66" t="str">
        <f>[1]Tables!$AA$6</f>
        <v>07/29 - 06/30</v>
      </c>
      <c r="BK284" s="66" t="str">
        <f>[1]Tables!$AA$7</f>
        <v>07/30 - 06/31</v>
      </c>
      <c r="BL284" s="67" t="str">
        <f>[1]Tables!$AA$8</f>
        <v>07/31 - 06/32</v>
      </c>
      <c r="BM284" s="65" t="str">
        <f>[1]Tables!$AA$4</f>
        <v>07/27 - 06/28</v>
      </c>
      <c r="BN284" s="66" t="str">
        <f>[1]Tables!$AA$5</f>
        <v>07/28 - 06/29</v>
      </c>
      <c r="BO284" s="66" t="str">
        <f>[1]Tables!$AA$6</f>
        <v>07/29 - 06/30</v>
      </c>
      <c r="BP284" s="66" t="str">
        <f>[1]Tables!$AA$7</f>
        <v>07/30 - 06/31</v>
      </c>
      <c r="BQ284" s="67" t="str">
        <f>[1]Tables!$AA$8</f>
        <v>07/31 - 06/32</v>
      </c>
      <c r="BR284" s="66" t="str">
        <f>[1]Tables!$AA$4</f>
        <v>07/27 - 06/28</v>
      </c>
      <c r="BS284" s="66" t="str">
        <f>[1]Tables!$AA$5</f>
        <v>07/28 - 06/29</v>
      </c>
      <c r="BT284" s="66" t="str">
        <f>[1]Tables!$AA$6</f>
        <v>07/29 - 06/30</v>
      </c>
      <c r="BU284" s="66" t="str">
        <f>[1]Tables!$AA$7</f>
        <v>07/30 - 06/31</v>
      </c>
      <c r="BV284" s="67" t="str">
        <f>[1]Tables!$AA$8</f>
        <v>07/31 - 06/32</v>
      </c>
      <c r="BX284" s="58"/>
      <c r="BY284" s="65" t="str">
        <f>[1]Tables!$AA$4</f>
        <v>07/27 - 06/28</v>
      </c>
      <c r="BZ284" s="66" t="str">
        <f>[1]Tables!$AA$5</f>
        <v>07/28 - 06/29</v>
      </c>
      <c r="CA284" s="66" t="str">
        <f>[1]Tables!$AA$6</f>
        <v>07/29 - 06/30</v>
      </c>
      <c r="CB284" s="66" t="str">
        <f>[1]Tables!$AA$7</f>
        <v>07/30 - 06/31</v>
      </c>
      <c r="CC284" s="67" t="str">
        <f>[1]Tables!$AA$8</f>
        <v>07/31 - 06/32</v>
      </c>
      <c r="CD284" s="65" t="str">
        <f>[1]Tables!$AA$4</f>
        <v>07/27 - 06/28</v>
      </c>
      <c r="CE284" s="66" t="str">
        <f>[1]Tables!$AA$5</f>
        <v>07/28 - 06/29</v>
      </c>
      <c r="CF284" s="66" t="str">
        <f>[1]Tables!$AA$6</f>
        <v>07/29 - 06/30</v>
      </c>
      <c r="CG284" s="66" t="str">
        <f>[1]Tables!$AA$7</f>
        <v>07/30 - 06/31</v>
      </c>
      <c r="CH284" s="67" t="str">
        <f>[1]Tables!$AA$8</f>
        <v>07/31 - 06/32</v>
      </c>
      <c r="CI284" s="66" t="str">
        <f>[1]Tables!$AA$4</f>
        <v>07/27 - 06/28</v>
      </c>
      <c r="CJ284" s="66" t="str">
        <f>[1]Tables!$AA$5</f>
        <v>07/28 - 06/29</v>
      </c>
      <c r="CK284" s="66" t="str">
        <f>[1]Tables!$AA$6</f>
        <v>07/29 - 06/30</v>
      </c>
      <c r="CL284" s="66" t="str">
        <f>[1]Tables!$AA$7</f>
        <v>07/30 - 06/31</v>
      </c>
      <c r="CM284" s="67" t="str">
        <f>[1]Tables!$AA$8</f>
        <v>07/31 - 06/32</v>
      </c>
      <c r="CO284" s="65" t="s">
        <v>56</v>
      </c>
      <c r="CP284" s="66" t="s">
        <v>57</v>
      </c>
      <c r="CQ284" s="202" t="s">
        <v>18</v>
      </c>
      <c r="CR284" s="66" t="s">
        <v>56</v>
      </c>
      <c r="CS284" s="66" t="s">
        <v>57</v>
      </c>
      <c r="CT284" s="202" t="s">
        <v>18</v>
      </c>
      <c r="CU284" s="65" t="s">
        <v>56</v>
      </c>
      <c r="CV284" s="67" t="s">
        <v>57</v>
      </c>
      <c r="CW284" s="67" t="s">
        <v>18</v>
      </c>
    </row>
    <row r="285" spans="2:101" x14ac:dyDescent="0.35">
      <c r="B285" s="68" t="s">
        <v>11</v>
      </c>
      <c r="C285" s="69">
        <v>30</v>
      </c>
      <c r="D285" s="69" t="s">
        <v>12</v>
      </c>
      <c r="E285" s="70" t="s">
        <v>13</v>
      </c>
      <c r="F285" s="106">
        <v>1</v>
      </c>
      <c r="G285" s="106"/>
      <c r="H285" s="71" t="s">
        <v>14</v>
      </c>
      <c r="I285" s="203" t="e" cm="1">
        <f t="array" aca="1" ref="I285" ca="1">SUMIFS(rng_out_rx_pre_yr1,rng_out_sel_excl_yr_ind, "", rng_out_GB_Medispan, I$1,rng_out_sel_G_ind,N$1,rng_out_mail_ind,$B285,rng_out_ds,$C285,rng_out_sel_sp_ind,$D285,rng_out_sel_excl_ind,$E285)+
SUMIFS(rng_out_rx_pre_yr1,rng_out_sel_excl_yr_ind, [1]Tables!$HN$4, rng_out_GB_Medispan, I$1,rng_out_sel_G_ind,N$1,rng_out_mail_ind,$B285,rng_out_ds,$C285,rng_out_sel_sp_ind,$D285,rng_out_sel_excl_ind,$E285)* _xlfn.XLOOKUP([1]Tables!$HN$4,'[1]RA Output'!$AY$4:$AY$5,'[1]RA Output'!AZ$4:AZ$5,0)  +
SUMIFS(rng_out_rx_pre_yr1,rng_out_sel_excl_yr_ind, [1]Tables!$HN$5, rng_out_GB_Medispan, I$1,rng_out_sel_G_ind,N$1,rng_out_mail_ind,$B285,rng_out_ds,$C285,rng_out_sel_sp_ind,$D285,rng_out_sel_excl_ind,$E285)* _xlfn.XLOOKUP([1]Tables!$HN$5,'[1]RA Output'!$AY$4:$AY$5,'[1]RA Output'!AZ$4:AZ$5,0)+
IF($E$289="N", 0,
SUMIFS(rng_out_rx_pre_yr1, rng_out_GB_Medispan, I$1, rng_out_sel_G_ind, N$1, rng_out_mail_ind, $B285, rng_out_ds, $C285, rng_out_sel_sp_ind, $D285, rng_out_sel_excl_ind,"N", rng_out_post_reb_ind_yr1, 0))</f>
        <v>#VALUE!</v>
      </c>
      <c r="J285" s="195" t="e" cm="1">
        <f t="array" aca="1" ref="J285" ca="1">SUMIFS(rng_out_rx_pre_yr2,rng_out_sel_excl_yr_ind, "", rng_out_GB_Medispan, J$1,rng_out_sel_G_ind,O$1,rng_out_mail_ind,$B285,rng_out_ds,$C285,rng_out_sel_sp_ind,$D285,rng_out_sel_excl_ind,$E285)+
SUMIFS(rng_out_rx_pre_yr2,rng_out_sel_excl_yr_ind, [1]Tables!$HN$4, rng_out_GB_Medispan, J$1,rng_out_sel_G_ind,O$1,rng_out_mail_ind,$B285,rng_out_ds,$C285,rng_out_sel_sp_ind,$D285,rng_out_sel_excl_ind,$E285)* _xlfn.XLOOKUP([1]Tables!$HN$4,'[1]RA Output'!$AY$4:$AY$5,'[1]RA Output'!BA$4:BA$5,0)  +
SUMIFS(rng_out_rx_pre_yr2,rng_out_sel_excl_yr_ind, [1]Tables!$HN$5, rng_out_GB_Medispan, J$1,rng_out_sel_G_ind,O$1,rng_out_mail_ind,$B285,rng_out_ds,$C285,rng_out_sel_sp_ind,$D285,rng_out_sel_excl_ind,$E285)* _xlfn.XLOOKUP([1]Tables!$HN$5,'[1]RA Output'!$AY$4:$AY$5,'[1]RA Output'!BA$4:BA$5,0)+
IF($E$289="N", 0,
SUMIFS(rng_out_rx_pre_yr2, rng_out_GB_Medispan, J$1, rng_out_sel_G_ind, O$1, rng_out_mail_ind, $B285, rng_out_ds, $C285, rng_out_sel_sp_ind, $D285, rng_out_sel_excl_ind,"N", rng_out_post_reb_ind_yr2, 0))</f>
        <v>#VALUE!</v>
      </c>
      <c r="K285" s="195" t="e" cm="1">
        <f t="array" aca="1" ref="K285" ca="1">SUMIFS(rng_out_rx_pre_yr3,rng_out_sel_excl_yr_ind, "", rng_out_GB_Medispan, K$1,rng_out_sel_G_ind,P$1,rng_out_mail_ind,$B285,rng_out_ds,$C285,rng_out_sel_sp_ind,$D285,rng_out_sel_excl_ind,$E285)+
SUMIFS(rng_out_rx_pre_yr3,rng_out_sel_excl_yr_ind, [1]Tables!$HN$4, rng_out_GB_Medispan, K$1,rng_out_sel_G_ind,P$1,rng_out_mail_ind,$B285,rng_out_ds,$C285,rng_out_sel_sp_ind,$D285,rng_out_sel_excl_ind,$E285)* _xlfn.XLOOKUP([1]Tables!$HN$4,'[1]RA Output'!$AY$4:$AY$5,'[1]RA Output'!BB$4:BB$5,0)  +
SUMIFS(rng_out_rx_pre_yr3,rng_out_sel_excl_yr_ind, [1]Tables!$HN$5, rng_out_GB_Medispan, K$1,rng_out_sel_G_ind,P$1,rng_out_mail_ind,$B285,rng_out_ds,$C285,rng_out_sel_sp_ind,$D285,rng_out_sel_excl_ind,$E285)* _xlfn.XLOOKUP([1]Tables!$HN$5,'[1]RA Output'!$AY$4:$AY$5,'[1]RA Output'!BB$4:BB$5,0)+
IF($E$289="N", 0,
SUMIFS(rng_out_rx_pre_yr3, rng_out_GB_Medispan, K$1, rng_out_sel_G_ind, P$1, rng_out_mail_ind, $B285, rng_out_ds, $C285, rng_out_sel_sp_ind, $D285, rng_out_sel_excl_ind,"N", rng_out_post_reb_ind_yr3, 0))</f>
        <v>#VALUE!</v>
      </c>
      <c r="L285" s="195" t="e" cm="1">
        <f t="array" aca="1" ref="L285" ca="1">SUMIFS(rng_out_rx_pre_yr4,rng_out_sel_excl_yr_ind, "", rng_out_GB_Medispan, L$1,rng_out_sel_G_ind,Q$1,rng_out_mail_ind,$B285,rng_out_ds,$C285,rng_out_sel_sp_ind,$D285,rng_out_sel_excl_ind,$E285)+
SUMIFS(rng_out_rx_pre_yr4,rng_out_sel_excl_yr_ind, [1]Tables!$HN$4, rng_out_GB_Medispan, L$1,rng_out_sel_G_ind,Q$1,rng_out_mail_ind,$B285,rng_out_ds,$C285,rng_out_sel_sp_ind,$D285,rng_out_sel_excl_ind,$E285)* _xlfn.XLOOKUP([1]Tables!$HN$4,'[1]RA Output'!$AY$4:$AY$5,'[1]RA Output'!BC$4:BC$5,0)  +
SUMIFS(rng_out_rx_pre_yr4,rng_out_sel_excl_yr_ind, [1]Tables!$HN$5, rng_out_GB_Medispan, L$1,rng_out_sel_G_ind,Q$1,rng_out_mail_ind,$B285,rng_out_ds,$C285,rng_out_sel_sp_ind,$D285,rng_out_sel_excl_ind,$E285)* _xlfn.XLOOKUP([1]Tables!$HN$5,'[1]RA Output'!$AY$4:$AY$5,'[1]RA Output'!BC$4:BC$5,0)+
IF($E$289="N", 0,
SUMIFS(rng_out_rx_pre_yr4, rng_out_GB_Medispan, L$1, rng_out_sel_G_ind, Q$1, rng_out_mail_ind, $B285, rng_out_ds, $C285, rng_out_sel_sp_ind, $D285, rng_out_sel_excl_ind,"N", rng_out_post_reb_ind_yr4, 0))</f>
        <v>#VALUE!</v>
      </c>
      <c r="M285" s="204" t="e" cm="1">
        <f t="array" aca="1" ref="M285" ca="1">SUMIFS(rng_out_rx_pre_yr5,rng_out_sel_excl_yr_ind, "", rng_out_GB_Medispan, M$1,rng_out_sel_G_ind,R$1,rng_out_mail_ind,$B285,rng_out_ds,$C285,rng_out_sel_sp_ind,$D285,rng_out_sel_excl_ind,$E285)+
SUMIFS(rng_out_rx_pre_yr5,rng_out_sel_excl_yr_ind, [1]Tables!$HN$4, rng_out_GB_Medispan, M$1,rng_out_sel_G_ind,R$1,rng_out_mail_ind,$B285,rng_out_ds,$C285,rng_out_sel_sp_ind,$D285,rng_out_sel_excl_ind,$E285)* _xlfn.XLOOKUP([1]Tables!$HN$4,'[1]RA Output'!$AY$4:$AY$5,'[1]RA Output'!BD$4:BD$5,0)  +
SUMIFS(rng_out_rx_pre_yr5,rng_out_sel_excl_yr_ind, [1]Tables!$HN$5, rng_out_GB_Medispan, M$1,rng_out_sel_G_ind,R$1,rng_out_mail_ind,$B285,rng_out_ds,$C285,rng_out_sel_sp_ind,$D285,rng_out_sel_excl_ind,$E285)* _xlfn.XLOOKUP([1]Tables!$HN$5,'[1]RA Output'!$AY$4:$AY$5,'[1]RA Output'!BD$4:BD$5,0)+
IF($E$289="N", 0,
SUMIFS(rng_out_rx_pre_yr5, rng_out_GB_Medispan, M$1, rng_out_sel_G_ind, R$1, rng_out_mail_ind, $B285, rng_out_ds, $C285, rng_out_sel_sp_ind, $D285, rng_out_sel_excl_ind,"N", rng_out_post_reb_ind_yr5, 0))</f>
        <v>#VALUE!</v>
      </c>
      <c r="N285" s="203" t="e" cm="1">
        <f t="array" aca="1" ref="N285" ca="1">SUMIFS(rng_out_rx_pre_yr1,rng_out_sel_excl_yr_ind, "", rng_out_GB_Medispan, N$1,rng_out_sel_G_ind,I$1,rng_out_mail_ind,$B285,rng_out_ds,$C285,rng_out_sel_sp_ind,$D285,rng_out_sel_excl_ind,$E285)+
SUMIFS(rng_out_rx_pre_yr1,rng_out_sel_excl_yr_ind, [1]Tables!$HN$4, rng_out_GB_Medispan, N$1,rng_out_sel_G_ind,I$1,rng_out_mail_ind,$B285,rng_out_ds,$C285,rng_out_sel_sp_ind,$D285,rng_out_sel_excl_ind,$E285)* _xlfn.XLOOKUP([1]Tables!$HN$4,'[1]RA Output'!$AY$4:$AY$5,'[1]RA Output'!AZ$4:AZ$5,0)  +
SUMIFS(rng_out_rx_pre_yr1,rng_out_sel_excl_yr_ind, [1]Tables!$HN$5, rng_out_GB_Medispan, N$1,rng_out_sel_G_ind,I$1,rng_out_mail_ind,$B285,rng_out_ds,$C285,rng_out_sel_sp_ind,$D285,rng_out_sel_excl_ind,$E285)* _xlfn.XLOOKUP([1]Tables!$HN$5,'[1]RA Output'!$AY$4:$AY$5,'[1]RA Output'!AZ$4:AZ$5,0)+
IF($E$289="N", 0,
SUMIFS(rng_out_rx_pre_yr1, rng_out_GB_Medispan, N$1, rng_out_sel_G_ind, I$1, rng_out_mail_ind, $B285, rng_out_ds, $C285, rng_out_sel_sp_ind, $D285, rng_out_sel_excl_ind,"N", rng_out_post_reb_ind_yr1, 0))</f>
        <v>#VALUE!</v>
      </c>
      <c r="O285" s="195" t="e" cm="1">
        <f t="array" aca="1" ref="O285" ca="1">SUMIFS(rng_out_rx_pre_yr2,rng_out_sel_excl_yr_ind, "", rng_out_GB_Medispan, O$1,rng_out_sel_G_ind,J$1,rng_out_mail_ind,$B285,rng_out_ds,$C285,rng_out_sel_sp_ind,$D285,rng_out_sel_excl_ind,$E285)+
SUMIFS(rng_out_rx_pre_yr2,rng_out_sel_excl_yr_ind, [1]Tables!$HN$4, rng_out_GB_Medispan, O$1,rng_out_sel_G_ind,J$1,rng_out_mail_ind,$B285,rng_out_ds,$C285,rng_out_sel_sp_ind,$D285,rng_out_sel_excl_ind,$E285)* _xlfn.XLOOKUP([1]Tables!$HN$4,'[1]RA Output'!$AY$4:$AY$5,'[1]RA Output'!BA$4:BA$5,0)  +
SUMIFS(rng_out_rx_pre_yr2,rng_out_sel_excl_yr_ind, [1]Tables!$HN$5, rng_out_GB_Medispan, O$1,rng_out_sel_G_ind,J$1,rng_out_mail_ind,$B285,rng_out_ds,$C285,rng_out_sel_sp_ind,$D285,rng_out_sel_excl_ind,$E285)* _xlfn.XLOOKUP([1]Tables!$HN$5,'[1]RA Output'!$AY$4:$AY$5,'[1]RA Output'!BA$4:BA$5,0)+
IF($E$289="N", 0,
SUMIFS(rng_out_rx_pre_yr2, rng_out_GB_Medispan, O$1, rng_out_sel_G_ind, J$1, rng_out_mail_ind, $B285, rng_out_ds, $C285, rng_out_sel_sp_ind, $D285, rng_out_sel_excl_ind,"N", rng_out_post_reb_ind_yr2, 0))</f>
        <v>#VALUE!</v>
      </c>
      <c r="P285" s="195" t="e" cm="1">
        <f t="array" aca="1" ref="P285" ca="1">SUMIFS(rng_out_rx_pre_yr3,rng_out_sel_excl_yr_ind, "", rng_out_GB_Medispan, P$1,rng_out_sel_G_ind,K$1,rng_out_mail_ind,$B285,rng_out_ds,$C285,rng_out_sel_sp_ind,$D285,rng_out_sel_excl_ind,$E285)+
SUMIFS(rng_out_rx_pre_yr3,rng_out_sel_excl_yr_ind, [1]Tables!$HN$4, rng_out_GB_Medispan, P$1,rng_out_sel_G_ind,K$1,rng_out_mail_ind,$B285,rng_out_ds,$C285,rng_out_sel_sp_ind,$D285,rng_out_sel_excl_ind,$E285)* _xlfn.XLOOKUP([1]Tables!$HN$4,'[1]RA Output'!$AY$4:$AY$5,'[1]RA Output'!BB$4:BB$5,0)  +
SUMIFS(rng_out_rx_pre_yr3,rng_out_sel_excl_yr_ind, [1]Tables!$HN$5, rng_out_GB_Medispan, P$1,rng_out_sel_G_ind,K$1,rng_out_mail_ind,$B285,rng_out_ds,$C285,rng_out_sel_sp_ind,$D285,rng_out_sel_excl_ind,$E285)* _xlfn.XLOOKUP([1]Tables!$HN$5,'[1]RA Output'!$AY$4:$AY$5,'[1]RA Output'!BB$4:BB$5,0)+
IF($E$289="N", 0,
SUMIFS(rng_out_rx_pre_yr3, rng_out_GB_Medispan, P$1, rng_out_sel_G_ind, K$1, rng_out_mail_ind, $B285, rng_out_ds, $C285, rng_out_sel_sp_ind, $D285, rng_out_sel_excl_ind,"N", rng_out_post_reb_ind_yr3, 0))</f>
        <v>#VALUE!</v>
      </c>
      <c r="Q285" s="195" t="e" cm="1">
        <f t="array" aca="1" ref="Q285" ca="1">SUMIFS(rng_out_rx_pre_yr4,rng_out_sel_excl_yr_ind, "", rng_out_GB_Medispan, Q$1,rng_out_sel_G_ind,L$1,rng_out_mail_ind,$B285,rng_out_ds,$C285,rng_out_sel_sp_ind,$D285,rng_out_sel_excl_ind,$E285)+
SUMIFS(rng_out_rx_pre_yr4,rng_out_sel_excl_yr_ind, [1]Tables!$HN$4, rng_out_GB_Medispan, Q$1,rng_out_sel_G_ind,L$1,rng_out_mail_ind,$B285,rng_out_ds,$C285,rng_out_sel_sp_ind,$D285,rng_out_sel_excl_ind,$E285)* _xlfn.XLOOKUP([1]Tables!$HN$4,'[1]RA Output'!$AY$4:$AY$5,'[1]RA Output'!BC$4:BC$5,0)  +
SUMIFS(rng_out_rx_pre_yr4,rng_out_sel_excl_yr_ind, [1]Tables!$HN$5, rng_out_GB_Medispan, Q$1,rng_out_sel_G_ind,L$1,rng_out_mail_ind,$B285,rng_out_ds,$C285,rng_out_sel_sp_ind,$D285,rng_out_sel_excl_ind,$E285)* _xlfn.XLOOKUP([1]Tables!$HN$5,'[1]RA Output'!$AY$4:$AY$5,'[1]RA Output'!BC$4:BC$5,0)+
IF($E$289="N", 0,
SUMIFS(rng_out_rx_pre_yr4, rng_out_GB_Medispan, Q$1, rng_out_sel_G_ind, L$1, rng_out_mail_ind, $B285, rng_out_ds, $C285, rng_out_sel_sp_ind, $D285, rng_out_sel_excl_ind,"N", rng_out_post_reb_ind_yr4, 0))</f>
        <v>#VALUE!</v>
      </c>
      <c r="R285" s="204" t="e" cm="1">
        <f t="array" aca="1" ref="R285" ca="1">SUMIFS(rng_out_rx_pre_yr5,rng_out_sel_excl_yr_ind, "", rng_out_GB_Medispan, R$1,rng_out_sel_G_ind,M$1,rng_out_mail_ind,$B285,rng_out_ds,$C285,rng_out_sel_sp_ind,$D285,rng_out_sel_excl_ind,$E285)+
SUMIFS(rng_out_rx_pre_yr5,rng_out_sel_excl_yr_ind, [1]Tables!$HN$4, rng_out_GB_Medispan, R$1,rng_out_sel_G_ind,M$1,rng_out_mail_ind,$B285,rng_out_ds,$C285,rng_out_sel_sp_ind,$D285,rng_out_sel_excl_ind,$E285)* _xlfn.XLOOKUP([1]Tables!$HN$4,'[1]RA Output'!$AY$4:$AY$5,'[1]RA Output'!BD$4:BD$5,0)  +
SUMIFS(rng_out_rx_pre_yr5,rng_out_sel_excl_yr_ind, [1]Tables!$HN$5, rng_out_GB_Medispan, R$1,rng_out_sel_G_ind,M$1,rng_out_mail_ind,$B285,rng_out_ds,$C285,rng_out_sel_sp_ind,$D285,rng_out_sel_excl_ind,$E285)* _xlfn.XLOOKUP([1]Tables!$HN$5,'[1]RA Output'!$AY$4:$AY$5,'[1]RA Output'!BD$4:BD$5,0)+
IF($E$289="N", 0,
SUMIFS(rng_out_rx_pre_yr5, rng_out_GB_Medispan, R$1, rng_out_sel_G_ind, M$1, rng_out_mail_ind, $B285, rng_out_ds, $C285, rng_out_sel_sp_ind, $D285, rng_out_sel_excl_ind,"N", rng_out_post_reb_ind_yr5, 0))</f>
        <v>#VALUE!</v>
      </c>
      <c r="S285" s="205" t="e">
        <f t="shared" ref="S285:W288" ca="1" si="289">I285+N285</f>
        <v>#VALUE!</v>
      </c>
      <c r="T285" s="206" t="e">
        <f t="shared" ca="1" si="289"/>
        <v>#VALUE!</v>
      </c>
      <c r="U285" s="206" t="e">
        <f t="shared" ca="1" si="289"/>
        <v>#VALUE!</v>
      </c>
      <c r="V285" s="206" t="e">
        <f t="shared" ca="1" si="289"/>
        <v>#VALUE!</v>
      </c>
      <c r="W285" s="207" t="e">
        <f t="shared" ca="1" si="289"/>
        <v>#VALUE!</v>
      </c>
      <c r="Y285" s="77" t="s">
        <v>14</v>
      </c>
      <c r="Z285" s="208">
        <f ca="1">IFERROR(I285/[1]Tables!$AT$4, 0)</f>
        <v>0</v>
      </c>
      <c r="AA285" s="206">
        <f ca="1">IFERROR(J285/[1]Tables!$AT$4, 0)</f>
        <v>0</v>
      </c>
      <c r="AB285" s="206">
        <f ca="1">IFERROR(K285/[1]Tables!$AT$4, 0)</f>
        <v>0</v>
      </c>
      <c r="AC285" s="206">
        <f ca="1">IFERROR(L285/[1]Tables!$AT$4, 0)</f>
        <v>0</v>
      </c>
      <c r="AD285" s="209">
        <f ca="1">IFERROR(M285/[1]Tables!$AT$4, 0)</f>
        <v>0</v>
      </c>
      <c r="AE285" s="208">
        <f ca="1">IFERROR(N285/[1]Tables!$AT$4, 0)</f>
        <v>0</v>
      </c>
      <c r="AF285" s="206">
        <f ca="1">IFERROR(O285/[1]Tables!$AT$4, 0)</f>
        <v>0</v>
      </c>
      <c r="AG285" s="206">
        <f ca="1">IFERROR(P285/[1]Tables!$AT$4, 0)</f>
        <v>0</v>
      </c>
      <c r="AH285" s="206">
        <f ca="1">IFERROR(Q285/[1]Tables!$AT$4, 0)</f>
        <v>0</v>
      </c>
      <c r="AI285" s="209">
        <f ca="1">IFERROR(R285/[1]Tables!$AT$4, 0)</f>
        <v>0</v>
      </c>
      <c r="AJ285" s="208">
        <f t="shared" ref="AJ285:AN288" ca="1" si="290">Z285+AE285</f>
        <v>0</v>
      </c>
      <c r="AK285" s="206">
        <f t="shared" ca="1" si="290"/>
        <v>0</v>
      </c>
      <c r="AL285" s="206">
        <f t="shared" ca="1" si="290"/>
        <v>0</v>
      </c>
      <c r="AM285" s="206">
        <f t="shared" ca="1" si="290"/>
        <v>0</v>
      </c>
      <c r="AN285" s="209">
        <f t="shared" ca="1" si="290"/>
        <v>0</v>
      </c>
      <c r="AP285" s="83" t="s">
        <v>14</v>
      </c>
      <c r="AQ285" s="210" cm="1">
        <f t="array" aca="1" ref="AQ285" ca="1">IFERROR(IF(OR(input_Shift="No", [1]Tables!$BN$4=1), 0, ((SUMIFS(INDIRECT('[1]RA Output'!AZ$1),rng_out_sel_excl_yr_ind, "", rng_out_GB_Medispan, N$1,rng_out_sel_G_ind,I$1,rng_out_mail_ind,$B285,rng_out_ds,$C285,rng_out_sel_sp_ind,$D285,rng_out_sel_excl_ind,$E285, rng_out_MSB_excl, $F285)+
SUMIFS(INDIRECT('[1]RA Output'!AZ$1),rng_out_sel_excl_yr_ind, [1]Tables!$HN$4, rng_out_GB_Medispan, N$1,rng_out_sel_G_ind,I$1,rng_out_mail_ind,$B285,rng_out_ds,$C285,rng_out_sel_sp_ind,$D285,rng_out_sel_excl_ind,$E285, rng_out_MSB_excl, $F285)* _xlfn.XLOOKUP([1]Tables!$HN$4,'[1]RA Output'!$AY$4:$AY$5,'[1]RA Output'!AZ$4:AZ$5,0)  +
SUMIFS(INDIRECT('[1]RA Output'!AZ$1),rng_out_sel_excl_yr_ind, [1]Tables!$HN$5, rng_out_GB_Medispan, N$1,rng_out_sel_G_ind,I$1,rng_out_mail_ind,$B285,rng_out_ds,$C285,rng_out_sel_sp_ind,$D285,rng_out_sel_excl_ind,$E285, rng_out_MSB_excl, $F285)* _xlfn.XLOOKUP([1]Tables!$HN$5,'[1]RA Output'!$AY$4:$AY$5,'[1]RA Output'!AZ$4:AZ$5,0))/[1]Tables!$AT$4)/[1]Tables!$BN$4*(1-[1]Tables!$BN$4)), 0)
+ IFERROR((SUMIFS(INDIRECT('[1]RA Output'!AZ$1),rng_out_sel_excl_yr_ind, "", rng_out_GB_Medispan, I$1,rng_out_sel_G_ind,N$1,rng_out_mail_ind,$B285,rng_out_ds,$C285,rng_out_sel_sp_ind,$D285,rng_out_sel_excl_ind,$E285)+
SUMIFS(INDIRECT('[1]RA Output'!AZ$1),rng_out_sel_excl_yr_ind, [1]Tables!$HN$4, rng_out_GB_Medispan, I$1,rng_out_sel_G_ind,N$1,rng_out_mail_ind,$B285,rng_out_ds,$C285,rng_out_sel_sp_ind,$D285,rng_out_sel_excl_ind,$E285)* _xlfn.XLOOKUP([1]Tables!$HN$4,'[1]RA Output'!$AY$4:$AY$5,'[1]RA Output'!AZ$4:AZ$5,0)  +
SUMIFS(INDIRECT('[1]RA Output'!AZ$1),rng_out_sel_excl_yr_ind, [1]Tables!$HN$5, rng_out_GB_Medispan, I$1,rng_out_sel_G_ind,N$1,rng_out_mail_ind,$B285,rng_out_ds,$C285,rng_out_sel_sp_ind,$D285,rng_out_sel_excl_ind,$E285)* _xlfn.XLOOKUP([1]Tables!$HN$5,'[1]RA Output'!$AY$4:$AY$5,'[1]RA Output'!AZ$4:AZ$5,0))/[1]Tables!$AT$4, 0)+
IF($E$280="N", 0,
IFERROR((SUMIFS(INDIRECT('[1]RA Output'!AZ$1), rng_out_GB_Medispan, I$1, rng_out_sel_G_ind, N$1, rng_out_mail_ind, $B285, rng_out_ds, $C285, rng_out_sel_sp_ind, $D285, rng_out_sel_excl_ind,"N", INDIRECT('[1]RA Output'!EQ$1), 0))/[1]Tables!$AT$4, 0))</f>
        <v>0</v>
      </c>
      <c r="AR285" s="195" cm="1">
        <f t="array" aca="1" ref="AR285" ca="1">IFERROR(IF(OR(input_Shift="No", [1]Tables!$BN$4=1), 0, ((SUMIFS(INDIRECT('[1]RA Output'!BA$1),rng_out_sel_excl_yr_ind, "", rng_out_GB_Medispan, O$1,rng_out_sel_G_ind,J$1,rng_out_mail_ind,$B285,rng_out_ds,$C285,rng_out_sel_sp_ind,$D285,rng_out_sel_excl_ind,$E285, rng_out_MSB_excl, $F285)+
SUMIFS(INDIRECT('[1]RA Output'!BA$1),rng_out_sel_excl_yr_ind, [1]Tables!$HN$4, rng_out_GB_Medispan, O$1,rng_out_sel_G_ind,J$1,rng_out_mail_ind,$B285,rng_out_ds,$C285,rng_out_sel_sp_ind,$D285,rng_out_sel_excl_ind,$E285, rng_out_MSB_excl, $F285)* _xlfn.XLOOKUP([1]Tables!$HN$4,'[1]RA Output'!$AY$4:$AY$5,'[1]RA Output'!BA$4:BA$5,0)  +
SUMIFS(INDIRECT('[1]RA Output'!BA$1),rng_out_sel_excl_yr_ind, [1]Tables!$HN$5, rng_out_GB_Medispan, O$1,rng_out_sel_G_ind,J$1,rng_out_mail_ind,$B285,rng_out_ds,$C285,rng_out_sel_sp_ind,$D285,rng_out_sel_excl_ind,$E285, rng_out_MSB_excl, $F285)* _xlfn.XLOOKUP([1]Tables!$HN$5,'[1]RA Output'!$AY$4:$AY$5,'[1]RA Output'!BA$4:BA$5,0))/[1]Tables!$AT$4)/[1]Tables!$BN$4*(1-[1]Tables!$BN$4)), 0)
+ IFERROR((SUMIFS(INDIRECT('[1]RA Output'!BA$1),rng_out_sel_excl_yr_ind, "", rng_out_GB_Medispan, J$1,rng_out_sel_G_ind,O$1,rng_out_mail_ind,$B285,rng_out_ds,$C285,rng_out_sel_sp_ind,$D285,rng_out_sel_excl_ind,$E285)+
SUMIFS(INDIRECT('[1]RA Output'!BA$1),rng_out_sel_excl_yr_ind, [1]Tables!$HN$4, rng_out_GB_Medispan, J$1,rng_out_sel_G_ind,O$1,rng_out_mail_ind,$B285,rng_out_ds,$C285,rng_out_sel_sp_ind,$D285,rng_out_sel_excl_ind,$E285)* _xlfn.XLOOKUP([1]Tables!$HN$4,'[1]RA Output'!$AY$4:$AY$5,'[1]RA Output'!BA$4:BA$5,0)  +
SUMIFS(INDIRECT('[1]RA Output'!BA$1),rng_out_sel_excl_yr_ind, [1]Tables!$HN$5, rng_out_GB_Medispan, J$1,rng_out_sel_G_ind,O$1,rng_out_mail_ind,$B285,rng_out_ds,$C285,rng_out_sel_sp_ind,$D285,rng_out_sel_excl_ind,$E285)* _xlfn.XLOOKUP([1]Tables!$HN$5,'[1]RA Output'!$AY$4:$AY$5,'[1]RA Output'!BA$4:BA$5,0))/[1]Tables!$AT$4, 0)+
IF($E$280="N", 0,
IFERROR((SUMIFS(INDIRECT('[1]RA Output'!BA$1), rng_out_GB_Medispan, J$1, rng_out_sel_G_ind, O$1, rng_out_mail_ind, $B285, rng_out_ds, $C285, rng_out_sel_sp_ind, $D285, rng_out_sel_excl_ind,"N", INDIRECT('[1]RA Output'!ER$1), 0))/[1]Tables!$AT$4, 0))</f>
        <v>0</v>
      </c>
      <c r="AS285" s="195" cm="1">
        <f t="array" aca="1" ref="AS285" ca="1">IFERROR(IF(OR(input_Shift="No", [1]Tables!$BN$4=1), 0, ((SUMIFS(INDIRECT('[1]RA Output'!BB$1),rng_out_sel_excl_yr_ind, "", rng_out_GB_Medispan, P$1,rng_out_sel_G_ind,K$1,rng_out_mail_ind,$B285,rng_out_ds,$C285,rng_out_sel_sp_ind,$D285,rng_out_sel_excl_ind,$E285, rng_out_MSB_excl, $F285)+
SUMIFS(INDIRECT('[1]RA Output'!BB$1),rng_out_sel_excl_yr_ind, [1]Tables!$HN$4, rng_out_GB_Medispan, P$1,rng_out_sel_G_ind,K$1,rng_out_mail_ind,$B285,rng_out_ds,$C285,rng_out_sel_sp_ind,$D285,rng_out_sel_excl_ind,$E285, rng_out_MSB_excl, $F285)* _xlfn.XLOOKUP([1]Tables!$HN$4,'[1]RA Output'!$AY$4:$AY$5,'[1]RA Output'!BB$4:BB$5,0)  +
SUMIFS(INDIRECT('[1]RA Output'!BB$1),rng_out_sel_excl_yr_ind, [1]Tables!$HN$5, rng_out_GB_Medispan, P$1,rng_out_sel_G_ind,K$1,rng_out_mail_ind,$B285,rng_out_ds,$C285,rng_out_sel_sp_ind,$D285,rng_out_sel_excl_ind,$E285, rng_out_MSB_excl, $F285)* _xlfn.XLOOKUP([1]Tables!$HN$5,'[1]RA Output'!$AY$4:$AY$5,'[1]RA Output'!BB$4:BB$5,0))/[1]Tables!$AT$4)/[1]Tables!$BN$4*(1-[1]Tables!$BN$4)), 0)
+ IFERROR((SUMIFS(INDIRECT('[1]RA Output'!BB$1),rng_out_sel_excl_yr_ind, "", rng_out_GB_Medispan, K$1,rng_out_sel_G_ind,P$1,rng_out_mail_ind,$B285,rng_out_ds,$C285,rng_out_sel_sp_ind,$D285,rng_out_sel_excl_ind,$E285)+
SUMIFS(INDIRECT('[1]RA Output'!BB$1),rng_out_sel_excl_yr_ind, [1]Tables!$HN$4, rng_out_GB_Medispan, K$1,rng_out_sel_G_ind,P$1,rng_out_mail_ind,$B285,rng_out_ds,$C285,rng_out_sel_sp_ind,$D285,rng_out_sel_excl_ind,$E285)* _xlfn.XLOOKUP([1]Tables!$HN$4,'[1]RA Output'!$AY$4:$AY$5,'[1]RA Output'!BB$4:BB$5,0)  +
SUMIFS(INDIRECT('[1]RA Output'!BB$1),rng_out_sel_excl_yr_ind, [1]Tables!$HN$5, rng_out_GB_Medispan, K$1,rng_out_sel_G_ind,P$1,rng_out_mail_ind,$B285,rng_out_ds,$C285,rng_out_sel_sp_ind,$D285,rng_out_sel_excl_ind,$E285)* _xlfn.XLOOKUP([1]Tables!$HN$5,'[1]RA Output'!$AY$4:$AY$5,'[1]RA Output'!BB$4:BB$5,0))/[1]Tables!$AT$4, 0)+
IF($E$280="N", 0,
IFERROR((SUMIFS(INDIRECT('[1]RA Output'!BB$1), rng_out_GB_Medispan, K$1, rng_out_sel_G_ind, P$1, rng_out_mail_ind, $B285, rng_out_ds, $C285, rng_out_sel_sp_ind, $D285, rng_out_sel_excl_ind,"N", INDIRECT('[1]RA Output'!ES$1), 0))/[1]Tables!$AT$4, 0))</f>
        <v>0</v>
      </c>
      <c r="AT285" s="195" cm="1">
        <f t="array" aca="1" ref="AT285" ca="1">IFERROR(IF(OR(input_Shift="No", [1]Tables!$BN$4=1), 0, ((SUMIFS(INDIRECT('[1]RA Output'!BC$1),rng_out_sel_excl_yr_ind, "", rng_out_GB_Medispan, Q$1,rng_out_sel_G_ind,L$1,rng_out_mail_ind,$B285,rng_out_ds,$C285,rng_out_sel_sp_ind,$D285,rng_out_sel_excl_ind,$E285, rng_out_MSB_excl, $F285)+
SUMIFS(INDIRECT('[1]RA Output'!BC$1),rng_out_sel_excl_yr_ind, [1]Tables!$HN$4, rng_out_GB_Medispan, Q$1,rng_out_sel_G_ind,L$1,rng_out_mail_ind,$B285,rng_out_ds,$C285,rng_out_sel_sp_ind,$D285,rng_out_sel_excl_ind,$E285, rng_out_MSB_excl, $F285)* _xlfn.XLOOKUP([1]Tables!$HN$4,'[1]RA Output'!$AY$4:$AY$5,'[1]RA Output'!BC$4:BC$5,0)  +
SUMIFS(INDIRECT('[1]RA Output'!BC$1),rng_out_sel_excl_yr_ind, [1]Tables!$HN$5, rng_out_GB_Medispan, Q$1,rng_out_sel_G_ind,L$1,rng_out_mail_ind,$B285,rng_out_ds,$C285,rng_out_sel_sp_ind,$D285,rng_out_sel_excl_ind,$E285, rng_out_MSB_excl, $F285)* _xlfn.XLOOKUP([1]Tables!$HN$5,'[1]RA Output'!$AY$4:$AY$5,'[1]RA Output'!BC$4:BC$5,0))/[1]Tables!$AT$4)/[1]Tables!$BN$4*(1-[1]Tables!$BN$4)), 0)
+ IFERROR((SUMIFS(INDIRECT('[1]RA Output'!BC$1),rng_out_sel_excl_yr_ind, "", rng_out_GB_Medispan, L$1,rng_out_sel_G_ind,Q$1,rng_out_mail_ind,$B285,rng_out_ds,$C285,rng_out_sel_sp_ind,$D285,rng_out_sel_excl_ind,$E285)+
SUMIFS(INDIRECT('[1]RA Output'!BC$1),rng_out_sel_excl_yr_ind, [1]Tables!$HN$4, rng_out_GB_Medispan, L$1,rng_out_sel_G_ind,Q$1,rng_out_mail_ind,$B285,rng_out_ds,$C285,rng_out_sel_sp_ind,$D285,rng_out_sel_excl_ind,$E285)* _xlfn.XLOOKUP([1]Tables!$HN$4,'[1]RA Output'!$AY$4:$AY$5,'[1]RA Output'!BC$4:BC$5,0)  +
SUMIFS(INDIRECT('[1]RA Output'!BC$1),rng_out_sel_excl_yr_ind, [1]Tables!$HN$5, rng_out_GB_Medispan, L$1,rng_out_sel_G_ind,Q$1,rng_out_mail_ind,$B285,rng_out_ds,$C285,rng_out_sel_sp_ind,$D285,rng_out_sel_excl_ind,$E285)* _xlfn.XLOOKUP([1]Tables!$HN$5,'[1]RA Output'!$AY$4:$AY$5,'[1]RA Output'!BC$4:BC$5,0))/[1]Tables!$AT$4, 0)+
IF($E$280="N", 0,
IFERROR((SUMIFS(INDIRECT('[1]RA Output'!BC$1), rng_out_GB_Medispan, L$1, rng_out_sel_G_ind, Q$1, rng_out_mail_ind, $B285, rng_out_ds, $C285, rng_out_sel_sp_ind, $D285, rng_out_sel_excl_ind,"N", INDIRECT('[1]RA Output'!ET$1), 0))/[1]Tables!$AT$4, 0))</f>
        <v>0</v>
      </c>
      <c r="AU285" s="211" cm="1">
        <f t="array" aca="1" ref="AU285" ca="1">IFERROR(IF(OR(input_Shift="No", [1]Tables!$BN$4=1), 0, ((SUMIFS(INDIRECT('[1]RA Output'!BD$1),rng_out_sel_excl_yr_ind, "", rng_out_GB_Medispan, R$1,rng_out_sel_G_ind,M$1,rng_out_mail_ind,$B285,rng_out_ds,$C285,rng_out_sel_sp_ind,$D285,rng_out_sel_excl_ind,$E285, rng_out_MSB_excl, $F285)+
SUMIFS(INDIRECT('[1]RA Output'!BD$1),rng_out_sel_excl_yr_ind, [1]Tables!$HN$4, rng_out_GB_Medispan, R$1,rng_out_sel_G_ind,M$1,rng_out_mail_ind,$B285,rng_out_ds,$C285,rng_out_sel_sp_ind,$D285,rng_out_sel_excl_ind,$E285, rng_out_MSB_excl, $F285)* _xlfn.XLOOKUP([1]Tables!$HN$4,'[1]RA Output'!$AY$4:$AY$5,'[1]RA Output'!BD$4:BD$5,0)  +
SUMIFS(INDIRECT('[1]RA Output'!BD$1),rng_out_sel_excl_yr_ind, [1]Tables!$HN$5, rng_out_GB_Medispan, R$1,rng_out_sel_G_ind,M$1,rng_out_mail_ind,$B285,rng_out_ds,$C285,rng_out_sel_sp_ind,$D285,rng_out_sel_excl_ind,$E285, rng_out_MSB_excl, $F285)* _xlfn.XLOOKUP([1]Tables!$HN$5,'[1]RA Output'!$AY$4:$AY$5,'[1]RA Output'!BD$4:BD$5,0))/[1]Tables!$AT$4)/[1]Tables!$BN$4*(1-[1]Tables!$BN$4)), 0)
+ IFERROR((SUMIFS(INDIRECT('[1]RA Output'!BD$1),rng_out_sel_excl_yr_ind, "", rng_out_GB_Medispan, M$1,rng_out_sel_G_ind,R$1,rng_out_mail_ind,$B285,rng_out_ds,$C285,rng_out_sel_sp_ind,$D285,rng_out_sel_excl_ind,$E285)+
SUMIFS(INDIRECT('[1]RA Output'!BD$1),rng_out_sel_excl_yr_ind, [1]Tables!$HN$4, rng_out_GB_Medispan, M$1,rng_out_sel_G_ind,R$1,rng_out_mail_ind,$B285,rng_out_ds,$C285,rng_out_sel_sp_ind,$D285,rng_out_sel_excl_ind,$E285)* _xlfn.XLOOKUP([1]Tables!$HN$4,'[1]RA Output'!$AY$4:$AY$5,'[1]RA Output'!BD$4:BD$5,0)  +
SUMIFS(INDIRECT('[1]RA Output'!BD$1),rng_out_sel_excl_yr_ind, [1]Tables!$HN$5, rng_out_GB_Medispan, M$1,rng_out_sel_G_ind,R$1,rng_out_mail_ind,$B285,rng_out_ds,$C285,rng_out_sel_sp_ind,$D285,rng_out_sel_excl_ind,$E285)* _xlfn.XLOOKUP([1]Tables!$HN$5,'[1]RA Output'!$AY$4:$AY$5,'[1]RA Output'!BD$4:BD$5,0))/[1]Tables!$AT$4, 0)+
IF($E$280="N", 0,
IFERROR((SUMIFS(INDIRECT('[1]RA Output'!BD$1), rng_out_GB_Medispan, M$1, rng_out_sel_G_ind, R$1, rng_out_mail_ind, $B285, rng_out_ds, $C285, rng_out_sel_sp_ind, $D285, rng_out_sel_excl_ind,"N", INDIRECT('[1]RA Output'!EU$1), 0))/[1]Tables!$AT$4, 0))</f>
        <v>0</v>
      </c>
      <c r="AV285" s="210" t="e" cm="1">
        <f t="array" aca="1" ref="AV285" ca="1">(SUMIFS(rng_out_rx_post_yr1,rng_out_sel_excl_yr_ind, "", rng_out_GB_Medispan, N$1,rng_out_sel_G_ind,I$1,rng_out_mail_ind,$B285,rng_out_ds,$C285,rng_out_sel_sp_ind,$D285,rng_out_sel_excl_ind,$E285)+
SUMIFS(rng_out_rx_post_yr1,rng_out_sel_excl_yr_ind, [1]Tables!$HN$4, rng_out_GB_Medispan, N$1,rng_out_sel_G_ind,I$1,rng_out_mail_ind,$B285,rng_out_ds,$C285,rng_out_sel_sp_ind,$D285,rng_out_sel_excl_ind,$E285)* _xlfn.XLOOKUP([1]Tables!$HN$4,'[1]RA Output'!$AY$4:$AY$5,'[1]RA Output'!AZ$4:AZ$5,0)  +
SUMIFS(rng_out_rx_post_yr1,rng_out_sel_excl_yr_ind, [1]Tables!$HN$5, rng_out_GB_Medispan, N$1,rng_out_sel_G_ind,I$1,rng_out_mail_ind,$B285,rng_out_ds,$C285,rng_out_sel_sp_ind,$D285,rng_out_sel_excl_ind,$E285)* _xlfn.XLOOKUP([1]Tables!$HN$5,'[1]RA Output'!$AY$4:$AY$5,'[1]RA Output'!AZ$4:AZ$5,0))/[1]Tables!$AT$4+
IFERROR(IF($E$289="N", 0,
SUMIFS(rng_out_rx_post_yr1, rng_out_GB_Medispan, N$1, rng_out_sel_G_ind, I$1, rng_out_mail_ind, $B285, rng_out_ds, $C285, rng_out_sel_sp_ind, $D285, rng_out_sel_excl_ind,"N", rng_out_post_reb_ind_yr1, 0)/[1]Tables!$AT$4),0)</f>
        <v>#VALUE!</v>
      </c>
      <c r="AW285" s="195" t="e" cm="1">
        <f t="array" aca="1" ref="AW285" ca="1">(SUMIFS(rng_out_rx_post_yr2,rng_out_sel_excl_yr_ind, "", rng_out_GB_Medispan, O$1,rng_out_sel_G_ind,J$1,rng_out_mail_ind,$B285,rng_out_ds,$C285,rng_out_sel_sp_ind,$D285,rng_out_sel_excl_ind,$E285)+
SUMIFS(rng_out_rx_post_yr2,rng_out_sel_excl_yr_ind, [1]Tables!$HN$4, rng_out_GB_Medispan, O$1,rng_out_sel_G_ind,J$1,rng_out_mail_ind,$B285,rng_out_ds,$C285,rng_out_sel_sp_ind,$D285,rng_out_sel_excl_ind,$E285)* _xlfn.XLOOKUP([1]Tables!$HN$4,'[1]RA Output'!$AY$4:$AY$5,'[1]RA Output'!BA$4:BA$5,0)  +
SUMIFS(rng_out_rx_post_yr2,rng_out_sel_excl_yr_ind, [1]Tables!$HN$5, rng_out_GB_Medispan, O$1,rng_out_sel_G_ind,J$1,rng_out_mail_ind,$B285,rng_out_ds,$C285,rng_out_sel_sp_ind,$D285,rng_out_sel_excl_ind,$E285)* _xlfn.XLOOKUP([1]Tables!$HN$5,'[1]RA Output'!$AY$4:$AY$5,'[1]RA Output'!BA$4:BA$5,0))/[1]Tables!$AT$4+
IFERROR(IF($E$289="N", 0,
SUMIFS(rng_out_rx_post_yr2, rng_out_GB_Medispan, O$1, rng_out_sel_G_ind, J$1, rng_out_mail_ind, $B285, rng_out_ds, $C285, rng_out_sel_sp_ind, $D285, rng_out_sel_excl_ind,"N", rng_out_post_reb_ind_yr2, 0)/[1]Tables!$AT$4),0)</f>
        <v>#VALUE!</v>
      </c>
      <c r="AX285" s="195" t="e" cm="1">
        <f t="array" aca="1" ref="AX285" ca="1">(SUMIFS(rng_out_rx_post_yr3,rng_out_sel_excl_yr_ind, "", rng_out_GB_Medispan, P$1,rng_out_sel_G_ind,K$1,rng_out_mail_ind,$B285,rng_out_ds,$C285,rng_out_sel_sp_ind,$D285,rng_out_sel_excl_ind,$E285)+
SUMIFS(rng_out_rx_post_yr3,rng_out_sel_excl_yr_ind, [1]Tables!$HN$4, rng_out_GB_Medispan, P$1,rng_out_sel_G_ind,K$1,rng_out_mail_ind,$B285,rng_out_ds,$C285,rng_out_sel_sp_ind,$D285,rng_out_sel_excl_ind,$E285)* _xlfn.XLOOKUP([1]Tables!$HN$4,'[1]RA Output'!$AY$4:$AY$5,'[1]RA Output'!BB$4:BB$5,0)  +
SUMIFS(rng_out_rx_post_yr3,rng_out_sel_excl_yr_ind, [1]Tables!$HN$5, rng_out_GB_Medispan, P$1,rng_out_sel_G_ind,K$1,rng_out_mail_ind,$B285,rng_out_ds,$C285,rng_out_sel_sp_ind,$D285,rng_out_sel_excl_ind,$E285)* _xlfn.XLOOKUP([1]Tables!$HN$5,'[1]RA Output'!$AY$4:$AY$5,'[1]RA Output'!BB$4:BB$5,0))/[1]Tables!$AT$4+
IFERROR(IF($E$289="N", 0,
SUMIFS(rng_out_rx_post_yr3, rng_out_GB_Medispan, P$1, rng_out_sel_G_ind, K$1, rng_out_mail_ind, $B285, rng_out_ds, $C285, rng_out_sel_sp_ind, $D285, rng_out_sel_excl_ind,"N", rng_out_post_reb_ind_yr3, 0)/[1]Tables!$AT$4),0)</f>
        <v>#VALUE!</v>
      </c>
      <c r="AY285" s="195" t="e" cm="1">
        <f t="array" aca="1" ref="AY285" ca="1">(SUMIFS(rng_out_rx_post_yr4,rng_out_sel_excl_yr_ind, "", rng_out_GB_Medispan, Q$1,rng_out_sel_G_ind,L$1,rng_out_mail_ind,$B285,rng_out_ds,$C285,rng_out_sel_sp_ind,$D285,rng_out_sel_excl_ind,$E285)+
SUMIFS(rng_out_rx_post_yr4,rng_out_sel_excl_yr_ind, [1]Tables!$HN$4, rng_out_GB_Medispan, Q$1,rng_out_sel_G_ind,L$1,rng_out_mail_ind,$B285,rng_out_ds,$C285,rng_out_sel_sp_ind,$D285,rng_out_sel_excl_ind,$E285)* _xlfn.XLOOKUP([1]Tables!$HN$4,'[1]RA Output'!$AY$4:$AY$5,'[1]RA Output'!BC$4:BC$5,0)  +
SUMIFS(rng_out_rx_post_yr4,rng_out_sel_excl_yr_ind, [1]Tables!$HN$5, rng_out_GB_Medispan, Q$1,rng_out_sel_G_ind,L$1,rng_out_mail_ind,$B285,rng_out_ds,$C285,rng_out_sel_sp_ind,$D285,rng_out_sel_excl_ind,$E285)* _xlfn.XLOOKUP([1]Tables!$HN$5,'[1]RA Output'!$AY$4:$AY$5,'[1]RA Output'!BC$4:BC$5,0))/[1]Tables!$AT$4+
IFERROR(IF($E$289="N", 0,
SUMIFS(rng_out_rx_post_yr4, rng_out_GB_Medispan, Q$1, rng_out_sel_G_ind, L$1, rng_out_mail_ind, $B285, rng_out_ds, $C285, rng_out_sel_sp_ind, $D285, rng_out_sel_excl_ind,"N", rng_out_post_reb_ind_yr4, 0)/[1]Tables!$AT$4),0)</f>
        <v>#VALUE!</v>
      </c>
      <c r="AZ285" s="211" t="e" cm="1">
        <f t="array" aca="1" ref="AZ285" ca="1">(SUMIFS(rng_out_rx_post_yr5,rng_out_sel_excl_yr_ind, "", rng_out_GB_Medispan, R$1,rng_out_sel_G_ind,M$1,rng_out_mail_ind,$B285,rng_out_ds,$C285,rng_out_sel_sp_ind,$D285,rng_out_sel_excl_ind,$E285)+
SUMIFS(rng_out_rx_post_yr5,rng_out_sel_excl_yr_ind, [1]Tables!$HN$4, rng_out_GB_Medispan, R$1,rng_out_sel_G_ind,M$1,rng_out_mail_ind,$B285,rng_out_ds,$C285,rng_out_sel_sp_ind,$D285,rng_out_sel_excl_ind,$E285)* _xlfn.XLOOKUP([1]Tables!$HN$4,'[1]RA Output'!$AY$4:$AY$5,'[1]RA Output'!BD$4:BD$5,0)  +
SUMIFS(rng_out_rx_post_yr5,rng_out_sel_excl_yr_ind, [1]Tables!$HN$5, rng_out_GB_Medispan, R$1,rng_out_sel_G_ind,M$1,rng_out_mail_ind,$B285,rng_out_ds,$C285,rng_out_sel_sp_ind,$D285,rng_out_sel_excl_ind,$E285)* _xlfn.XLOOKUP([1]Tables!$HN$5,'[1]RA Output'!$AY$4:$AY$5,'[1]RA Output'!BD$4:BD$5,0))/[1]Tables!$AT$4+
IFERROR(IF($E$289="N", 0,
SUMIFS(rng_out_rx_post_yr5, rng_out_GB_Medispan, R$1, rng_out_sel_G_ind, M$1, rng_out_mail_ind, $B285, rng_out_ds, $C285, rng_out_sel_sp_ind, $D285, rng_out_sel_excl_ind,"N", rng_out_post_reb_ind_yr5, 0)/[1]Tables!$AT$4),0)</f>
        <v>#VALUE!</v>
      </c>
      <c r="BA285" s="206" t="e">
        <f t="shared" ref="BA285:BE288" ca="1" si="291">AQ285+AV285</f>
        <v>#VALUE!</v>
      </c>
      <c r="BB285" s="206" t="e">
        <f t="shared" ca="1" si="291"/>
        <v>#VALUE!</v>
      </c>
      <c r="BC285" s="206" t="e">
        <f t="shared" ca="1" si="291"/>
        <v>#VALUE!</v>
      </c>
      <c r="BD285" s="206" t="e">
        <f t="shared" ca="1" si="291"/>
        <v>#VALUE!</v>
      </c>
      <c r="BE285" s="212" t="e">
        <f t="shared" ca="1" si="291"/>
        <v>#VALUE!</v>
      </c>
      <c r="BG285" s="88" t="s">
        <v>14</v>
      </c>
      <c r="BH285" s="213">
        <f t="shared" ref="BH285:BQ288" ca="1" si="292">AQ285</f>
        <v>0</v>
      </c>
      <c r="BI285" s="206">
        <f t="shared" ca="1" si="292"/>
        <v>0</v>
      </c>
      <c r="BJ285" s="206">
        <f t="shared" ca="1" si="292"/>
        <v>0</v>
      </c>
      <c r="BK285" s="206">
        <f t="shared" ca="1" si="292"/>
        <v>0</v>
      </c>
      <c r="BL285" s="214">
        <f t="shared" ca="1" si="292"/>
        <v>0</v>
      </c>
      <c r="BM285" s="213" t="e">
        <f t="shared" ca="1" si="292"/>
        <v>#VALUE!</v>
      </c>
      <c r="BN285" s="206" t="e">
        <f t="shared" ca="1" si="292"/>
        <v>#VALUE!</v>
      </c>
      <c r="BO285" s="206" t="e">
        <f t="shared" ca="1" si="292"/>
        <v>#VALUE!</v>
      </c>
      <c r="BP285" s="206" t="e">
        <f t="shared" ca="1" si="292"/>
        <v>#VALUE!</v>
      </c>
      <c r="BQ285" s="214" t="e">
        <f t="shared" ca="1" si="292"/>
        <v>#VALUE!</v>
      </c>
      <c r="BR285" s="215" t="e">
        <f t="shared" ref="BR285:BV288" ca="1" si="293">BH285+BM285</f>
        <v>#VALUE!</v>
      </c>
      <c r="BS285" s="216" t="e">
        <f t="shared" ca="1" si="293"/>
        <v>#VALUE!</v>
      </c>
      <c r="BT285" s="216" t="e">
        <f t="shared" ca="1" si="293"/>
        <v>#VALUE!</v>
      </c>
      <c r="BU285" s="216" t="e">
        <f t="shared" ca="1" si="293"/>
        <v>#VALUE!</v>
      </c>
      <c r="BV285" s="217" t="e">
        <f t="shared" ca="1" si="293"/>
        <v>#VALUE!</v>
      </c>
      <c r="BX285" s="88" t="s">
        <v>14</v>
      </c>
      <c r="BY285" s="213">
        <f t="shared" ref="BY285:CH288" ca="1" si="294">IFERROR(BY294/BH294, 1)*BH285</f>
        <v>0</v>
      </c>
      <c r="BZ285" s="206">
        <f t="shared" ca="1" si="294"/>
        <v>0</v>
      </c>
      <c r="CA285" s="206">
        <f t="shared" ca="1" si="294"/>
        <v>0</v>
      </c>
      <c r="CB285" s="206">
        <f t="shared" ca="1" si="294"/>
        <v>0</v>
      </c>
      <c r="CC285" s="214">
        <f t="shared" ca="1" si="294"/>
        <v>0</v>
      </c>
      <c r="CD285" s="213" t="e">
        <f t="shared" ca="1" si="294"/>
        <v>#VALUE!</v>
      </c>
      <c r="CE285" s="206" t="e">
        <f t="shared" ca="1" si="294"/>
        <v>#VALUE!</v>
      </c>
      <c r="CF285" s="206" t="e">
        <f t="shared" ca="1" si="294"/>
        <v>#VALUE!</v>
      </c>
      <c r="CG285" s="206" t="e">
        <f t="shared" ca="1" si="294"/>
        <v>#VALUE!</v>
      </c>
      <c r="CH285" s="214" t="e">
        <f t="shared" ca="1" si="294"/>
        <v>#VALUE!</v>
      </c>
      <c r="CI285" s="215" t="e">
        <f t="shared" ref="CI285:CM288" ca="1" si="295">BY285+CD285</f>
        <v>#VALUE!</v>
      </c>
      <c r="CJ285" s="216" t="e">
        <f t="shared" ca="1" si="295"/>
        <v>#VALUE!</v>
      </c>
      <c r="CK285" s="216" t="e">
        <f t="shared" ca="1" si="295"/>
        <v>#VALUE!</v>
      </c>
      <c r="CL285" s="216" t="e">
        <f t="shared" ca="1" si="295"/>
        <v>#VALUE!</v>
      </c>
      <c r="CM285" s="217" t="e">
        <f t="shared" ca="1" si="295"/>
        <v>#VALUE!</v>
      </c>
      <c r="CO285" s="215" cm="1">
        <f t="array" aca="1" ref="CO285" ca="1">_xlfn.SINGLE(IFERROR(SUMIFS(rng_out_rx_base, rng_out_GB_Medispan, "G", rng_out_sel_G_ind, "B", rng_out_mail_ind, $B285, rng_out_ds, $C285, rng_out_sel_sp_ind, $D285, rng_out_sel_excl_ind,$E285)/[1]Tables!$AT$4, 0))</f>
        <v>0</v>
      </c>
      <c r="CP285" s="217" cm="1">
        <f t="array" aca="1" ref="CP285" ca="1">_xlfn.SINGLE(IFERROR(SUMIFS(rng_out_rx_base, rng_out_GB_Medispan, "B", rng_out_sel_G_ind, "G", rng_out_mail_ind, $B285, rng_out_ds, $C285, rng_out_sel_sp_ind, $D285, rng_out_sel_excl_ind,$E285)/[1]Tables!$AT$4, 0))</f>
        <v>0</v>
      </c>
      <c r="CQ285" s="218">
        <f ca="1">SUM(CO285:CP285)</f>
        <v>0</v>
      </c>
      <c r="CR285" s="215" cm="1">
        <f t="array" aca="1" ref="CR285" ca="1">_xlfn.SINGLE(IFERROR(SUMIFS(rng_out_qty_base, rng_out_GB_Medispan, "G", rng_out_sel_G_ind, "B", rng_out_mail_ind, $B285, rng_out_ds, $C285, rng_out_sel_sp_ind, $D285, rng_out_sel_excl_ind,$E285)/[1]Tables!$AT$4, 0))</f>
        <v>0</v>
      </c>
      <c r="CS285" s="216" cm="1">
        <f t="array" aca="1" ref="CS285" ca="1">_xlfn.SINGLE(IFERROR(SUMIFS(rng_out_qty_base, rng_out_GB_Medispan, "B", rng_out_sel_G_ind, "G", rng_out_mail_ind, $B285, rng_out_ds, $C285, rng_out_sel_sp_ind, $D285, rng_out_sel_excl_ind,$E285)/[1]Tables!$AT$4, 0))</f>
        <v>0</v>
      </c>
      <c r="CT285" s="219">
        <f ca="1">SUM(CR285:CS285)</f>
        <v>0</v>
      </c>
      <c r="CU285" s="215" cm="1">
        <f t="array" aca="1" ref="CU285" ca="1">_xlfn.SINGLE(IFERROR(SUMIFS(rng_out_ds_base, rng_out_GB_Medispan, "G", rng_out_sel_G_ind, "B", rng_out_mail_ind, $B285, rng_out_ds, $C285, rng_out_sel_sp_ind, $D285, rng_out_sel_excl_ind,$E285)/[1]Tables!$AT$4, 0))</f>
        <v>0</v>
      </c>
      <c r="CV285" s="217" cm="1">
        <f t="array" aca="1" ref="CV285" ca="1">_xlfn.SINGLE(IFERROR(SUMIFS(rng_out_ds_base, rng_out_GB_Medispan, "B", rng_out_sel_G_ind, "G", rng_out_mail_ind, $B285, rng_out_ds, $C285, rng_out_sel_sp_ind, $D285, rng_out_sel_excl_ind,$E285)/[1]Tables!$AT$4, 0))</f>
        <v>0</v>
      </c>
      <c r="CW285" s="218">
        <f ca="1">SUM(CU285:CV285)</f>
        <v>0</v>
      </c>
    </row>
    <row r="286" spans="2:101" x14ac:dyDescent="0.35">
      <c r="B286" s="105" t="s">
        <v>11</v>
      </c>
      <c r="C286" s="106">
        <v>90</v>
      </c>
      <c r="D286" s="106" t="s">
        <v>12</v>
      </c>
      <c r="E286" s="107" t="s">
        <v>13</v>
      </c>
      <c r="F286" s="106">
        <v>1</v>
      </c>
      <c r="G286" s="106"/>
      <c r="H286" s="108" t="s">
        <v>15</v>
      </c>
      <c r="I286" s="203" t="e" cm="1">
        <f t="array" aca="1" ref="I286" ca="1">SUMIFS(rng_out_rx_pre_yr1,rng_out_sel_excl_yr_ind, "", rng_out_GB_Medispan, I$1,rng_out_sel_G_ind,N$1,rng_out_mail_ind,$B286,rng_out_ds,$C286,rng_out_sel_sp_ind,$D286,rng_out_sel_excl_ind,$E286)+
SUMIFS(rng_out_rx_pre_yr1,rng_out_sel_excl_yr_ind, [1]Tables!$HN$4, rng_out_GB_Medispan, I$1,rng_out_sel_G_ind,N$1,rng_out_mail_ind,$B286,rng_out_ds,$C286,rng_out_sel_sp_ind,$D286,rng_out_sel_excl_ind,$E286)* _xlfn.XLOOKUP([1]Tables!$HN$4,'[1]RA Output'!$AY$4:$AY$5,'[1]RA Output'!AZ$4:AZ$5,0)  +
SUMIFS(rng_out_rx_pre_yr1,rng_out_sel_excl_yr_ind, [1]Tables!$HN$5, rng_out_GB_Medispan, I$1,rng_out_sel_G_ind,N$1,rng_out_mail_ind,$B286,rng_out_ds,$C286,rng_out_sel_sp_ind,$D286,rng_out_sel_excl_ind,$E286)* _xlfn.XLOOKUP([1]Tables!$HN$5,'[1]RA Output'!$AY$4:$AY$5,'[1]RA Output'!AZ$4:AZ$5,0)+
IF($E$289="N", 0,
SUMIFS(rng_out_rx_pre_yr1, rng_out_GB_Medispan, I$1, rng_out_sel_G_ind, N$1, rng_out_mail_ind, $B286, rng_out_ds, $C286, rng_out_sel_sp_ind, $D286, rng_out_sel_excl_ind,"N", rng_out_post_reb_ind_yr1, 0))</f>
        <v>#VALUE!</v>
      </c>
      <c r="J286" s="195" t="e" cm="1">
        <f t="array" aca="1" ref="J286" ca="1">SUMIFS(rng_out_rx_pre_yr2,rng_out_sel_excl_yr_ind, "", rng_out_GB_Medispan, J$1,rng_out_sel_G_ind,O$1,rng_out_mail_ind,$B286,rng_out_ds,$C286,rng_out_sel_sp_ind,$D286,rng_out_sel_excl_ind,$E286)+
SUMIFS(rng_out_rx_pre_yr2,rng_out_sel_excl_yr_ind, [1]Tables!$HN$4, rng_out_GB_Medispan, J$1,rng_out_sel_G_ind,O$1,rng_out_mail_ind,$B286,rng_out_ds,$C286,rng_out_sel_sp_ind,$D286,rng_out_sel_excl_ind,$E286)* _xlfn.XLOOKUP([1]Tables!$HN$4,'[1]RA Output'!$AY$4:$AY$5,'[1]RA Output'!BA$4:BA$5,0)  +
SUMIFS(rng_out_rx_pre_yr2,rng_out_sel_excl_yr_ind, [1]Tables!$HN$5, rng_out_GB_Medispan, J$1,rng_out_sel_G_ind,O$1,rng_out_mail_ind,$B286,rng_out_ds,$C286,rng_out_sel_sp_ind,$D286,rng_out_sel_excl_ind,$E286)* _xlfn.XLOOKUP([1]Tables!$HN$5,'[1]RA Output'!$AY$4:$AY$5,'[1]RA Output'!BA$4:BA$5,0)+
IF($E$289="N", 0,
SUMIFS(rng_out_rx_pre_yr2, rng_out_GB_Medispan, J$1, rng_out_sel_G_ind, O$1, rng_out_mail_ind, $B286, rng_out_ds, $C286, rng_out_sel_sp_ind, $D286, rng_out_sel_excl_ind,"N", rng_out_post_reb_ind_yr2, 0))</f>
        <v>#VALUE!</v>
      </c>
      <c r="K286" s="195" t="e" cm="1">
        <f t="array" aca="1" ref="K286" ca="1">SUMIFS(rng_out_rx_pre_yr3,rng_out_sel_excl_yr_ind, "", rng_out_GB_Medispan, K$1,rng_out_sel_G_ind,P$1,rng_out_mail_ind,$B286,rng_out_ds,$C286,rng_out_sel_sp_ind,$D286,rng_out_sel_excl_ind,$E286)+
SUMIFS(rng_out_rx_pre_yr3,rng_out_sel_excl_yr_ind, [1]Tables!$HN$4, rng_out_GB_Medispan, K$1,rng_out_sel_G_ind,P$1,rng_out_mail_ind,$B286,rng_out_ds,$C286,rng_out_sel_sp_ind,$D286,rng_out_sel_excl_ind,$E286)* _xlfn.XLOOKUP([1]Tables!$HN$4,'[1]RA Output'!$AY$4:$AY$5,'[1]RA Output'!BB$4:BB$5,0)  +
SUMIFS(rng_out_rx_pre_yr3,rng_out_sel_excl_yr_ind, [1]Tables!$HN$5, rng_out_GB_Medispan, K$1,rng_out_sel_G_ind,P$1,rng_out_mail_ind,$B286,rng_out_ds,$C286,rng_out_sel_sp_ind,$D286,rng_out_sel_excl_ind,$E286)* _xlfn.XLOOKUP([1]Tables!$HN$5,'[1]RA Output'!$AY$4:$AY$5,'[1]RA Output'!BB$4:BB$5,0)+
IF($E$289="N", 0,
SUMIFS(rng_out_rx_pre_yr3, rng_out_GB_Medispan, K$1, rng_out_sel_G_ind, P$1, rng_out_mail_ind, $B286, rng_out_ds, $C286, rng_out_sel_sp_ind, $D286, rng_out_sel_excl_ind,"N", rng_out_post_reb_ind_yr3, 0))</f>
        <v>#VALUE!</v>
      </c>
      <c r="L286" s="195" t="e" cm="1">
        <f t="array" aca="1" ref="L286" ca="1">SUMIFS(rng_out_rx_pre_yr4,rng_out_sel_excl_yr_ind, "", rng_out_GB_Medispan, L$1,rng_out_sel_G_ind,Q$1,rng_out_mail_ind,$B286,rng_out_ds,$C286,rng_out_sel_sp_ind,$D286,rng_out_sel_excl_ind,$E286)+
SUMIFS(rng_out_rx_pre_yr4,rng_out_sel_excl_yr_ind, [1]Tables!$HN$4, rng_out_GB_Medispan, L$1,rng_out_sel_G_ind,Q$1,rng_out_mail_ind,$B286,rng_out_ds,$C286,rng_out_sel_sp_ind,$D286,rng_out_sel_excl_ind,$E286)* _xlfn.XLOOKUP([1]Tables!$HN$4,'[1]RA Output'!$AY$4:$AY$5,'[1]RA Output'!BC$4:BC$5,0)  +
SUMIFS(rng_out_rx_pre_yr4,rng_out_sel_excl_yr_ind, [1]Tables!$HN$5, rng_out_GB_Medispan, L$1,rng_out_sel_G_ind,Q$1,rng_out_mail_ind,$B286,rng_out_ds,$C286,rng_out_sel_sp_ind,$D286,rng_out_sel_excl_ind,$E286)* _xlfn.XLOOKUP([1]Tables!$HN$5,'[1]RA Output'!$AY$4:$AY$5,'[1]RA Output'!BC$4:BC$5,0)+
IF($E$289="N", 0,
SUMIFS(rng_out_rx_pre_yr4, rng_out_GB_Medispan, L$1, rng_out_sel_G_ind, Q$1, rng_out_mail_ind, $B286, rng_out_ds, $C286, rng_out_sel_sp_ind, $D286, rng_out_sel_excl_ind,"N", rng_out_post_reb_ind_yr4, 0))</f>
        <v>#VALUE!</v>
      </c>
      <c r="M286" s="204" t="e" cm="1">
        <f t="array" aca="1" ref="M286" ca="1">SUMIFS(rng_out_rx_pre_yr5,rng_out_sel_excl_yr_ind, "", rng_out_GB_Medispan, M$1,rng_out_sel_G_ind,R$1,rng_out_mail_ind,$B286,rng_out_ds,$C286,rng_out_sel_sp_ind,$D286,rng_out_sel_excl_ind,$E286)+
SUMIFS(rng_out_rx_pre_yr5,rng_out_sel_excl_yr_ind, [1]Tables!$HN$4, rng_out_GB_Medispan, M$1,rng_out_sel_G_ind,R$1,rng_out_mail_ind,$B286,rng_out_ds,$C286,rng_out_sel_sp_ind,$D286,rng_out_sel_excl_ind,$E286)* _xlfn.XLOOKUP([1]Tables!$HN$4,'[1]RA Output'!$AY$4:$AY$5,'[1]RA Output'!BD$4:BD$5,0)  +
SUMIFS(rng_out_rx_pre_yr5,rng_out_sel_excl_yr_ind, [1]Tables!$HN$5, rng_out_GB_Medispan, M$1,rng_out_sel_G_ind,R$1,rng_out_mail_ind,$B286,rng_out_ds,$C286,rng_out_sel_sp_ind,$D286,rng_out_sel_excl_ind,$E286)* _xlfn.XLOOKUP([1]Tables!$HN$5,'[1]RA Output'!$AY$4:$AY$5,'[1]RA Output'!BD$4:BD$5,0)+
IF($E$289="N", 0,
SUMIFS(rng_out_rx_pre_yr5, rng_out_GB_Medispan, M$1, rng_out_sel_G_ind, R$1, rng_out_mail_ind, $B286, rng_out_ds, $C286, rng_out_sel_sp_ind, $D286, rng_out_sel_excl_ind,"N", rng_out_post_reb_ind_yr5, 0))</f>
        <v>#VALUE!</v>
      </c>
      <c r="N286" s="203" t="e" cm="1">
        <f t="array" aca="1" ref="N286" ca="1">SUMIFS(rng_out_rx_pre_yr1,rng_out_sel_excl_yr_ind, "", rng_out_GB_Medispan, N$1,rng_out_sel_G_ind,I$1,rng_out_mail_ind,$B286,rng_out_ds,$C286,rng_out_sel_sp_ind,$D286,rng_out_sel_excl_ind,$E286)+
SUMIFS(rng_out_rx_pre_yr1,rng_out_sel_excl_yr_ind, [1]Tables!$HN$4, rng_out_GB_Medispan, N$1,rng_out_sel_G_ind,I$1,rng_out_mail_ind,$B286,rng_out_ds,$C286,rng_out_sel_sp_ind,$D286,rng_out_sel_excl_ind,$E286)* _xlfn.XLOOKUP([1]Tables!$HN$4,'[1]RA Output'!$AY$4:$AY$5,'[1]RA Output'!AZ$4:AZ$5,0)  +
SUMIFS(rng_out_rx_pre_yr1,rng_out_sel_excl_yr_ind, [1]Tables!$HN$5, rng_out_GB_Medispan, N$1,rng_out_sel_G_ind,I$1,rng_out_mail_ind,$B286,rng_out_ds,$C286,rng_out_sel_sp_ind,$D286,rng_out_sel_excl_ind,$E286)* _xlfn.XLOOKUP([1]Tables!$HN$5,'[1]RA Output'!$AY$4:$AY$5,'[1]RA Output'!AZ$4:AZ$5,0)+
IF($E$289="N", 0,
SUMIFS(rng_out_rx_pre_yr1, rng_out_GB_Medispan, N$1, rng_out_sel_G_ind, I$1, rng_out_mail_ind, $B286, rng_out_ds, $C286, rng_out_sel_sp_ind, $D286, rng_out_sel_excl_ind,"N", rng_out_post_reb_ind_yr1, 0))</f>
        <v>#VALUE!</v>
      </c>
      <c r="O286" s="195" t="e" cm="1">
        <f t="array" aca="1" ref="O286" ca="1">SUMIFS(rng_out_rx_pre_yr2,rng_out_sel_excl_yr_ind, "", rng_out_GB_Medispan, O$1,rng_out_sel_G_ind,J$1,rng_out_mail_ind,$B286,rng_out_ds,$C286,rng_out_sel_sp_ind,$D286,rng_out_sel_excl_ind,$E286)+
SUMIFS(rng_out_rx_pre_yr2,rng_out_sel_excl_yr_ind, [1]Tables!$HN$4, rng_out_GB_Medispan, O$1,rng_out_sel_G_ind,J$1,rng_out_mail_ind,$B286,rng_out_ds,$C286,rng_out_sel_sp_ind,$D286,rng_out_sel_excl_ind,$E286)* _xlfn.XLOOKUP([1]Tables!$HN$4,'[1]RA Output'!$AY$4:$AY$5,'[1]RA Output'!BA$4:BA$5,0)  +
SUMIFS(rng_out_rx_pre_yr2,rng_out_sel_excl_yr_ind, [1]Tables!$HN$5, rng_out_GB_Medispan, O$1,rng_out_sel_G_ind,J$1,rng_out_mail_ind,$B286,rng_out_ds,$C286,rng_out_sel_sp_ind,$D286,rng_out_sel_excl_ind,$E286)* _xlfn.XLOOKUP([1]Tables!$HN$5,'[1]RA Output'!$AY$4:$AY$5,'[1]RA Output'!BA$4:BA$5,0)+
IF($E$289="N", 0,
SUMIFS(rng_out_rx_pre_yr2, rng_out_GB_Medispan, O$1, rng_out_sel_G_ind, J$1, rng_out_mail_ind, $B286, rng_out_ds, $C286, rng_out_sel_sp_ind, $D286, rng_out_sel_excl_ind,"N", rng_out_post_reb_ind_yr2, 0))</f>
        <v>#VALUE!</v>
      </c>
      <c r="P286" s="195" t="e" cm="1">
        <f t="array" aca="1" ref="P286" ca="1">SUMIFS(rng_out_rx_pre_yr3,rng_out_sel_excl_yr_ind, "", rng_out_GB_Medispan, P$1,rng_out_sel_G_ind,K$1,rng_out_mail_ind,$B286,rng_out_ds,$C286,rng_out_sel_sp_ind,$D286,rng_out_sel_excl_ind,$E286)+
SUMIFS(rng_out_rx_pre_yr3,rng_out_sel_excl_yr_ind, [1]Tables!$HN$4, rng_out_GB_Medispan, P$1,rng_out_sel_G_ind,K$1,rng_out_mail_ind,$B286,rng_out_ds,$C286,rng_out_sel_sp_ind,$D286,rng_out_sel_excl_ind,$E286)* _xlfn.XLOOKUP([1]Tables!$HN$4,'[1]RA Output'!$AY$4:$AY$5,'[1]RA Output'!BB$4:BB$5,0)  +
SUMIFS(rng_out_rx_pre_yr3,rng_out_sel_excl_yr_ind, [1]Tables!$HN$5, rng_out_GB_Medispan, P$1,rng_out_sel_G_ind,K$1,rng_out_mail_ind,$B286,rng_out_ds,$C286,rng_out_sel_sp_ind,$D286,rng_out_sel_excl_ind,$E286)* _xlfn.XLOOKUP([1]Tables!$HN$5,'[1]RA Output'!$AY$4:$AY$5,'[1]RA Output'!BB$4:BB$5,0)+
IF($E$289="N", 0,
SUMIFS(rng_out_rx_pre_yr3, rng_out_GB_Medispan, P$1, rng_out_sel_G_ind, K$1, rng_out_mail_ind, $B286, rng_out_ds, $C286, rng_out_sel_sp_ind, $D286, rng_out_sel_excl_ind,"N", rng_out_post_reb_ind_yr3, 0))</f>
        <v>#VALUE!</v>
      </c>
      <c r="Q286" s="195" t="e" cm="1">
        <f t="array" aca="1" ref="Q286" ca="1">SUMIFS(rng_out_rx_pre_yr4,rng_out_sel_excl_yr_ind, "", rng_out_GB_Medispan, Q$1,rng_out_sel_G_ind,L$1,rng_out_mail_ind,$B286,rng_out_ds,$C286,rng_out_sel_sp_ind,$D286,rng_out_sel_excl_ind,$E286)+
SUMIFS(rng_out_rx_pre_yr4,rng_out_sel_excl_yr_ind, [1]Tables!$HN$4, rng_out_GB_Medispan, Q$1,rng_out_sel_G_ind,L$1,rng_out_mail_ind,$B286,rng_out_ds,$C286,rng_out_sel_sp_ind,$D286,rng_out_sel_excl_ind,$E286)* _xlfn.XLOOKUP([1]Tables!$HN$4,'[1]RA Output'!$AY$4:$AY$5,'[1]RA Output'!BC$4:BC$5,0)  +
SUMIFS(rng_out_rx_pre_yr4,rng_out_sel_excl_yr_ind, [1]Tables!$HN$5, rng_out_GB_Medispan, Q$1,rng_out_sel_G_ind,L$1,rng_out_mail_ind,$B286,rng_out_ds,$C286,rng_out_sel_sp_ind,$D286,rng_out_sel_excl_ind,$E286)* _xlfn.XLOOKUP([1]Tables!$HN$5,'[1]RA Output'!$AY$4:$AY$5,'[1]RA Output'!BC$4:BC$5,0)+
IF($E$289="N", 0,
SUMIFS(rng_out_rx_pre_yr4, rng_out_GB_Medispan, Q$1, rng_out_sel_G_ind, L$1, rng_out_mail_ind, $B286, rng_out_ds, $C286, rng_out_sel_sp_ind, $D286, rng_out_sel_excl_ind,"N", rng_out_post_reb_ind_yr4, 0))</f>
        <v>#VALUE!</v>
      </c>
      <c r="R286" s="204" t="e" cm="1">
        <f t="array" aca="1" ref="R286" ca="1">SUMIFS(rng_out_rx_pre_yr5,rng_out_sel_excl_yr_ind, "", rng_out_GB_Medispan, R$1,rng_out_sel_G_ind,M$1,rng_out_mail_ind,$B286,rng_out_ds,$C286,rng_out_sel_sp_ind,$D286,rng_out_sel_excl_ind,$E286)+
SUMIFS(rng_out_rx_pre_yr5,rng_out_sel_excl_yr_ind, [1]Tables!$HN$4, rng_out_GB_Medispan, R$1,rng_out_sel_G_ind,M$1,rng_out_mail_ind,$B286,rng_out_ds,$C286,rng_out_sel_sp_ind,$D286,rng_out_sel_excl_ind,$E286)* _xlfn.XLOOKUP([1]Tables!$HN$4,'[1]RA Output'!$AY$4:$AY$5,'[1]RA Output'!BD$4:BD$5,0)  +
SUMIFS(rng_out_rx_pre_yr5,rng_out_sel_excl_yr_ind, [1]Tables!$HN$5, rng_out_GB_Medispan, R$1,rng_out_sel_G_ind,M$1,rng_out_mail_ind,$B286,rng_out_ds,$C286,rng_out_sel_sp_ind,$D286,rng_out_sel_excl_ind,$E286)* _xlfn.XLOOKUP([1]Tables!$HN$5,'[1]RA Output'!$AY$4:$AY$5,'[1]RA Output'!BD$4:BD$5,0)+
IF($E$289="N", 0,
SUMIFS(rng_out_rx_pre_yr5, rng_out_GB_Medispan, R$1, rng_out_sel_G_ind, M$1, rng_out_mail_ind, $B286, rng_out_ds, $C286, rng_out_sel_sp_ind, $D286, rng_out_sel_excl_ind,"N", rng_out_post_reb_ind_yr5, 0))</f>
        <v>#VALUE!</v>
      </c>
      <c r="S286" s="205" t="e">
        <f t="shared" ca="1" si="289"/>
        <v>#VALUE!</v>
      </c>
      <c r="T286" s="206" t="e">
        <f t="shared" ca="1" si="289"/>
        <v>#VALUE!</v>
      </c>
      <c r="U286" s="206" t="e">
        <f t="shared" ca="1" si="289"/>
        <v>#VALUE!</v>
      </c>
      <c r="V286" s="206" t="e">
        <f t="shared" ca="1" si="289"/>
        <v>#VALUE!</v>
      </c>
      <c r="W286" s="207" t="e">
        <f t="shared" ca="1" si="289"/>
        <v>#VALUE!</v>
      </c>
      <c r="Y286" s="109" t="s">
        <v>15</v>
      </c>
      <c r="Z286" s="208">
        <f ca="1">IFERROR(I286/[1]Tables!$AT$4, 0)</f>
        <v>0</v>
      </c>
      <c r="AA286" s="206">
        <f ca="1">IFERROR(J286/[1]Tables!$AT$4, 0)</f>
        <v>0</v>
      </c>
      <c r="AB286" s="206">
        <f ca="1">IFERROR(K286/[1]Tables!$AT$4, 0)</f>
        <v>0</v>
      </c>
      <c r="AC286" s="206">
        <f ca="1">IFERROR(L286/[1]Tables!$AT$4, 0)</f>
        <v>0</v>
      </c>
      <c r="AD286" s="209">
        <f ca="1">IFERROR(M286/[1]Tables!$AT$4, 0)</f>
        <v>0</v>
      </c>
      <c r="AE286" s="208">
        <f ca="1">IFERROR(N286/[1]Tables!$AT$4, 0)</f>
        <v>0</v>
      </c>
      <c r="AF286" s="206">
        <f ca="1">IFERROR(O286/[1]Tables!$AT$4, 0)</f>
        <v>0</v>
      </c>
      <c r="AG286" s="206">
        <f ca="1">IFERROR(P286/[1]Tables!$AT$4, 0)</f>
        <v>0</v>
      </c>
      <c r="AH286" s="206">
        <f ca="1">IFERROR(Q286/[1]Tables!$AT$4, 0)</f>
        <v>0</v>
      </c>
      <c r="AI286" s="209">
        <f ca="1">IFERROR(R286/[1]Tables!$AT$4, 0)</f>
        <v>0</v>
      </c>
      <c r="AJ286" s="208">
        <f t="shared" ca="1" si="290"/>
        <v>0</v>
      </c>
      <c r="AK286" s="206">
        <f t="shared" ca="1" si="290"/>
        <v>0</v>
      </c>
      <c r="AL286" s="206">
        <f t="shared" ca="1" si="290"/>
        <v>0</v>
      </c>
      <c r="AM286" s="206">
        <f t="shared" ca="1" si="290"/>
        <v>0</v>
      </c>
      <c r="AN286" s="209">
        <f t="shared" ca="1" si="290"/>
        <v>0</v>
      </c>
      <c r="AP286" s="110" t="s">
        <v>15</v>
      </c>
      <c r="AQ286" s="210" cm="1">
        <f t="array" aca="1" ref="AQ286" ca="1">IFERROR(IF(OR(input_Shift="No", [1]Tables!$BN$4=1), 0, ((SUMIFS(INDIRECT('[1]RA Output'!AZ$1),rng_out_sel_excl_yr_ind, "", rng_out_GB_Medispan, N$1,rng_out_sel_G_ind,I$1,rng_out_mail_ind,$B286,rng_out_ds,$C286,rng_out_sel_sp_ind,$D286,rng_out_sel_excl_ind,$E286, rng_out_MSB_excl, $F286)+
SUMIFS(INDIRECT('[1]RA Output'!AZ$1),rng_out_sel_excl_yr_ind, [1]Tables!$HN$4, rng_out_GB_Medispan, N$1,rng_out_sel_G_ind,I$1,rng_out_mail_ind,$B286,rng_out_ds,$C286,rng_out_sel_sp_ind,$D286,rng_out_sel_excl_ind,$E286, rng_out_MSB_excl, $F286)* _xlfn.XLOOKUP([1]Tables!$HN$4,'[1]RA Output'!$AY$4:$AY$5,'[1]RA Output'!AZ$4:AZ$5,0)  +
SUMIFS(INDIRECT('[1]RA Output'!AZ$1),rng_out_sel_excl_yr_ind, [1]Tables!$HN$5, rng_out_GB_Medispan, N$1,rng_out_sel_G_ind,I$1,rng_out_mail_ind,$B286,rng_out_ds,$C286,rng_out_sel_sp_ind,$D286,rng_out_sel_excl_ind,$E286, rng_out_MSB_excl, $F286)* _xlfn.XLOOKUP([1]Tables!$HN$5,'[1]RA Output'!$AY$4:$AY$5,'[1]RA Output'!AZ$4:AZ$5,0))/[1]Tables!$AT$4)/[1]Tables!$BN$4*(1-[1]Tables!$BN$4)), 0)
+ IFERROR((SUMIFS(INDIRECT('[1]RA Output'!AZ$1),rng_out_sel_excl_yr_ind, "", rng_out_GB_Medispan, I$1,rng_out_sel_G_ind,N$1,rng_out_mail_ind,$B286,rng_out_ds,$C286,rng_out_sel_sp_ind,$D286,rng_out_sel_excl_ind,$E286)+
SUMIFS(INDIRECT('[1]RA Output'!AZ$1),rng_out_sel_excl_yr_ind, [1]Tables!$HN$4, rng_out_GB_Medispan, I$1,rng_out_sel_G_ind,N$1,rng_out_mail_ind,$B286,rng_out_ds,$C286,rng_out_sel_sp_ind,$D286,rng_out_sel_excl_ind,$E286)* _xlfn.XLOOKUP([1]Tables!$HN$4,'[1]RA Output'!$AY$4:$AY$5,'[1]RA Output'!AZ$4:AZ$5,0)  +
SUMIFS(INDIRECT('[1]RA Output'!AZ$1),rng_out_sel_excl_yr_ind, [1]Tables!$HN$5, rng_out_GB_Medispan, I$1,rng_out_sel_G_ind,N$1,rng_out_mail_ind,$B286,rng_out_ds,$C286,rng_out_sel_sp_ind,$D286,rng_out_sel_excl_ind,$E286)* _xlfn.XLOOKUP([1]Tables!$HN$5,'[1]RA Output'!$AY$4:$AY$5,'[1]RA Output'!AZ$4:AZ$5,0))/[1]Tables!$AT$4, 0)+
IF($E$280="N", 0,
IFERROR((SUMIFS(INDIRECT('[1]RA Output'!AZ$1), rng_out_GB_Medispan, I$1, rng_out_sel_G_ind, N$1, rng_out_mail_ind, $B286, rng_out_ds, $C286, rng_out_sel_sp_ind, $D286, rng_out_sel_excl_ind,"N", INDIRECT('[1]RA Output'!EQ$1), 0))/[1]Tables!$AT$4, 0))</f>
        <v>0</v>
      </c>
      <c r="AR286" s="195" cm="1">
        <f t="array" aca="1" ref="AR286" ca="1">IFERROR(IF(OR(input_Shift="No", [1]Tables!$BN$4=1), 0, ((SUMIFS(INDIRECT('[1]RA Output'!BA$1),rng_out_sel_excl_yr_ind, "", rng_out_GB_Medispan, O$1,rng_out_sel_G_ind,J$1,rng_out_mail_ind,$B286,rng_out_ds,$C286,rng_out_sel_sp_ind,$D286,rng_out_sel_excl_ind,$E286, rng_out_MSB_excl, $F286)+
SUMIFS(INDIRECT('[1]RA Output'!BA$1),rng_out_sel_excl_yr_ind, [1]Tables!$HN$4, rng_out_GB_Medispan, O$1,rng_out_sel_G_ind,J$1,rng_out_mail_ind,$B286,rng_out_ds,$C286,rng_out_sel_sp_ind,$D286,rng_out_sel_excl_ind,$E286, rng_out_MSB_excl, $F286)* _xlfn.XLOOKUP([1]Tables!$HN$4,'[1]RA Output'!$AY$4:$AY$5,'[1]RA Output'!BA$4:BA$5,0)  +
SUMIFS(INDIRECT('[1]RA Output'!BA$1),rng_out_sel_excl_yr_ind, [1]Tables!$HN$5, rng_out_GB_Medispan, O$1,rng_out_sel_G_ind,J$1,rng_out_mail_ind,$B286,rng_out_ds,$C286,rng_out_sel_sp_ind,$D286,rng_out_sel_excl_ind,$E286, rng_out_MSB_excl, $F286)* _xlfn.XLOOKUP([1]Tables!$HN$5,'[1]RA Output'!$AY$4:$AY$5,'[1]RA Output'!BA$4:BA$5,0))/[1]Tables!$AT$4)/[1]Tables!$BN$4*(1-[1]Tables!$BN$4)), 0)
+ IFERROR((SUMIFS(INDIRECT('[1]RA Output'!BA$1),rng_out_sel_excl_yr_ind, "", rng_out_GB_Medispan, J$1,rng_out_sel_G_ind,O$1,rng_out_mail_ind,$B286,rng_out_ds,$C286,rng_out_sel_sp_ind,$D286,rng_out_sel_excl_ind,$E286)+
SUMIFS(INDIRECT('[1]RA Output'!BA$1),rng_out_sel_excl_yr_ind, [1]Tables!$HN$4, rng_out_GB_Medispan, J$1,rng_out_sel_G_ind,O$1,rng_out_mail_ind,$B286,rng_out_ds,$C286,rng_out_sel_sp_ind,$D286,rng_out_sel_excl_ind,$E286)* _xlfn.XLOOKUP([1]Tables!$HN$4,'[1]RA Output'!$AY$4:$AY$5,'[1]RA Output'!BA$4:BA$5,0)  +
SUMIFS(INDIRECT('[1]RA Output'!BA$1),rng_out_sel_excl_yr_ind, [1]Tables!$HN$5, rng_out_GB_Medispan, J$1,rng_out_sel_G_ind,O$1,rng_out_mail_ind,$B286,rng_out_ds,$C286,rng_out_sel_sp_ind,$D286,rng_out_sel_excl_ind,$E286)* _xlfn.XLOOKUP([1]Tables!$HN$5,'[1]RA Output'!$AY$4:$AY$5,'[1]RA Output'!BA$4:BA$5,0))/[1]Tables!$AT$4, 0)+
IF($E$280="N", 0,
IFERROR((SUMIFS(INDIRECT('[1]RA Output'!BA$1), rng_out_GB_Medispan, J$1, rng_out_sel_G_ind, O$1, rng_out_mail_ind, $B286, rng_out_ds, $C286, rng_out_sel_sp_ind, $D286, rng_out_sel_excl_ind,"N", INDIRECT('[1]RA Output'!ER$1), 0))/[1]Tables!$AT$4, 0))</f>
        <v>0</v>
      </c>
      <c r="AS286" s="195" cm="1">
        <f t="array" aca="1" ref="AS286" ca="1">IFERROR(IF(OR(input_Shift="No", [1]Tables!$BN$4=1), 0, ((SUMIFS(INDIRECT('[1]RA Output'!BB$1),rng_out_sel_excl_yr_ind, "", rng_out_GB_Medispan, P$1,rng_out_sel_G_ind,K$1,rng_out_mail_ind,$B286,rng_out_ds,$C286,rng_out_sel_sp_ind,$D286,rng_out_sel_excl_ind,$E286, rng_out_MSB_excl, $F286)+
SUMIFS(INDIRECT('[1]RA Output'!BB$1),rng_out_sel_excl_yr_ind, [1]Tables!$HN$4, rng_out_GB_Medispan, P$1,rng_out_sel_G_ind,K$1,rng_out_mail_ind,$B286,rng_out_ds,$C286,rng_out_sel_sp_ind,$D286,rng_out_sel_excl_ind,$E286, rng_out_MSB_excl, $F286)* _xlfn.XLOOKUP([1]Tables!$HN$4,'[1]RA Output'!$AY$4:$AY$5,'[1]RA Output'!BB$4:BB$5,0)  +
SUMIFS(INDIRECT('[1]RA Output'!BB$1),rng_out_sel_excl_yr_ind, [1]Tables!$HN$5, rng_out_GB_Medispan, P$1,rng_out_sel_G_ind,K$1,rng_out_mail_ind,$B286,rng_out_ds,$C286,rng_out_sel_sp_ind,$D286,rng_out_sel_excl_ind,$E286, rng_out_MSB_excl, $F286)* _xlfn.XLOOKUP([1]Tables!$HN$5,'[1]RA Output'!$AY$4:$AY$5,'[1]RA Output'!BB$4:BB$5,0))/[1]Tables!$AT$4)/[1]Tables!$BN$4*(1-[1]Tables!$BN$4)), 0)
+ IFERROR((SUMIFS(INDIRECT('[1]RA Output'!BB$1),rng_out_sel_excl_yr_ind, "", rng_out_GB_Medispan, K$1,rng_out_sel_G_ind,P$1,rng_out_mail_ind,$B286,rng_out_ds,$C286,rng_out_sel_sp_ind,$D286,rng_out_sel_excl_ind,$E286)+
SUMIFS(INDIRECT('[1]RA Output'!BB$1),rng_out_sel_excl_yr_ind, [1]Tables!$HN$4, rng_out_GB_Medispan, K$1,rng_out_sel_G_ind,P$1,rng_out_mail_ind,$B286,rng_out_ds,$C286,rng_out_sel_sp_ind,$D286,rng_out_sel_excl_ind,$E286)* _xlfn.XLOOKUP([1]Tables!$HN$4,'[1]RA Output'!$AY$4:$AY$5,'[1]RA Output'!BB$4:BB$5,0)  +
SUMIFS(INDIRECT('[1]RA Output'!BB$1),rng_out_sel_excl_yr_ind, [1]Tables!$HN$5, rng_out_GB_Medispan, K$1,rng_out_sel_G_ind,P$1,rng_out_mail_ind,$B286,rng_out_ds,$C286,rng_out_sel_sp_ind,$D286,rng_out_sel_excl_ind,$E286)* _xlfn.XLOOKUP([1]Tables!$HN$5,'[1]RA Output'!$AY$4:$AY$5,'[1]RA Output'!BB$4:BB$5,0))/[1]Tables!$AT$4, 0)+
IF($E$280="N", 0,
IFERROR((SUMIFS(INDIRECT('[1]RA Output'!BB$1), rng_out_GB_Medispan, K$1, rng_out_sel_G_ind, P$1, rng_out_mail_ind, $B286, rng_out_ds, $C286, rng_out_sel_sp_ind, $D286, rng_out_sel_excl_ind,"N", INDIRECT('[1]RA Output'!ES$1), 0))/[1]Tables!$AT$4, 0))</f>
        <v>0</v>
      </c>
      <c r="AT286" s="195" cm="1">
        <f t="array" aca="1" ref="AT286" ca="1">IFERROR(IF(OR(input_Shift="No", [1]Tables!$BN$4=1), 0, ((SUMIFS(INDIRECT('[1]RA Output'!BC$1),rng_out_sel_excl_yr_ind, "", rng_out_GB_Medispan, Q$1,rng_out_sel_G_ind,L$1,rng_out_mail_ind,$B286,rng_out_ds,$C286,rng_out_sel_sp_ind,$D286,rng_out_sel_excl_ind,$E286, rng_out_MSB_excl, $F286)+
SUMIFS(INDIRECT('[1]RA Output'!BC$1),rng_out_sel_excl_yr_ind, [1]Tables!$HN$4, rng_out_GB_Medispan, Q$1,rng_out_sel_G_ind,L$1,rng_out_mail_ind,$B286,rng_out_ds,$C286,rng_out_sel_sp_ind,$D286,rng_out_sel_excl_ind,$E286, rng_out_MSB_excl, $F286)* _xlfn.XLOOKUP([1]Tables!$HN$4,'[1]RA Output'!$AY$4:$AY$5,'[1]RA Output'!BC$4:BC$5,0)  +
SUMIFS(INDIRECT('[1]RA Output'!BC$1),rng_out_sel_excl_yr_ind, [1]Tables!$HN$5, rng_out_GB_Medispan, Q$1,rng_out_sel_G_ind,L$1,rng_out_mail_ind,$B286,rng_out_ds,$C286,rng_out_sel_sp_ind,$D286,rng_out_sel_excl_ind,$E286, rng_out_MSB_excl, $F286)* _xlfn.XLOOKUP([1]Tables!$HN$5,'[1]RA Output'!$AY$4:$AY$5,'[1]RA Output'!BC$4:BC$5,0))/[1]Tables!$AT$4)/[1]Tables!$BN$4*(1-[1]Tables!$BN$4)), 0)
+ IFERROR((SUMIFS(INDIRECT('[1]RA Output'!BC$1),rng_out_sel_excl_yr_ind, "", rng_out_GB_Medispan, L$1,rng_out_sel_G_ind,Q$1,rng_out_mail_ind,$B286,rng_out_ds,$C286,rng_out_sel_sp_ind,$D286,rng_out_sel_excl_ind,$E286)+
SUMIFS(INDIRECT('[1]RA Output'!BC$1),rng_out_sel_excl_yr_ind, [1]Tables!$HN$4, rng_out_GB_Medispan, L$1,rng_out_sel_G_ind,Q$1,rng_out_mail_ind,$B286,rng_out_ds,$C286,rng_out_sel_sp_ind,$D286,rng_out_sel_excl_ind,$E286)* _xlfn.XLOOKUP([1]Tables!$HN$4,'[1]RA Output'!$AY$4:$AY$5,'[1]RA Output'!BC$4:BC$5,0)  +
SUMIFS(INDIRECT('[1]RA Output'!BC$1),rng_out_sel_excl_yr_ind, [1]Tables!$HN$5, rng_out_GB_Medispan, L$1,rng_out_sel_G_ind,Q$1,rng_out_mail_ind,$B286,rng_out_ds,$C286,rng_out_sel_sp_ind,$D286,rng_out_sel_excl_ind,$E286)* _xlfn.XLOOKUP([1]Tables!$HN$5,'[1]RA Output'!$AY$4:$AY$5,'[1]RA Output'!BC$4:BC$5,0))/[1]Tables!$AT$4, 0)+
IF($E$280="N", 0,
IFERROR((SUMIFS(INDIRECT('[1]RA Output'!BC$1), rng_out_GB_Medispan, L$1, rng_out_sel_G_ind, Q$1, rng_out_mail_ind, $B286, rng_out_ds, $C286, rng_out_sel_sp_ind, $D286, rng_out_sel_excl_ind,"N", INDIRECT('[1]RA Output'!ET$1), 0))/[1]Tables!$AT$4, 0))</f>
        <v>0</v>
      </c>
      <c r="AU286" s="211" cm="1">
        <f t="array" aca="1" ref="AU286" ca="1">IFERROR(IF(OR(input_Shift="No", [1]Tables!$BN$4=1), 0, ((SUMIFS(INDIRECT('[1]RA Output'!BD$1),rng_out_sel_excl_yr_ind, "", rng_out_GB_Medispan, R$1,rng_out_sel_G_ind,M$1,rng_out_mail_ind,$B286,rng_out_ds,$C286,rng_out_sel_sp_ind,$D286,rng_out_sel_excl_ind,$E286, rng_out_MSB_excl, $F286)+
SUMIFS(INDIRECT('[1]RA Output'!BD$1),rng_out_sel_excl_yr_ind, [1]Tables!$HN$4, rng_out_GB_Medispan, R$1,rng_out_sel_G_ind,M$1,rng_out_mail_ind,$B286,rng_out_ds,$C286,rng_out_sel_sp_ind,$D286,rng_out_sel_excl_ind,$E286, rng_out_MSB_excl, $F286)* _xlfn.XLOOKUP([1]Tables!$HN$4,'[1]RA Output'!$AY$4:$AY$5,'[1]RA Output'!BD$4:BD$5,0)  +
SUMIFS(INDIRECT('[1]RA Output'!BD$1),rng_out_sel_excl_yr_ind, [1]Tables!$HN$5, rng_out_GB_Medispan, R$1,rng_out_sel_G_ind,M$1,rng_out_mail_ind,$B286,rng_out_ds,$C286,rng_out_sel_sp_ind,$D286,rng_out_sel_excl_ind,$E286, rng_out_MSB_excl, $F286)* _xlfn.XLOOKUP([1]Tables!$HN$5,'[1]RA Output'!$AY$4:$AY$5,'[1]RA Output'!BD$4:BD$5,0))/[1]Tables!$AT$4)/[1]Tables!$BN$4*(1-[1]Tables!$BN$4)), 0)
+ IFERROR((SUMIFS(INDIRECT('[1]RA Output'!BD$1),rng_out_sel_excl_yr_ind, "", rng_out_GB_Medispan, M$1,rng_out_sel_G_ind,R$1,rng_out_mail_ind,$B286,rng_out_ds,$C286,rng_out_sel_sp_ind,$D286,rng_out_sel_excl_ind,$E286)+
SUMIFS(INDIRECT('[1]RA Output'!BD$1),rng_out_sel_excl_yr_ind, [1]Tables!$HN$4, rng_out_GB_Medispan, M$1,rng_out_sel_G_ind,R$1,rng_out_mail_ind,$B286,rng_out_ds,$C286,rng_out_sel_sp_ind,$D286,rng_out_sel_excl_ind,$E286)* _xlfn.XLOOKUP([1]Tables!$HN$4,'[1]RA Output'!$AY$4:$AY$5,'[1]RA Output'!BD$4:BD$5,0)  +
SUMIFS(INDIRECT('[1]RA Output'!BD$1),rng_out_sel_excl_yr_ind, [1]Tables!$HN$5, rng_out_GB_Medispan, M$1,rng_out_sel_G_ind,R$1,rng_out_mail_ind,$B286,rng_out_ds,$C286,rng_out_sel_sp_ind,$D286,rng_out_sel_excl_ind,$E286)* _xlfn.XLOOKUP([1]Tables!$HN$5,'[1]RA Output'!$AY$4:$AY$5,'[1]RA Output'!BD$4:BD$5,0))/[1]Tables!$AT$4, 0)+
IF($E$280="N", 0,
IFERROR((SUMIFS(INDIRECT('[1]RA Output'!BD$1), rng_out_GB_Medispan, M$1, rng_out_sel_G_ind, R$1, rng_out_mail_ind, $B286, rng_out_ds, $C286, rng_out_sel_sp_ind, $D286, rng_out_sel_excl_ind,"N", INDIRECT('[1]RA Output'!EU$1), 0))/[1]Tables!$AT$4, 0))</f>
        <v>0</v>
      </c>
      <c r="AV286" s="210" t="e" cm="1">
        <f t="array" aca="1" ref="AV286" ca="1">(SUMIFS(rng_out_rx_post_yr1,rng_out_sel_excl_yr_ind, "", rng_out_GB_Medispan, N$1,rng_out_sel_G_ind,I$1,rng_out_mail_ind,$B286,rng_out_ds,$C286,rng_out_sel_sp_ind,$D286,rng_out_sel_excl_ind,$E286)+
SUMIFS(rng_out_rx_post_yr1,rng_out_sel_excl_yr_ind, [1]Tables!$HN$4, rng_out_GB_Medispan, N$1,rng_out_sel_G_ind,I$1,rng_out_mail_ind,$B286,rng_out_ds,$C286,rng_out_sel_sp_ind,$D286,rng_out_sel_excl_ind,$E286)* _xlfn.XLOOKUP([1]Tables!$HN$4,'[1]RA Output'!$AY$4:$AY$5,'[1]RA Output'!AZ$4:AZ$5,0)  +
SUMIFS(rng_out_rx_post_yr1,rng_out_sel_excl_yr_ind, [1]Tables!$HN$5, rng_out_GB_Medispan, N$1,rng_out_sel_G_ind,I$1,rng_out_mail_ind,$B286,rng_out_ds,$C286,rng_out_sel_sp_ind,$D286,rng_out_sel_excl_ind,$E286)* _xlfn.XLOOKUP([1]Tables!$HN$5,'[1]RA Output'!$AY$4:$AY$5,'[1]RA Output'!AZ$4:AZ$5,0))/[1]Tables!$AT$4+
IFERROR(IF($E$289="N", 0,
SUMIFS(rng_out_rx_post_yr1, rng_out_GB_Medispan, N$1, rng_out_sel_G_ind, I$1, rng_out_mail_ind, $B286, rng_out_ds, $C286, rng_out_sel_sp_ind, $D286, rng_out_sel_excl_ind,"N", rng_out_post_reb_ind_yr1, 0)/[1]Tables!$AT$4),0)</f>
        <v>#VALUE!</v>
      </c>
      <c r="AW286" s="195" t="e" cm="1">
        <f t="array" aca="1" ref="AW286" ca="1">(SUMIFS(rng_out_rx_post_yr2,rng_out_sel_excl_yr_ind, "", rng_out_GB_Medispan, O$1,rng_out_sel_G_ind,J$1,rng_out_mail_ind,$B286,rng_out_ds,$C286,rng_out_sel_sp_ind,$D286,rng_out_sel_excl_ind,$E286)+
SUMIFS(rng_out_rx_post_yr2,rng_out_sel_excl_yr_ind, [1]Tables!$HN$4, rng_out_GB_Medispan, O$1,rng_out_sel_G_ind,J$1,rng_out_mail_ind,$B286,rng_out_ds,$C286,rng_out_sel_sp_ind,$D286,rng_out_sel_excl_ind,$E286)* _xlfn.XLOOKUP([1]Tables!$HN$4,'[1]RA Output'!$AY$4:$AY$5,'[1]RA Output'!BA$4:BA$5,0)  +
SUMIFS(rng_out_rx_post_yr2,rng_out_sel_excl_yr_ind, [1]Tables!$HN$5, rng_out_GB_Medispan, O$1,rng_out_sel_G_ind,J$1,rng_out_mail_ind,$B286,rng_out_ds,$C286,rng_out_sel_sp_ind,$D286,rng_out_sel_excl_ind,$E286)* _xlfn.XLOOKUP([1]Tables!$HN$5,'[1]RA Output'!$AY$4:$AY$5,'[1]RA Output'!BA$4:BA$5,0))/[1]Tables!$AT$4+
IFERROR(IF($E$289="N", 0,
SUMIFS(rng_out_rx_post_yr2, rng_out_GB_Medispan, O$1, rng_out_sel_G_ind, J$1, rng_out_mail_ind, $B286, rng_out_ds, $C286, rng_out_sel_sp_ind, $D286, rng_out_sel_excl_ind,"N", rng_out_post_reb_ind_yr2, 0)/[1]Tables!$AT$4),0)</f>
        <v>#VALUE!</v>
      </c>
      <c r="AX286" s="195" t="e" cm="1">
        <f t="array" aca="1" ref="AX286" ca="1">(SUMIFS(rng_out_rx_post_yr3,rng_out_sel_excl_yr_ind, "", rng_out_GB_Medispan, P$1,rng_out_sel_G_ind,K$1,rng_out_mail_ind,$B286,rng_out_ds,$C286,rng_out_sel_sp_ind,$D286,rng_out_sel_excl_ind,$E286)+
SUMIFS(rng_out_rx_post_yr3,rng_out_sel_excl_yr_ind, [1]Tables!$HN$4, rng_out_GB_Medispan, P$1,rng_out_sel_G_ind,K$1,rng_out_mail_ind,$B286,rng_out_ds,$C286,rng_out_sel_sp_ind,$D286,rng_out_sel_excl_ind,$E286)* _xlfn.XLOOKUP([1]Tables!$HN$4,'[1]RA Output'!$AY$4:$AY$5,'[1]RA Output'!BB$4:BB$5,0)  +
SUMIFS(rng_out_rx_post_yr3,rng_out_sel_excl_yr_ind, [1]Tables!$HN$5, rng_out_GB_Medispan, P$1,rng_out_sel_G_ind,K$1,rng_out_mail_ind,$B286,rng_out_ds,$C286,rng_out_sel_sp_ind,$D286,rng_out_sel_excl_ind,$E286)* _xlfn.XLOOKUP([1]Tables!$HN$5,'[1]RA Output'!$AY$4:$AY$5,'[1]RA Output'!BB$4:BB$5,0))/[1]Tables!$AT$4+
IFERROR(IF($E$289="N", 0,
SUMIFS(rng_out_rx_post_yr3, rng_out_GB_Medispan, P$1, rng_out_sel_G_ind, K$1, rng_out_mail_ind, $B286, rng_out_ds, $C286, rng_out_sel_sp_ind, $D286, rng_out_sel_excl_ind,"N", rng_out_post_reb_ind_yr3, 0)/[1]Tables!$AT$4),0)</f>
        <v>#VALUE!</v>
      </c>
      <c r="AY286" s="195" t="e" cm="1">
        <f t="array" aca="1" ref="AY286" ca="1">(SUMIFS(rng_out_rx_post_yr4,rng_out_sel_excl_yr_ind, "", rng_out_GB_Medispan, Q$1,rng_out_sel_G_ind,L$1,rng_out_mail_ind,$B286,rng_out_ds,$C286,rng_out_sel_sp_ind,$D286,rng_out_sel_excl_ind,$E286)+
SUMIFS(rng_out_rx_post_yr4,rng_out_sel_excl_yr_ind, [1]Tables!$HN$4, rng_out_GB_Medispan, Q$1,rng_out_sel_G_ind,L$1,rng_out_mail_ind,$B286,rng_out_ds,$C286,rng_out_sel_sp_ind,$D286,rng_out_sel_excl_ind,$E286)* _xlfn.XLOOKUP([1]Tables!$HN$4,'[1]RA Output'!$AY$4:$AY$5,'[1]RA Output'!BC$4:BC$5,0)  +
SUMIFS(rng_out_rx_post_yr4,rng_out_sel_excl_yr_ind, [1]Tables!$HN$5, rng_out_GB_Medispan, Q$1,rng_out_sel_G_ind,L$1,rng_out_mail_ind,$B286,rng_out_ds,$C286,rng_out_sel_sp_ind,$D286,rng_out_sel_excl_ind,$E286)* _xlfn.XLOOKUP([1]Tables!$HN$5,'[1]RA Output'!$AY$4:$AY$5,'[1]RA Output'!BC$4:BC$5,0))/[1]Tables!$AT$4+
IFERROR(IF($E$289="N", 0,
SUMIFS(rng_out_rx_post_yr4, rng_out_GB_Medispan, Q$1, rng_out_sel_G_ind, L$1, rng_out_mail_ind, $B286, rng_out_ds, $C286, rng_out_sel_sp_ind, $D286, rng_out_sel_excl_ind,"N", rng_out_post_reb_ind_yr4, 0)/[1]Tables!$AT$4),0)</f>
        <v>#VALUE!</v>
      </c>
      <c r="AZ286" s="211" t="e" cm="1">
        <f t="array" aca="1" ref="AZ286" ca="1">(SUMIFS(rng_out_rx_post_yr5,rng_out_sel_excl_yr_ind, "", rng_out_GB_Medispan, R$1,rng_out_sel_G_ind,M$1,rng_out_mail_ind,$B286,rng_out_ds,$C286,rng_out_sel_sp_ind,$D286,rng_out_sel_excl_ind,$E286)+
SUMIFS(rng_out_rx_post_yr5,rng_out_sel_excl_yr_ind, [1]Tables!$HN$4, rng_out_GB_Medispan, R$1,rng_out_sel_G_ind,M$1,rng_out_mail_ind,$B286,rng_out_ds,$C286,rng_out_sel_sp_ind,$D286,rng_out_sel_excl_ind,$E286)* _xlfn.XLOOKUP([1]Tables!$HN$4,'[1]RA Output'!$AY$4:$AY$5,'[1]RA Output'!BD$4:BD$5,0)  +
SUMIFS(rng_out_rx_post_yr5,rng_out_sel_excl_yr_ind, [1]Tables!$HN$5, rng_out_GB_Medispan, R$1,rng_out_sel_G_ind,M$1,rng_out_mail_ind,$B286,rng_out_ds,$C286,rng_out_sel_sp_ind,$D286,rng_out_sel_excl_ind,$E286)* _xlfn.XLOOKUP([1]Tables!$HN$5,'[1]RA Output'!$AY$4:$AY$5,'[1]RA Output'!BD$4:BD$5,0))/[1]Tables!$AT$4+
IFERROR(IF($E$289="N", 0,
SUMIFS(rng_out_rx_post_yr5, rng_out_GB_Medispan, R$1, rng_out_sel_G_ind, M$1, rng_out_mail_ind, $B286, rng_out_ds, $C286, rng_out_sel_sp_ind, $D286, rng_out_sel_excl_ind,"N", rng_out_post_reb_ind_yr5, 0)/[1]Tables!$AT$4),0)</f>
        <v>#VALUE!</v>
      </c>
      <c r="BA286" s="206" t="e">
        <f t="shared" ca="1" si="291"/>
        <v>#VALUE!</v>
      </c>
      <c r="BB286" s="206" t="e">
        <f t="shared" ca="1" si="291"/>
        <v>#VALUE!</v>
      </c>
      <c r="BC286" s="206" t="e">
        <f t="shared" ca="1" si="291"/>
        <v>#VALUE!</v>
      </c>
      <c r="BD286" s="206" t="e">
        <f t="shared" ca="1" si="291"/>
        <v>#VALUE!</v>
      </c>
      <c r="BE286" s="212" t="e">
        <f t="shared" ca="1" si="291"/>
        <v>#VALUE!</v>
      </c>
      <c r="BG286" s="111" t="s">
        <v>15</v>
      </c>
      <c r="BH286" s="213">
        <f t="shared" ca="1" si="292"/>
        <v>0</v>
      </c>
      <c r="BI286" s="206">
        <f t="shared" ca="1" si="292"/>
        <v>0</v>
      </c>
      <c r="BJ286" s="206">
        <f t="shared" ca="1" si="292"/>
        <v>0</v>
      </c>
      <c r="BK286" s="206">
        <f t="shared" ca="1" si="292"/>
        <v>0</v>
      </c>
      <c r="BL286" s="214">
        <f t="shared" ca="1" si="292"/>
        <v>0</v>
      </c>
      <c r="BM286" s="213" t="e">
        <f t="shared" ca="1" si="292"/>
        <v>#VALUE!</v>
      </c>
      <c r="BN286" s="206" t="e">
        <f t="shared" ca="1" si="292"/>
        <v>#VALUE!</v>
      </c>
      <c r="BO286" s="206" t="e">
        <f t="shared" ca="1" si="292"/>
        <v>#VALUE!</v>
      </c>
      <c r="BP286" s="206" t="e">
        <f t="shared" ca="1" si="292"/>
        <v>#VALUE!</v>
      </c>
      <c r="BQ286" s="214" t="e">
        <f t="shared" ca="1" si="292"/>
        <v>#VALUE!</v>
      </c>
      <c r="BR286" s="213" t="e">
        <f t="shared" ca="1" si="293"/>
        <v>#VALUE!</v>
      </c>
      <c r="BS286" s="206" t="e">
        <f t="shared" ca="1" si="293"/>
        <v>#VALUE!</v>
      </c>
      <c r="BT286" s="206" t="e">
        <f t="shared" ca="1" si="293"/>
        <v>#VALUE!</v>
      </c>
      <c r="BU286" s="206" t="e">
        <f t="shared" ca="1" si="293"/>
        <v>#VALUE!</v>
      </c>
      <c r="BV286" s="214" t="e">
        <f t="shared" ca="1" si="293"/>
        <v>#VALUE!</v>
      </c>
      <c r="BX286" s="111" t="s">
        <v>15</v>
      </c>
      <c r="BY286" s="213">
        <f t="shared" ca="1" si="294"/>
        <v>0</v>
      </c>
      <c r="BZ286" s="206">
        <f t="shared" ca="1" si="294"/>
        <v>0</v>
      </c>
      <c r="CA286" s="206">
        <f t="shared" ca="1" si="294"/>
        <v>0</v>
      </c>
      <c r="CB286" s="206">
        <f t="shared" ca="1" si="294"/>
        <v>0</v>
      </c>
      <c r="CC286" s="214">
        <f t="shared" ca="1" si="294"/>
        <v>0</v>
      </c>
      <c r="CD286" s="213" t="e">
        <f t="shared" ca="1" si="294"/>
        <v>#VALUE!</v>
      </c>
      <c r="CE286" s="206" t="e">
        <f t="shared" ca="1" si="294"/>
        <v>#VALUE!</v>
      </c>
      <c r="CF286" s="206" t="e">
        <f t="shared" ca="1" si="294"/>
        <v>#VALUE!</v>
      </c>
      <c r="CG286" s="206" t="e">
        <f t="shared" ca="1" si="294"/>
        <v>#VALUE!</v>
      </c>
      <c r="CH286" s="214" t="e">
        <f t="shared" ca="1" si="294"/>
        <v>#VALUE!</v>
      </c>
      <c r="CI286" s="213" t="e">
        <f t="shared" ca="1" si="295"/>
        <v>#VALUE!</v>
      </c>
      <c r="CJ286" s="206" t="e">
        <f t="shared" ca="1" si="295"/>
        <v>#VALUE!</v>
      </c>
      <c r="CK286" s="206" t="e">
        <f t="shared" ca="1" si="295"/>
        <v>#VALUE!</v>
      </c>
      <c r="CL286" s="206" t="e">
        <f t="shared" ca="1" si="295"/>
        <v>#VALUE!</v>
      </c>
      <c r="CM286" s="214" t="e">
        <f t="shared" ca="1" si="295"/>
        <v>#VALUE!</v>
      </c>
      <c r="CO286" s="213" cm="1">
        <f t="array" aca="1" ref="CO286" ca="1">_xlfn.SINGLE(IFERROR(SUMIFS(rng_out_rx_base, rng_out_GB_Medispan, "G", rng_out_sel_G_ind, "B", rng_out_mail_ind, $B286, rng_out_ds, $C286, rng_out_sel_sp_ind, $D286, rng_out_sel_excl_ind,$E286)/[1]Tables!$AT$4, 0))</f>
        <v>0</v>
      </c>
      <c r="CP286" s="214" cm="1">
        <f t="array" aca="1" ref="CP286" ca="1">_xlfn.SINGLE(IFERROR(SUMIFS(rng_out_rx_base, rng_out_GB_Medispan, "B", rng_out_sel_G_ind, "G", rng_out_mail_ind, $B286, rng_out_ds, $C286, rng_out_sel_sp_ind, $D286, rng_out_sel_excl_ind,$E286)/[1]Tables!$AT$4, 0))</f>
        <v>0</v>
      </c>
      <c r="CQ286" s="220">
        <f ca="1">SUM(CO286:CP286)</f>
        <v>0</v>
      </c>
      <c r="CR286" s="213" cm="1">
        <f t="array" aca="1" ref="CR286" ca="1">_xlfn.SINGLE(IFERROR(SUMIFS(rng_out_qty_base, rng_out_GB_Medispan, "G", rng_out_sel_G_ind, "B", rng_out_mail_ind, $B286, rng_out_ds, $C286, rng_out_sel_sp_ind, $D286, rng_out_sel_excl_ind,$E286)/[1]Tables!$AT$4, 0))</f>
        <v>0</v>
      </c>
      <c r="CS286" s="206" cm="1">
        <f t="array" aca="1" ref="CS286" ca="1">_xlfn.SINGLE(IFERROR(SUMIFS(rng_out_qty_base, rng_out_GB_Medispan, "B", rng_out_sel_G_ind, "G", rng_out_mail_ind, $B286, rng_out_ds, $C286, rng_out_sel_sp_ind, $D286, rng_out_sel_excl_ind,$E286)/[1]Tables!$AT$4, 0))</f>
        <v>0</v>
      </c>
      <c r="CT286" s="221">
        <f ca="1">SUM(CR286:CS286)</f>
        <v>0</v>
      </c>
      <c r="CU286" s="213" cm="1">
        <f t="array" aca="1" ref="CU286" ca="1">_xlfn.SINGLE(IFERROR(SUMIFS(rng_out_ds_base, rng_out_GB_Medispan, "G", rng_out_sel_G_ind, "B", rng_out_mail_ind, $B286, rng_out_ds, $C286, rng_out_sel_sp_ind, $D286, rng_out_sel_excl_ind,$E286)/[1]Tables!$AT$4, 0))</f>
        <v>0</v>
      </c>
      <c r="CV286" s="214" cm="1">
        <f t="array" aca="1" ref="CV286" ca="1">_xlfn.SINGLE(IFERROR(SUMIFS(rng_out_ds_base, rng_out_GB_Medispan, "B", rng_out_sel_G_ind, "G", rng_out_mail_ind, $B286, rng_out_ds, $C286, rng_out_sel_sp_ind, $D286, rng_out_sel_excl_ind,$E286)/[1]Tables!$AT$4, 0))</f>
        <v>0</v>
      </c>
      <c r="CW286" s="220">
        <f ca="1">SUM(CU286:CV286)</f>
        <v>0</v>
      </c>
    </row>
    <row r="287" spans="2:101" x14ac:dyDescent="0.35">
      <c r="B287" s="105" t="s">
        <v>16</v>
      </c>
      <c r="C287" s="106"/>
      <c r="D287" s="106" t="s">
        <v>12</v>
      </c>
      <c r="E287" s="107" t="s">
        <v>13</v>
      </c>
      <c r="F287" s="106">
        <v>1</v>
      </c>
      <c r="G287" s="106"/>
      <c r="H287" s="118" t="s">
        <v>7</v>
      </c>
      <c r="I287" s="203" t="e" cm="1">
        <f t="array" aca="1" ref="I287" ca="1">SUMIFS(rng_out_rx_pre_yr1,rng_out_sel_excl_yr_ind, "", rng_out_GB_Medispan, I$1,rng_out_sel_G_ind,N$1,rng_out_mail_ind,$B287,rng_out_sel_sp_ind,$D287,rng_out_sel_excl_ind,$E287)+
SUMIFS(rng_out_rx_pre_yr1,rng_out_sel_excl_yr_ind, [1]Tables!$HN$4, rng_out_GB_Medispan, I$1,rng_out_sel_G_ind,N$1,rng_out_mail_ind,$B287,rng_out_sel_sp_ind,$D287,rng_out_sel_excl_ind,$E287)* _xlfn.XLOOKUP([1]Tables!$HN$4,'[1]RA Output'!$AY$4:$AY$5,'[1]RA Output'!AZ$4:AZ$5,0)  +
SUMIFS(rng_out_rx_pre_yr1,rng_out_sel_excl_yr_ind, [1]Tables!$HN$5, rng_out_GB_Medispan, I$1,rng_out_sel_G_ind,N$1,rng_out_mail_ind,$B287,rng_out_sel_sp_ind,$D287,rng_out_sel_excl_ind,$E287)* _xlfn.XLOOKUP([1]Tables!$HN$5,'[1]RA Output'!$AY$4:$AY$5,'[1]RA Output'!AZ$4:AZ$5,0)+
IF($E$289="N", 0,
SUMIFS(rng_out_rx_pre_yr1, rng_out_GB_Medispan, I$1, rng_out_sel_G_ind, N$1, rng_out_mail_ind, $B287, rng_out_sel_sp_ind, $D287, rng_out_sel_excl_ind,"N", rng_out_post_reb_ind_yr1, 0))</f>
        <v>#VALUE!</v>
      </c>
      <c r="J287" s="195" t="e" cm="1">
        <f t="array" aca="1" ref="J287" ca="1">SUMIFS(rng_out_rx_pre_yr2,rng_out_sel_excl_yr_ind, "", rng_out_GB_Medispan, J$1,rng_out_sel_G_ind,O$1,rng_out_mail_ind,$B287,rng_out_sel_sp_ind,$D287,rng_out_sel_excl_ind,$E287)+
SUMIFS(rng_out_rx_pre_yr2,rng_out_sel_excl_yr_ind, [1]Tables!$HN$4, rng_out_GB_Medispan, J$1,rng_out_sel_G_ind,O$1,rng_out_mail_ind,$B287,rng_out_sel_sp_ind,$D287,rng_out_sel_excl_ind,$E287)* _xlfn.XLOOKUP([1]Tables!$HN$4,'[1]RA Output'!$AY$4:$AY$5,'[1]RA Output'!BA$4:BA$5,0)  +
SUMIFS(rng_out_rx_pre_yr2,rng_out_sel_excl_yr_ind, [1]Tables!$HN$5, rng_out_GB_Medispan, J$1,rng_out_sel_G_ind,O$1,rng_out_mail_ind,$B287,rng_out_sel_sp_ind,$D287,rng_out_sel_excl_ind,$E287)* _xlfn.XLOOKUP([1]Tables!$HN$5,'[1]RA Output'!$AY$4:$AY$5,'[1]RA Output'!BA$4:BA$5,0)+
IF($E$289="N", 0,
SUMIFS(rng_out_rx_pre_yr2, rng_out_GB_Medispan, J$1, rng_out_sel_G_ind, O$1, rng_out_mail_ind, $B287, rng_out_sel_sp_ind, $D287, rng_out_sel_excl_ind,"N", rng_out_post_reb_ind_yr2, 0))</f>
        <v>#VALUE!</v>
      </c>
      <c r="K287" s="195" t="e" cm="1">
        <f t="array" aca="1" ref="K287" ca="1">SUMIFS(rng_out_rx_pre_yr3,rng_out_sel_excl_yr_ind, "", rng_out_GB_Medispan, K$1,rng_out_sel_G_ind,P$1,rng_out_mail_ind,$B287,rng_out_sel_sp_ind,$D287,rng_out_sel_excl_ind,$E287)+
SUMIFS(rng_out_rx_pre_yr3,rng_out_sel_excl_yr_ind, [1]Tables!$HN$4, rng_out_GB_Medispan, K$1,rng_out_sel_G_ind,P$1,rng_out_mail_ind,$B287,rng_out_sel_sp_ind,$D287,rng_out_sel_excl_ind,$E287)* _xlfn.XLOOKUP([1]Tables!$HN$4,'[1]RA Output'!$AY$4:$AY$5,'[1]RA Output'!BB$4:BB$5,0)  +
SUMIFS(rng_out_rx_pre_yr3,rng_out_sel_excl_yr_ind, [1]Tables!$HN$5, rng_out_GB_Medispan, K$1,rng_out_sel_G_ind,P$1,rng_out_mail_ind,$B287,rng_out_sel_sp_ind,$D287,rng_out_sel_excl_ind,$E287)* _xlfn.XLOOKUP([1]Tables!$HN$5,'[1]RA Output'!$AY$4:$AY$5,'[1]RA Output'!BB$4:BB$5,0)+
IF($E$289="N", 0,
SUMIFS(rng_out_rx_pre_yr3, rng_out_GB_Medispan, K$1, rng_out_sel_G_ind, P$1, rng_out_mail_ind, $B287, rng_out_sel_sp_ind, $D287, rng_out_sel_excl_ind,"N", rng_out_post_reb_ind_yr3, 0))</f>
        <v>#VALUE!</v>
      </c>
      <c r="L287" s="195" t="e" cm="1">
        <f t="array" aca="1" ref="L287" ca="1">SUMIFS(rng_out_rx_pre_yr4,rng_out_sel_excl_yr_ind, "", rng_out_GB_Medispan, L$1,rng_out_sel_G_ind,Q$1,rng_out_mail_ind,$B287,rng_out_sel_sp_ind,$D287,rng_out_sel_excl_ind,$E287)+
SUMIFS(rng_out_rx_pre_yr4,rng_out_sel_excl_yr_ind, [1]Tables!$HN$4, rng_out_GB_Medispan, L$1,rng_out_sel_G_ind,Q$1,rng_out_mail_ind,$B287,rng_out_sel_sp_ind,$D287,rng_out_sel_excl_ind,$E287)* _xlfn.XLOOKUP([1]Tables!$HN$4,'[1]RA Output'!$AY$4:$AY$5,'[1]RA Output'!BC$4:BC$5,0)  +
SUMIFS(rng_out_rx_pre_yr4,rng_out_sel_excl_yr_ind, [1]Tables!$HN$5, rng_out_GB_Medispan, L$1,rng_out_sel_G_ind,Q$1,rng_out_mail_ind,$B287,rng_out_sel_sp_ind,$D287,rng_out_sel_excl_ind,$E287)* _xlfn.XLOOKUP([1]Tables!$HN$5,'[1]RA Output'!$AY$4:$AY$5,'[1]RA Output'!BC$4:BC$5,0)+
IF($E$289="N", 0,
SUMIFS(rng_out_rx_pre_yr4, rng_out_GB_Medispan, L$1, rng_out_sel_G_ind, Q$1, rng_out_mail_ind, $B287, rng_out_sel_sp_ind, $D287, rng_out_sel_excl_ind,"N", rng_out_post_reb_ind_yr4, 0))</f>
        <v>#VALUE!</v>
      </c>
      <c r="M287" s="204" t="e" cm="1">
        <f t="array" aca="1" ref="M287" ca="1">SUMIFS(rng_out_rx_pre_yr5,rng_out_sel_excl_yr_ind, "", rng_out_GB_Medispan, M$1,rng_out_sel_G_ind,R$1,rng_out_mail_ind,$B287,rng_out_sel_sp_ind,$D287,rng_out_sel_excl_ind,$E287)+
SUMIFS(rng_out_rx_pre_yr5,rng_out_sel_excl_yr_ind, [1]Tables!$HN$4, rng_out_GB_Medispan, M$1,rng_out_sel_G_ind,R$1,rng_out_mail_ind,$B287,rng_out_sel_sp_ind,$D287,rng_out_sel_excl_ind,$E287)* _xlfn.XLOOKUP([1]Tables!$HN$4,'[1]RA Output'!$AY$4:$AY$5,'[1]RA Output'!BD$4:BD$5,0)  +
SUMIFS(rng_out_rx_pre_yr5,rng_out_sel_excl_yr_ind, [1]Tables!$HN$5, rng_out_GB_Medispan, M$1,rng_out_sel_G_ind,R$1,rng_out_mail_ind,$B287,rng_out_sel_sp_ind,$D287,rng_out_sel_excl_ind,$E287)* _xlfn.XLOOKUP([1]Tables!$HN$5,'[1]RA Output'!$AY$4:$AY$5,'[1]RA Output'!BD$4:BD$5,0)+
IF($E$289="N", 0,
SUMIFS(rng_out_rx_pre_yr5, rng_out_GB_Medispan, M$1, rng_out_sel_G_ind, R$1, rng_out_mail_ind, $B287, rng_out_sel_sp_ind, $D287, rng_out_sel_excl_ind,"N", rng_out_post_reb_ind_yr5, 0))</f>
        <v>#VALUE!</v>
      </c>
      <c r="N287" s="203" t="e" cm="1">
        <f t="array" aca="1" ref="N287" ca="1">SUMIFS(rng_out_rx_pre_yr1,rng_out_sel_excl_yr_ind, "", rng_out_GB_Medispan, N$1,rng_out_sel_G_ind,I$1,rng_out_mail_ind,$B287,rng_out_sel_sp_ind,$D287,rng_out_sel_excl_ind,$E287)+
SUMIFS(rng_out_rx_pre_yr1,rng_out_sel_excl_yr_ind, [1]Tables!$HN$4, rng_out_GB_Medispan, N$1,rng_out_sel_G_ind,I$1,rng_out_mail_ind,$B287,rng_out_sel_sp_ind,$D287,rng_out_sel_excl_ind,$E287)* _xlfn.XLOOKUP([1]Tables!$HN$4,'[1]RA Output'!$AY$4:$AY$5,'[1]RA Output'!AZ$4:AZ$5,0)  +
SUMIFS(rng_out_rx_pre_yr1,rng_out_sel_excl_yr_ind, [1]Tables!$HN$5, rng_out_GB_Medispan, N$1,rng_out_sel_G_ind,I$1,rng_out_mail_ind,$B287,rng_out_sel_sp_ind,$D287,rng_out_sel_excl_ind,$E287)* _xlfn.XLOOKUP([1]Tables!$HN$5,'[1]RA Output'!$AY$4:$AY$5,'[1]RA Output'!AZ$4:AZ$5,0)+
IF($E$289="N", 0,
SUMIFS(rng_out_rx_pre_yr1, rng_out_GB_Medispan, N$1, rng_out_sel_G_ind, I$1, rng_out_mail_ind, $B287, rng_out_sel_sp_ind, $D287, rng_out_sel_excl_ind,"N", rng_out_post_reb_ind_yr1, 0))</f>
        <v>#VALUE!</v>
      </c>
      <c r="O287" s="195" t="e" cm="1">
        <f t="array" aca="1" ref="O287" ca="1">SUMIFS(rng_out_rx_pre_yr2,rng_out_sel_excl_yr_ind, "", rng_out_GB_Medispan, O$1,rng_out_sel_G_ind,J$1,rng_out_mail_ind,$B287,rng_out_sel_sp_ind,$D287,rng_out_sel_excl_ind,$E287)+
SUMIFS(rng_out_rx_pre_yr2,rng_out_sel_excl_yr_ind, [1]Tables!$HN$4, rng_out_GB_Medispan, O$1,rng_out_sel_G_ind,J$1,rng_out_mail_ind,$B287,rng_out_sel_sp_ind,$D287,rng_out_sel_excl_ind,$E287)* _xlfn.XLOOKUP([1]Tables!$HN$4,'[1]RA Output'!$AY$4:$AY$5,'[1]RA Output'!BA$4:BA$5,0)  +
SUMIFS(rng_out_rx_pre_yr2,rng_out_sel_excl_yr_ind, [1]Tables!$HN$5, rng_out_GB_Medispan, O$1,rng_out_sel_G_ind,J$1,rng_out_mail_ind,$B287,rng_out_sel_sp_ind,$D287,rng_out_sel_excl_ind,$E287)* _xlfn.XLOOKUP([1]Tables!$HN$5,'[1]RA Output'!$AY$4:$AY$5,'[1]RA Output'!BA$4:BA$5,0)+
IF($E$289="N", 0,
SUMIFS(rng_out_rx_pre_yr2, rng_out_GB_Medispan, O$1, rng_out_sel_G_ind, J$1, rng_out_mail_ind, $B287, rng_out_sel_sp_ind, $D287, rng_out_sel_excl_ind,"N", rng_out_post_reb_ind_yr2, 0))</f>
        <v>#VALUE!</v>
      </c>
      <c r="P287" s="195" t="e" cm="1">
        <f t="array" aca="1" ref="P287" ca="1">SUMIFS(rng_out_rx_pre_yr3,rng_out_sel_excl_yr_ind, "", rng_out_GB_Medispan, P$1,rng_out_sel_G_ind,K$1,rng_out_mail_ind,$B287,rng_out_sel_sp_ind,$D287,rng_out_sel_excl_ind,$E287)+
SUMIFS(rng_out_rx_pre_yr3,rng_out_sel_excl_yr_ind, [1]Tables!$HN$4, rng_out_GB_Medispan, P$1,rng_out_sel_G_ind,K$1,rng_out_mail_ind,$B287,rng_out_sel_sp_ind,$D287,rng_out_sel_excl_ind,$E287)* _xlfn.XLOOKUP([1]Tables!$HN$4,'[1]RA Output'!$AY$4:$AY$5,'[1]RA Output'!BB$4:BB$5,0)  +
SUMIFS(rng_out_rx_pre_yr3,rng_out_sel_excl_yr_ind, [1]Tables!$HN$5, rng_out_GB_Medispan, P$1,rng_out_sel_G_ind,K$1,rng_out_mail_ind,$B287,rng_out_sel_sp_ind,$D287,rng_out_sel_excl_ind,$E287)* _xlfn.XLOOKUP([1]Tables!$HN$5,'[1]RA Output'!$AY$4:$AY$5,'[1]RA Output'!BB$4:BB$5,0)+
IF($E$289="N", 0,
SUMIFS(rng_out_rx_pre_yr3, rng_out_GB_Medispan, P$1, rng_out_sel_G_ind, K$1, rng_out_mail_ind, $B287, rng_out_sel_sp_ind, $D287, rng_out_sel_excl_ind,"N", rng_out_post_reb_ind_yr3, 0))</f>
        <v>#VALUE!</v>
      </c>
      <c r="Q287" s="195" t="e" cm="1">
        <f t="array" aca="1" ref="Q287" ca="1">SUMIFS(rng_out_rx_pre_yr4,rng_out_sel_excl_yr_ind, "", rng_out_GB_Medispan, Q$1,rng_out_sel_G_ind,L$1,rng_out_mail_ind,$B287,rng_out_sel_sp_ind,$D287,rng_out_sel_excl_ind,$E287)+
SUMIFS(rng_out_rx_pre_yr4,rng_out_sel_excl_yr_ind, [1]Tables!$HN$4, rng_out_GB_Medispan, Q$1,rng_out_sel_G_ind,L$1,rng_out_mail_ind,$B287,rng_out_sel_sp_ind,$D287,rng_out_sel_excl_ind,$E287)* _xlfn.XLOOKUP([1]Tables!$HN$4,'[1]RA Output'!$AY$4:$AY$5,'[1]RA Output'!BC$4:BC$5,0)  +
SUMIFS(rng_out_rx_pre_yr4,rng_out_sel_excl_yr_ind, [1]Tables!$HN$5, rng_out_GB_Medispan, Q$1,rng_out_sel_G_ind,L$1,rng_out_mail_ind,$B287,rng_out_sel_sp_ind,$D287,rng_out_sel_excl_ind,$E287)* _xlfn.XLOOKUP([1]Tables!$HN$5,'[1]RA Output'!$AY$4:$AY$5,'[1]RA Output'!BC$4:BC$5,0)+
IF($E$289="N", 0,
SUMIFS(rng_out_rx_pre_yr4, rng_out_GB_Medispan, Q$1, rng_out_sel_G_ind, L$1, rng_out_mail_ind, $B287, rng_out_sel_sp_ind, $D287, rng_out_sel_excl_ind,"N", rng_out_post_reb_ind_yr4, 0))</f>
        <v>#VALUE!</v>
      </c>
      <c r="R287" s="204" t="e" cm="1">
        <f t="array" aca="1" ref="R287" ca="1">SUMIFS(rng_out_rx_pre_yr5,rng_out_sel_excl_yr_ind, "", rng_out_GB_Medispan, R$1,rng_out_sel_G_ind,M$1,rng_out_mail_ind,$B287,rng_out_sel_sp_ind,$D287,rng_out_sel_excl_ind,$E287)+
SUMIFS(rng_out_rx_pre_yr5,rng_out_sel_excl_yr_ind, [1]Tables!$HN$4, rng_out_GB_Medispan, R$1,rng_out_sel_G_ind,M$1,rng_out_mail_ind,$B287,rng_out_sel_sp_ind,$D287,rng_out_sel_excl_ind,$E287)* _xlfn.XLOOKUP([1]Tables!$HN$4,'[1]RA Output'!$AY$4:$AY$5,'[1]RA Output'!BD$4:BD$5,0)  +
SUMIFS(rng_out_rx_pre_yr5,rng_out_sel_excl_yr_ind, [1]Tables!$HN$5, rng_out_GB_Medispan, R$1,rng_out_sel_G_ind,M$1,rng_out_mail_ind,$B287,rng_out_sel_sp_ind,$D287,rng_out_sel_excl_ind,$E287)* _xlfn.XLOOKUP([1]Tables!$HN$5,'[1]RA Output'!$AY$4:$AY$5,'[1]RA Output'!BD$4:BD$5,0)+
IF($E$289="N", 0,
SUMIFS(rng_out_rx_pre_yr5, rng_out_GB_Medispan, R$1, rng_out_sel_G_ind, M$1, rng_out_mail_ind, $B287, rng_out_sel_sp_ind, $D287, rng_out_sel_excl_ind,"N", rng_out_post_reb_ind_yr5, 0))</f>
        <v>#VALUE!</v>
      </c>
      <c r="S287" s="205" t="e">
        <f t="shared" ca="1" si="289"/>
        <v>#VALUE!</v>
      </c>
      <c r="T287" s="206" t="e">
        <f t="shared" ca="1" si="289"/>
        <v>#VALUE!</v>
      </c>
      <c r="U287" s="206" t="e">
        <f t="shared" ca="1" si="289"/>
        <v>#VALUE!</v>
      </c>
      <c r="V287" s="206" t="e">
        <f t="shared" ca="1" si="289"/>
        <v>#VALUE!</v>
      </c>
      <c r="W287" s="207" t="e">
        <f t="shared" ca="1" si="289"/>
        <v>#VALUE!</v>
      </c>
      <c r="Y287" s="119" t="s">
        <v>7</v>
      </c>
      <c r="Z287" s="208">
        <f ca="1">IFERROR(I287/[1]Tables!$AT$4, 0)</f>
        <v>0</v>
      </c>
      <c r="AA287" s="206">
        <f ca="1">IFERROR(J287/[1]Tables!$AT$4, 0)</f>
        <v>0</v>
      </c>
      <c r="AB287" s="206">
        <f ca="1">IFERROR(K287/[1]Tables!$AT$4, 0)</f>
        <v>0</v>
      </c>
      <c r="AC287" s="206">
        <f ca="1">IFERROR(L287/[1]Tables!$AT$4, 0)</f>
        <v>0</v>
      </c>
      <c r="AD287" s="209">
        <f ca="1">IFERROR(M287/[1]Tables!$AT$4, 0)</f>
        <v>0</v>
      </c>
      <c r="AE287" s="208">
        <f ca="1">IFERROR(N287/[1]Tables!$AT$4, 0)</f>
        <v>0</v>
      </c>
      <c r="AF287" s="206">
        <f ca="1">IFERROR(O287/[1]Tables!$AT$4, 0)</f>
        <v>0</v>
      </c>
      <c r="AG287" s="206">
        <f ca="1">IFERROR(P287/[1]Tables!$AT$4, 0)</f>
        <v>0</v>
      </c>
      <c r="AH287" s="206">
        <f ca="1">IFERROR(Q287/[1]Tables!$AT$4, 0)</f>
        <v>0</v>
      </c>
      <c r="AI287" s="209">
        <f ca="1">IFERROR(R287/[1]Tables!$AT$4, 0)</f>
        <v>0</v>
      </c>
      <c r="AJ287" s="208">
        <f t="shared" ca="1" si="290"/>
        <v>0</v>
      </c>
      <c r="AK287" s="206">
        <f t="shared" ca="1" si="290"/>
        <v>0</v>
      </c>
      <c r="AL287" s="206">
        <f t="shared" ca="1" si="290"/>
        <v>0</v>
      </c>
      <c r="AM287" s="206">
        <f t="shared" ca="1" si="290"/>
        <v>0</v>
      </c>
      <c r="AN287" s="209">
        <f t="shared" ca="1" si="290"/>
        <v>0</v>
      </c>
      <c r="AP287" s="120" t="s">
        <v>7</v>
      </c>
      <c r="AQ287" s="210" cm="1">
        <f t="array" aca="1" ref="AQ287" ca="1">IFERROR(IF(OR(input_Shift="No", [1]Tables!$BN$4=1), 0, ((SUMIFS(INDIRECT('[1]RA Output'!AZ$1),rng_out_sel_excl_yr_ind, "", rng_out_GB_Medispan, N$1,rng_out_sel_G_ind,I$1,rng_out_mail_ind,$B287,rng_out_sel_sp_ind,$D287,rng_out_sel_excl_ind,$E287, rng_out_MSB_excl, $F287)+
SUMIFS(INDIRECT('[1]RA Output'!AZ$1),rng_out_sel_excl_yr_ind, [1]Tables!$HN$4, rng_out_GB_Medispan, N$1,rng_out_sel_G_ind,I$1,rng_out_mail_ind,$B287,rng_out_sel_sp_ind,$D287,rng_out_sel_excl_ind,$E287, rng_out_MSB_excl, $F287)* _xlfn.XLOOKUP([1]Tables!$HN$4,'[1]RA Output'!$AY$4:$AY$5,'[1]RA Output'!AZ$4:AZ$5,0)  +
SUMIFS(INDIRECT('[1]RA Output'!AZ$1),rng_out_sel_excl_yr_ind, [1]Tables!$HN$5, rng_out_GB_Medispan, N$1,rng_out_sel_G_ind,I$1,rng_out_mail_ind,$B287,rng_out_sel_sp_ind,$D287,rng_out_sel_excl_ind,$E287, rng_out_MSB_excl, $F287)* _xlfn.XLOOKUP([1]Tables!$HN$5,'[1]RA Output'!$AY$4:$AY$5,'[1]RA Output'!AZ$4:AZ$5,0))/[1]Tables!$AT$4)/[1]Tables!$BN$4*(1-[1]Tables!$BN$4)), 0)
+ IFERROR((SUMIFS(INDIRECT('[1]RA Output'!AZ$1),rng_out_sel_excl_yr_ind, "", rng_out_GB_Medispan, I$1,rng_out_sel_G_ind,N$1,rng_out_mail_ind,$B287,rng_out_sel_sp_ind,$D287,rng_out_sel_excl_ind,$E287)+
SUMIFS(INDIRECT('[1]RA Output'!AZ$1),rng_out_sel_excl_yr_ind, [1]Tables!$HN$4, rng_out_GB_Medispan, I$1,rng_out_sel_G_ind,N$1,rng_out_mail_ind,$B287,rng_out_sel_sp_ind,$D287,rng_out_sel_excl_ind,$E287)* _xlfn.XLOOKUP([1]Tables!$HN$4,'[1]RA Output'!$AY$4:$AY$5,'[1]RA Output'!AZ$4:AZ$5,0)  +
SUMIFS(INDIRECT('[1]RA Output'!AZ$1),rng_out_sel_excl_yr_ind, [1]Tables!$HN$5, rng_out_GB_Medispan, I$1,rng_out_sel_G_ind,N$1,rng_out_mail_ind,$B287,rng_out_sel_sp_ind,$D287,rng_out_sel_excl_ind,$E287)* _xlfn.XLOOKUP([1]Tables!$HN$5,'[1]RA Output'!$AY$4:$AY$5,'[1]RA Output'!AZ$4:AZ$5,0))/[1]Tables!$AT$4, 0)+
IF($E$280="N", 0,
IFERROR((SUMIFS(INDIRECT('[1]RA Output'!AZ$1), rng_out_GB_Medispan, I$1, rng_out_sel_G_ind, N$1, rng_out_mail_ind, $B287, rng_out_sel_sp_ind, $D287, rng_out_sel_excl_ind,"N", INDIRECT('[1]RA Output'!EQ$1), 0))/[1]Tables!$AT$4, 0))</f>
        <v>0</v>
      </c>
      <c r="AR287" s="195" cm="1">
        <f t="array" aca="1" ref="AR287" ca="1">IFERROR(IF(OR(input_Shift="No", [1]Tables!$BN$4=1), 0, ((SUMIFS(INDIRECT('[1]RA Output'!BA$1),rng_out_sel_excl_yr_ind, "", rng_out_GB_Medispan, O$1,rng_out_sel_G_ind,J$1,rng_out_mail_ind,$B287,rng_out_sel_sp_ind,$D287,rng_out_sel_excl_ind,$E287, rng_out_MSB_excl, $F287)+
SUMIFS(INDIRECT('[1]RA Output'!BA$1),rng_out_sel_excl_yr_ind, [1]Tables!$HN$4, rng_out_GB_Medispan, O$1,rng_out_sel_G_ind,J$1,rng_out_mail_ind,$B287,rng_out_sel_sp_ind,$D287,rng_out_sel_excl_ind,$E287, rng_out_MSB_excl, $F287)* _xlfn.XLOOKUP([1]Tables!$HN$4,'[1]RA Output'!$AY$4:$AY$5,'[1]RA Output'!BA$4:BA$5,0)  +
SUMIFS(INDIRECT('[1]RA Output'!BA$1),rng_out_sel_excl_yr_ind, [1]Tables!$HN$5, rng_out_GB_Medispan, O$1,rng_out_sel_G_ind,J$1,rng_out_mail_ind,$B287,rng_out_sel_sp_ind,$D287,rng_out_sel_excl_ind,$E287, rng_out_MSB_excl, $F287)* _xlfn.XLOOKUP([1]Tables!$HN$5,'[1]RA Output'!$AY$4:$AY$5,'[1]RA Output'!BA$4:BA$5,0))/[1]Tables!$AT$4)/[1]Tables!$BN$4*(1-[1]Tables!$BN$4)), 0)
+ IFERROR((SUMIFS(INDIRECT('[1]RA Output'!BA$1),rng_out_sel_excl_yr_ind, "", rng_out_GB_Medispan, J$1,rng_out_sel_G_ind,O$1,rng_out_mail_ind,$B287,rng_out_sel_sp_ind,$D287,rng_out_sel_excl_ind,$E287)+
SUMIFS(INDIRECT('[1]RA Output'!BA$1),rng_out_sel_excl_yr_ind, [1]Tables!$HN$4, rng_out_GB_Medispan, J$1,rng_out_sel_G_ind,O$1,rng_out_mail_ind,$B287,rng_out_sel_sp_ind,$D287,rng_out_sel_excl_ind,$E287)* _xlfn.XLOOKUP([1]Tables!$HN$4,'[1]RA Output'!$AY$4:$AY$5,'[1]RA Output'!BA$4:BA$5,0)  +
SUMIFS(INDIRECT('[1]RA Output'!BA$1),rng_out_sel_excl_yr_ind, [1]Tables!$HN$5, rng_out_GB_Medispan, J$1,rng_out_sel_G_ind,O$1,rng_out_mail_ind,$B287,rng_out_sel_sp_ind,$D287,rng_out_sel_excl_ind,$E287)* _xlfn.XLOOKUP([1]Tables!$HN$5,'[1]RA Output'!$AY$4:$AY$5,'[1]RA Output'!BA$4:BA$5,0))/[1]Tables!$AT$4, 0)+
IF($E$280="N", 0,
IFERROR((SUMIFS(INDIRECT('[1]RA Output'!BA$1), rng_out_GB_Medispan, J$1, rng_out_sel_G_ind, O$1, rng_out_mail_ind, $B287, rng_out_sel_sp_ind, $D287, rng_out_sel_excl_ind,"N", INDIRECT('[1]RA Output'!ER$1), 0))/[1]Tables!$AT$4, 0))</f>
        <v>0</v>
      </c>
      <c r="AS287" s="195" cm="1">
        <f t="array" aca="1" ref="AS287" ca="1">IFERROR(IF(OR(input_Shift="No", [1]Tables!$BN$4=1), 0, ((SUMIFS(INDIRECT('[1]RA Output'!BB$1),rng_out_sel_excl_yr_ind, "", rng_out_GB_Medispan, P$1,rng_out_sel_G_ind,K$1,rng_out_mail_ind,$B287,rng_out_sel_sp_ind,$D287,rng_out_sel_excl_ind,$E287, rng_out_MSB_excl, $F287)+
SUMIFS(INDIRECT('[1]RA Output'!BB$1),rng_out_sel_excl_yr_ind, [1]Tables!$HN$4, rng_out_GB_Medispan, P$1,rng_out_sel_G_ind,K$1,rng_out_mail_ind,$B287,rng_out_sel_sp_ind,$D287,rng_out_sel_excl_ind,$E287, rng_out_MSB_excl, $F287)* _xlfn.XLOOKUP([1]Tables!$HN$4,'[1]RA Output'!$AY$4:$AY$5,'[1]RA Output'!BB$4:BB$5,0)  +
SUMIFS(INDIRECT('[1]RA Output'!BB$1),rng_out_sel_excl_yr_ind, [1]Tables!$HN$5, rng_out_GB_Medispan, P$1,rng_out_sel_G_ind,K$1,rng_out_mail_ind,$B287,rng_out_sel_sp_ind,$D287,rng_out_sel_excl_ind,$E287, rng_out_MSB_excl, $F287)* _xlfn.XLOOKUP([1]Tables!$HN$5,'[1]RA Output'!$AY$4:$AY$5,'[1]RA Output'!BB$4:BB$5,0))/[1]Tables!$AT$4)/[1]Tables!$BN$4*(1-[1]Tables!$BN$4)), 0)
+ IFERROR((SUMIFS(INDIRECT('[1]RA Output'!BB$1),rng_out_sel_excl_yr_ind, "", rng_out_GB_Medispan, K$1,rng_out_sel_G_ind,P$1,rng_out_mail_ind,$B287,rng_out_sel_sp_ind,$D287,rng_out_sel_excl_ind,$E287)+
SUMIFS(INDIRECT('[1]RA Output'!BB$1),rng_out_sel_excl_yr_ind, [1]Tables!$HN$4, rng_out_GB_Medispan, K$1,rng_out_sel_G_ind,P$1,rng_out_mail_ind,$B287,rng_out_sel_sp_ind,$D287,rng_out_sel_excl_ind,$E287)* _xlfn.XLOOKUP([1]Tables!$HN$4,'[1]RA Output'!$AY$4:$AY$5,'[1]RA Output'!BB$4:BB$5,0)  +
SUMIFS(INDIRECT('[1]RA Output'!BB$1),rng_out_sel_excl_yr_ind, [1]Tables!$HN$5, rng_out_GB_Medispan, K$1,rng_out_sel_G_ind,P$1,rng_out_mail_ind,$B287,rng_out_sel_sp_ind,$D287,rng_out_sel_excl_ind,$E287)* _xlfn.XLOOKUP([1]Tables!$HN$5,'[1]RA Output'!$AY$4:$AY$5,'[1]RA Output'!BB$4:BB$5,0))/[1]Tables!$AT$4, 0)+
IF($E$280="N", 0,
IFERROR((SUMIFS(INDIRECT('[1]RA Output'!BB$1), rng_out_GB_Medispan, K$1, rng_out_sel_G_ind, P$1, rng_out_mail_ind, $B287, rng_out_sel_sp_ind, $D287, rng_out_sel_excl_ind,"N", INDIRECT('[1]RA Output'!ES$1), 0))/[1]Tables!$AT$4, 0))</f>
        <v>0</v>
      </c>
      <c r="AT287" s="195" cm="1">
        <f t="array" aca="1" ref="AT287" ca="1">IFERROR(IF(OR(input_Shift="No", [1]Tables!$BN$4=1), 0, ((SUMIFS(INDIRECT('[1]RA Output'!BC$1),rng_out_sel_excl_yr_ind, "", rng_out_GB_Medispan, Q$1,rng_out_sel_G_ind,L$1,rng_out_mail_ind,$B287,rng_out_sel_sp_ind,$D287,rng_out_sel_excl_ind,$E287, rng_out_MSB_excl, $F287)+
SUMIFS(INDIRECT('[1]RA Output'!BC$1),rng_out_sel_excl_yr_ind, [1]Tables!$HN$4, rng_out_GB_Medispan, Q$1,rng_out_sel_G_ind,L$1,rng_out_mail_ind,$B287,rng_out_sel_sp_ind,$D287,rng_out_sel_excl_ind,$E287, rng_out_MSB_excl, $F287)* _xlfn.XLOOKUP([1]Tables!$HN$4,'[1]RA Output'!$AY$4:$AY$5,'[1]RA Output'!BC$4:BC$5,0)  +
SUMIFS(INDIRECT('[1]RA Output'!BC$1),rng_out_sel_excl_yr_ind, [1]Tables!$HN$5, rng_out_GB_Medispan, Q$1,rng_out_sel_G_ind,L$1,rng_out_mail_ind,$B287,rng_out_sel_sp_ind,$D287,rng_out_sel_excl_ind,$E287, rng_out_MSB_excl, $F287)* _xlfn.XLOOKUP([1]Tables!$HN$5,'[1]RA Output'!$AY$4:$AY$5,'[1]RA Output'!BC$4:BC$5,0))/[1]Tables!$AT$4)/[1]Tables!$BN$4*(1-[1]Tables!$BN$4)), 0)
+ IFERROR((SUMIFS(INDIRECT('[1]RA Output'!BC$1),rng_out_sel_excl_yr_ind, "", rng_out_GB_Medispan, L$1,rng_out_sel_G_ind,Q$1,rng_out_mail_ind,$B287,rng_out_sel_sp_ind,$D287,rng_out_sel_excl_ind,$E287)+
SUMIFS(INDIRECT('[1]RA Output'!BC$1),rng_out_sel_excl_yr_ind, [1]Tables!$HN$4, rng_out_GB_Medispan, L$1,rng_out_sel_G_ind,Q$1,rng_out_mail_ind,$B287,rng_out_sel_sp_ind,$D287,rng_out_sel_excl_ind,$E287)* _xlfn.XLOOKUP([1]Tables!$HN$4,'[1]RA Output'!$AY$4:$AY$5,'[1]RA Output'!BC$4:BC$5,0)  +
SUMIFS(INDIRECT('[1]RA Output'!BC$1),rng_out_sel_excl_yr_ind, [1]Tables!$HN$5, rng_out_GB_Medispan, L$1,rng_out_sel_G_ind,Q$1,rng_out_mail_ind,$B287,rng_out_sel_sp_ind,$D287,rng_out_sel_excl_ind,$E287)* _xlfn.XLOOKUP([1]Tables!$HN$5,'[1]RA Output'!$AY$4:$AY$5,'[1]RA Output'!BC$4:BC$5,0))/[1]Tables!$AT$4, 0)+
IF($E$280="N", 0,
IFERROR((SUMIFS(INDIRECT('[1]RA Output'!BC$1), rng_out_GB_Medispan, L$1, rng_out_sel_G_ind, Q$1, rng_out_mail_ind, $B287, rng_out_sel_sp_ind, $D287, rng_out_sel_excl_ind,"N", INDIRECT('[1]RA Output'!ET$1), 0))/[1]Tables!$AT$4, 0))</f>
        <v>0</v>
      </c>
      <c r="AU287" s="211" cm="1">
        <f t="array" aca="1" ref="AU287" ca="1">IFERROR(IF(OR(input_Shift="No", [1]Tables!$BN$4=1), 0, ((SUMIFS(INDIRECT('[1]RA Output'!BD$1),rng_out_sel_excl_yr_ind, "", rng_out_GB_Medispan, R$1,rng_out_sel_G_ind,M$1,rng_out_mail_ind,$B287,rng_out_sel_sp_ind,$D287,rng_out_sel_excl_ind,$E287, rng_out_MSB_excl, $F287)+
SUMIFS(INDIRECT('[1]RA Output'!BD$1),rng_out_sel_excl_yr_ind, [1]Tables!$HN$4, rng_out_GB_Medispan, R$1,rng_out_sel_G_ind,M$1,rng_out_mail_ind,$B287,rng_out_sel_sp_ind,$D287,rng_out_sel_excl_ind,$E287, rng_out_MSB_excl, $F287)* _xlfn.XLOOKUP([1]Tables!$HN$4,'[1]RA Output'!$AY$4:$AY$5,'[1]RA Output'!BD$4:BD$5,0)  +
SUMIFS(INDIRECT('[1]RA Output'!BD$1),rng_out_sel_excl_yr_ind, [1]Tables!$HN$5, rng_out_GB_Medispan, R$1,rng_out_sel_G_ind,M$1,rng_out_mail_ind,$B287,rng_out_sel_sp_ind,$D287,rng_out_sel_excl_ind,$E287, rng_out_MSB_excl, $F287)* _xlfn.XLOOKUP([1]Tables!$HN$5,'[1]RA Output'!$AY$4:$AY$5,'[1]RA Output'!BD$4:BD$5,0))/[1]Tables!$AT$4)/[1]Tables!$BN$4*(1-[1]Tables!$BN$4)), 0)
+ IFERROR((SUMIFS(INDIRECT('[1]RA Output'!BD$1),rng_out_sel_excl_yr_ind, "", rng_out_GB_Medispan, M$1,rng_out_sel_G_ind,R$1,rng_out_mail_ind,$B287,rng_out_sel_sp_ind,$D287,rng_out_sel_excl_ind,$E287)+
SUMIFS(INDIRECT('[1]RA Output'!BD$1),rng_out_sel_excl_yr_ind, [1]Tables!$HN$4, rng_out_GB_Medispan, M$1,rng_out_sel_G_ind,R$1,rng_out_mail_ind,$B287,rng_out_sel_sp_ind,$D287,rng_out_sel_excl_ind,$E287)* _xlfn.XLOOKUP([1]Tables!$HN$4,'[1]RA Output'!$AY$4:$AY$5,'[1]RA Output'!BD$4:BD$5,0)  +
SUMIFS(INDIRECT('[1]RA Output'!BD$1),rng_out_sel_excl_yr_ind, [1]Tables!$HN$5, rng_out_GB_Medispan, M$1,rng_out_sel_G_ind,R$1,rng_out_mail_ind,$B287,rng_out_sel_sp_ind,$D287,rng_out_sel_excl_ind,$E287)* _xlfn.XLOOKUP([1]Tables!$HN$5,'[1]RA Output'!$AY$4:$AY$5,'[1]RA Output'!BD$4:BD$5,0))/[1]Tables!$AT$4, 0)+
IF($E$280="N", 0,
IFERROR((SUMIFS(INDIRECT('[1]RA Output'!BD$1), rng_out_GB_Medispan, M$1, rng_out_sel_G_ind, R$1, rng_out_mail_ind, $B287, rng_out_sel_sp_ind, $D287, rng_out_sel_excl_ind,"N", INDIRECT('[1]RA Output'!EU$1), 0))/[1]Tables!$AT$4, 0))</f>
        <v>0</v>
      </c>
      <c r="AV287" s="210" t="e" cm="1">
        <f t="array" aca="1" ref="AV287" ca="1">(SUMIFS(rng_out_rx_post_yr1,rng_out_sel_excl_yr_ind, "", rng_out_GB_Medispan, N$1,rng_out_sel_G_ind,I$1,rng_out_mail_ind,$B287,rng_out_sel_sp_ind,$D287,rng_out_sel_excl_ind,$E287)+
SUMIFS(rng_out_rx_post_yr1,rng_out_sel_excl_yr_ind, [1]Tables!$HN$4, rng_out_GB_Medispan, N$1,rng_out_sel_G_ind,I$1,rng_out_mail_ind,$B287,rng_out_sel_sp_ind,$D287,rng_out_sel_excl_ind,$E287)* _xlfn.XLOOKUP([1]Tables!$HN$4,'[1]RA Output'!$AY$4:$AY$5,'[1]RA Output'!AZ$4:AZ$5,0)  +
SUMIFS(rng_out_rx_post_yr1,rng_out_sel_excl_yr_ind, [1]Tables!$HN$5, rng_out_GB_Medispan, N$1,rng_out_sel_G_ind,I$1,rng_out_mail_ind,$B287,rng_out_sel_sp_ind,$D287,rng_out_sel_excl_ind,$E287)* _xlfn.XLOOKUP([1]Tables!$HN$5,'[1]RA Output'!$AY$4:$AY$5,'[1]RA Output'!AZ$4:AZ$5,0))/[1]Tables!$AT$4+
IFERROR(IF($E$289="N", 0,
SUMIFS(rng_out_rx_post_yr1, rng_out_GB_Medispan, N$1, rng_out_sel_G_ind, I$1, rng_out_mail_ind, $B287, rng_out_sel_sp_ind, $D287, rng_out_sel_excl_ind,"N", rng_out_post_reb_ind_yr1, 0)/[1]Tables!$AT$4),0)</f>
        <v>#VALUE!</v>
      </c>
      <c r="AW287" s="195" t="e" cm="1">
        <f t="array" aca="1" ref="AW287" ca="1">(SUMIFS(rng_out_rx_post_yr2,rng_out_sel_excl_yr_ind, "", rng_out_GB_Medispan, O$1,rng_out_sel_G_ind,J$1,rng_out_mail_ind,$B287,rng_out_sel_sp_ind,$D287,rng_out_sel_excl_ind,$E287)+
SUMIFS(rng_out_rx_post_yr2,rng_out_sel_excl_yr_ind, [1]Tables!$HN$4, rng_out_GB_Medispan, O$1,rng_out_sel_G_ind,J$1,rng_out_mail_ind,$B287,rng_out_sel_sp_ind,$D287,rng_out_sel_excl_ind,$E287)* _xlfn.XLOOKUP([1]Tables!$HN$4,'[1]RA Output'!$AY$4:$AY$5,'[1]RA Output'!BA$4:BA$5,0)  +
SUMIFS(rng_out_rx_post_yr2,rng_out_sel_excl_yr_ind, [1]Tables!$HN$5, rng_out_GB_Medispan, O$1,rng_out_sel_G_ind,J$1,rng_out_mail_ind,$B287,rng_out_sel_sp_ind,$D287,rng_out_sel_excl_ind,$E287)* _xlfn.XLOOKUP([1]Tables!$HN$5,'[1]RA Output'!$AY$4:$AY$5,'[1]RA Output'!BA$4:BA$5,0))/[1]Tables!$AT$4+
IFERROR(IF($E$289="N", 0,
SUMIFS(rng_out_rx_post_yr2, rng_out_GB_Medispan, O$1, rng_out_sel_G_ind, J$1, rng_out_mail_ind, $B287, rng_out_sel_sp_ind, $D287, rng_out_sel_excl_ind,"N", rng_out_post_reb_ind_yr2, 0)/[1]Tables!$AT$4),0)</f>
        <v>#VALUE!</v>
      </c>
      <c r="AX287" s="195" t="e" cm="1">
        <f t="array" aca="1" ref="AX287" ca="1">(SUMIFS(rng_out_rx_post_yr3,rng_out_sel_excl_yr_ind, "", rng_out_GB_Medispan, P$1,rng_out_sel_G_ind,K$1,rng_out_mail_ind,$B287,rng_out_sel_sp_ind,$D287,rng_out_sel_excl_ind,$E287)+
SUMIFS(rng_out_rx_post_yr3,rng_out_sel_excl_yr_ind, [1]Tables!$HN$4, rng_out_GB_Medispan, P$1,rng_out_sel_G_ind,K$1,rng_out_mail_ind,$B287,rng_out_sel_sp_ind,$D287,rng_out_sel_excl_ind,$E287)* _xlfn.XLOOKUP([1]Tables!$HN$4,'[1]RA Output'!$AY$4:$AY$5,'[1]RA Output'!BB$4:BB$5,0)  +
SUMIFS(rng_out_rx_post_yr3,rng_out_sel_excl_yr_ind, [1]Tables!$HN$5, rng_out_GB_Medispan, P$1,rng_out_sel_G_ind,K$1,rng_out_mail_ind,$B287,rng_out_sel_sp_ind,$D287,rng_out_sel_excl_ind,$E287)* _xlfn.XLOOKUP([1]Tables!$HN$5,'[1]RA Output'!$AY$4:$AY$5,'[1]RA Output'!BB$4:BB$5,0))/[1]Tables!$AT$4+
IFERROR(IF($E$289="N", 0,
SUMIFS(rng_out_rx_post_yr3, rng_out_GB_Medispan, P$1, rng_out_sel_G_ind, K$1, rng_out_mail_ind, $B287, rng_out_sel_sp_ind, $D287, rng_out_sel_excl_ind,"N", rng_out_post_reb_ind_yr3, 0)/[1]Tables!$AT$4),0)</f>
        <v>#VALUE!</v>
      </c>
      <c r="AY287" s="195" t="e" cm="1">
        <f t="array" aca="1" ref="AY287" ca="1">(SUMIFS(rng_out_rx_post_yr4,rng_out_sel_excl_yr_ind, "", rng_out_GB_Medispan, Q$1,rng_out_sel_G_ind,L$1,rng_out_mail_ind,$B287,rng_out_sel_sp_ind,$D287,rng_out_sel_excl_ind,$E287)+
SUMIFS(rng_out_rx_post_yr4,rng_out_sel_excl_yr_ind, [1]Tables!$HN$4, rng_out_GB_Medispan, Q$1,rng_out_sel_G_ind,L$1,rng_out_mail_ind,$B287,rng_out_sel_sp_ind,$D287,rng_out_sel_excl_ind,$E287)* _xlfn.XLOOKUP([1]Tables!$HN$4,'[1]RA Output'!$AY$4:$AY$5,'[1]RA Output'!BC$4:BC$5,0)  +
SUMIFS(rng_out_rx_post_yr4,rng_out_sel_excl_yr_ind, [1]Tables!$HN$5, rng_out_GB_Medispan, Q$1,rng_out_sel_G_ind,L$1,rng_out_mail_ind,$B287,rng_out_sel_sp_ind,$D287,rng_out_sel_excl_ind,$E287)* _xlfn.XLOOKUP([1]Tables!$HN$5,'[1]RA Output'!$AY$4:$AY$5,'[1]RA Output'!BC$4:BC$5,0))/[1]Tables!$AT$4+
IFERROR(IF($E$289="N", 0,
SUMIFS(rng_out_rx_post_yr4, rng_out_GB_Medispan, Q$1, rng_out_sel_G_ind, L$1, rng_out_mail_ind, $B287, rng_out_sel_sp_ind, $D287, rng_out_sel_excl_ind,"N", rng_out_post_reb_ind_yr4, 0)/[1]Tables!$AT$4),0)</f>
        <v>#VALUE!</v>
      </c>
      <c r="AZ287" s="211" t="e" cm="1">
        <f t="array" aca="1" ref="AZ287" ca="1">(SUMIFS(rng_out_rx_post_yr5,rng_out_sel_excl_yr_ind, "", rng_out_GB_Medispan, R$1,rng_out_sel_G_ind,M$1,rng_out_mail_ind,$B287,rng_out_sel_sp_ind,$D287,rng_out_sel_excl_ind,$E287)+
SUMIFS(rng_out_rx_post_yr5,rng_out_sel_excl_yr_ind, [1]Tables!$HN$4, rng_out_GB_Medispan, R$1,rng_out_sel_G_ind,M$1,rng_out_mail_ind,$B287,rng_out_sel_sp_ind,$D287,rng_out_sel_excl_ind,$E287)* _xlfn.XLOOKUP([1]Tables!$HN$4,'[1]RA Output'!$AY$4:$AY$5,'[1]RA Output'!BD$4:BD$5,0)  +
SUMIFS(rng_out_rx_post_yr5,rng_out_sel_excl_yr_ind, [1]Tables!$HN$5, rng_out_GB_Medispan, R$1,rng_out_sel_G_ind,M$1,rng_out_mail_ind,$B287,rng_out_sel_sp_ind,$D287,rng_out_sel_excl_ind,$E287)* _xlfn.XLOOKUP([1]Tables!$HN$5,'[1]RA Output'!$AY$4:$AY$5,'[1]RA Output'!BD$4:BD$5,0))/[1]Tables!$AT$4+
IFERROR(IF($E$289="N", 0,
SUMIFS(rng_out_rx_post_yr5, rng_out_GB_Medispan, R$1, rng_out_sel_G_ind, M$1, rng_out_mail_ind, $B287, rng_out_sel_sp_ind, $D287, rng_out_sel_excl_ind,"N", rng_out_post_reb_ind_yr5, 0)/[1]Tables!$AT$4),0)</f>
        <v>#VALUE!</v>
      </c>
      <c r="BA287" s="206" t="e">
        <f t="shared" ca="1" si="291"/>
        <v>#VALUE!</v>
      </c>
      <c r="BB287" s="206" t="e">
        <f t="shared" ca="1" si="291"/>
        <v>#VALUE!</v>
      </c>
      <c r="BC287" s="206" t="e">
        <f t="shared" ca="1" si="291"/>
        <v>#VALUE!</v>
      </c>
      <c r="BD287" s="206" t="e">
        <f t="shared" ca="1" si="291"/>
        <v>#VALUE!</v>
      </c>
      <c r="BE287" s="212" t="e">
        <f t="shared" ca="1" si="291"/>
        <v>#VALUE!</v>
      </c>
      <c r="BG287" s="121" t="s">
        <v>7</v>
      </c>
      <c r="BH287" s="213">
        <f t="shared" ca="1" si="292"/>
        <v>0</v>
      </c>
      <c r="BI287" s="206">
        <f t="shared" ca="1" si="292"/>
        <v>0</v>
      </c>
      <c r="BJ287" s="206">
        <f t="shared" ca="1" si="292"/>
        <v>0</v>
      </c>
      <c r="BK287" s="206">
        <f t="shared" ca="1" si="292"/>
        <v>0</v>
      </c>
      <c r="BL287" s="214">
        <f t="shared" ca="1" si="292"/>
        <v>0</v>
      </c>
      <c r="BM287" s="213" t="e">
        <f t="shared" ca="1" si="292"/>
        <v>#VALUE!</v>
      </c>
      <c r="BN287" s="206" t="e">
        <f t="shared" ca="1" si="292"/>
        <v>#VALUE!</v>
      </c>
      <c r="BO287" s="206" t="e">
        <f t="shared" ca="1" si="292"/>
        <v>#VALUE!</v>
      </c>
      <c r="BP287" s="206" t="e">
        <f t="shared" ca="1" si="292"/>
        <v>#VALUE!</v>
      </c>
      <c r="BQ287" s="214" t="e">
        <f t="shared" ca="1" si="292"/>
        <v>#VALUE!</v>
      </c>
      <c r="BR287" s="213" t="e">
        <f t="shared" ca="1" si="293"/>
        <v>#VALUE!</v>
      </c>
      <c r="BS287" s="206" t="e">
        <f t="shared" ca="1" si="293"/>
        <v>#VALUE!</v>
      </c>
      <c r="BT287" s="206" t="e">
        <f t="shared" ca="1" si="293"/>
        <v>#VALUE!</v>
      </c>
      <c r="BU287" s="206" t="e">
        <f t="shared" ca="1" si="293"/>
        <v>#VALUE!</v>
      </c>
      <c r="BV287" s="214" t="e">
        <f t="shared" ca="1" si="293"/>
        <v>#VALUE!</v>
      </c>
      <c r="BX287" s="121" t="s">
        <v>7</v>
      </c>
      <c r="BY287" s="213">
        <f t="shared" ca="1" si="294"/>
        <v>0</v>
      </c>
      <c r="BZ287" s="206">
        <f t="shared" ca="1" si="294"/>
        <v>0</v>
      </c>
      <c r="CA287" s="206">
        <f t="shared" ca="1" si="294"/>
        <v>0</v>
      </c>
      <c r="CB287" s="206">
        <f t="shared" ca="1" si="294"/>
        <v>0</v>
      </c>
      <c r="CC287" s="214">
        <f t="shared" ca="1" si="294"/>
        <v>0</v>
      </c>
      <c r="CD287" s="213" t="e">
        <f t="shared" ca="1" si="294"/>
        <v>#VALUE!</v>
      </c>
      <c r="CE287" s="206" t="e">
        <f t="shared" ca="1" si="294"/>
        <v>#VALUE!</v>
      </c>
      <c r="CF287" s="206" t="e">
        <f t="shared" ca="1" si="294"/>
        <v>#VALUE!</v>
      </c>
      <c r="CG287" s="206" t="e">
        <f t="shared" ca="1" si="294"/>
        <v>#VALUE!</v>
      </c>
      <c r="CH287" s="214" t="e">
        <f t="shared" ca="1" si="294"/>
        <v>#VALUE!</v>
      </c>
      <c r="CI287" s="213" t="e">
        <f t="shared" ca="1" si="295"/>
        <v>#VALUE!</v>
      </c>
      <c r="CJ287" s="206" t="e">
        <f t="shared" ca="1" si="295"/>
        <v>#VALUE!</v>
      </c>
      <c r="CK287" s="206" t="e">
        <f t="shared" ca="1" si="295"/>
        <v>#VALUE!</v>
      </c>
      <c r="CL287" s="206" t="e">
        <f t="shared" ca="1" si="295"/>
        <v>#VALUE!</v>
      </c>
      <c r="CM287" s="214" t="e">
        <f t="shared" ca="1" si="295"/>
        <v>#VALUE!</v>
      </c>
      <c r="CO287" s="213" cm="1">
        <f t="array" aca="1" ref="CO287" ca="1">_xlfn.SINGLE(IFERROR(SUMIFS(rng_out_rx_base, rng_out_GB_Medispan, "G", rng_out_sel_G_ind, "B", rng_out_mail_ind, $B287, rng_out_sel_sp_ind, $D287, rng_out_sel_excl_ind,$E287)/[1]Tables!$AT$4, 0))</f>
        <v>0</v>
      </c>
      <c r="CP287" s="214" cm="1">
        <f t="array" aca="1" ref="CP287" ca="1">_xlfn.SINGLE(IFERROR(SUMIFS(rng_out_rx_base, rng_out_GB_Medispan, "B", rng_out_sel_G_ind, "G", rng_out_mail_ind, $B287, rng_out_sel_sp_ind, $D287, rng_out_sel_excl_ind,$E287)/[1]Tables!$AT$4, 0))</f>
        <v>0</v>
      </c>
      <c r="CQ287" s="220">
        <f ca="1">SUM(CO287:CP287)</f>
        <v>0</v>
      </c>
      <c r="CR287" s="213" cm="1">
        <f t="array" aca="1" ref="CR287" ca="1">_xlfn.SINGLE(IFERROR(SUMIFS(rng_out_qty_base, rng_out_GB_Medispan, "G", rng_out_sel_G_ind, "B", rng_out_mail_ind, $B287, rng_out_sel_sp_ind, $D287, rng_out_sel_excl_ind,$E287)/[1]Tables!$AT$4, 0))</f>
        <v>0</v>
      </c>
      <c r="CS287" s="206" cm="1">
        <f t="array" aca="1" ref="CS287" ca="1">_xlfn.SINGLE(IFERROR(SUMIFS(rng_out_qty_base, rng_out_GB_Medispan, "B", rng_out_sel_G_ind, "G", rng_out_mail_ind, $B287, rng_out_sel_sp_ind, $D287, rng_out_sel_excl_ind,$E287)/[1]Tables!$AT$4, 0))</f>
        <v>0</v>
      </c>
      <c r="CT287" s="221">
        <f ca="1">SUM(CR287:CS287)</f>
        <v>0</v>
      </c>
      <c r="CU287" s="213" cm="1">
        <f t="array" aca="1" ref="CU287" ca="1">_xlfn.SINGLE(IFERROR(SUMIFS(rng_out_ds_base, rng_out_GB_Medispan, "G", rng_out_sel_G_ind, "B", rng_out_mail_ind, $B287, rng_out_sel_sp_ind, $D287, rng_out_sel_excl_ind,$E287)/[1]Tables!$AT$4, 0))</f>
        <v>0</v>
      </c>
      <c r="CV287" s="214" cm="1">
        <f t="array" aca="1" ref="CV287" ca="1">_xlfn.SINGLE(IFERROR(SUMIFS(rng_out_ds_base, rng_out_GB_Medispan, "B", rng_out_sel_G_ind, "G", rng_out_mail_ind, $B287, rng_out_sel_sp_ind, $D287, rng_out_sel_excl_ind,$E287)/[1]Tables!$AT$4, 0))</f>
        <v>0</v>
      </c>
      <c r="CW287" s="220">
        <f ca="1">SUM(CU287:CV287)</f>
        <v>0</v>
      </c>
    </row>
    <row r="288" spans="2:101" ht="15" thickBot="1" x14ac:dyDescent="0.4">
      <c r="B288" s="122"/>
      <c r="C288" s="123"/>
      <c r="D288" s="123" t="s">
        <v>13</v>
      </c>
      <c r="E288" s="124" t="s">
        <v>13</v>
      </c>
      <c r="F288" s="106">
        <v>1</v>
      </c>
      <c r="G288" s="106"/>
      <c r="H288" s="118" t="s">
        <v>17</v>
      </c>
      <c r="I288" s="203" t="e" cm="1">
        <f t="array" aca="1" ref="I288" ca="1">SUMIFS(rng_out_rx_pre_yr1,rng_out_sel_excl_yr_ind, "", rng_out_GB_Medispan, I$1,rng_out_sel_G_ind,N$1,rng_out_sel_sp_ind,$D288,rng_out_sel_excl_ind,$E288)+
SUMIFS(rng_out_rx_pre_yr1,rng_out_sel_excl_yr_ind, [1]Tables!$HN$4, rng_out_GB_Medispan, I$1,rng_out_sel_G_ind,N$1,rng_out_sel_sp_ind,$D288,rng_out_sel_excl_ind,$E288)* _xlfn.XLOOKUP([1]Tables!$HN$4,'[1]RA Output'!$AY$4:$AY$5,'[1]RA Output'!AZ$4:AZ$5,0)  +
SUMIFS(rng_out_rx_pre_yr1,rng_out_sel_excl_yr_ind, [1]Tables!$HN$5, rng_out_GB_Medispan, I$1,rng_out_sel_G_ind,N$1,rng_out_sel_sp_ind,$D288,rng_out_sel_excl_ind,$E288)* _xlfn.XLOOKUP([1]Tables!$HN$5,'[1]RA Output'!$AY$4:$AY$5,'[1]RA Output'!AZ$4:AZ$5,0)+
IF($E$289="N", 0,
SUMIFS(rng_out_rx_pre_yr1, rng_out_GB_Medispan, I$1, rng_out_sel_G_ind, N$1, rng_out_sel_sp_ind, $D288, rng_out_sel_excl_ind,"N", rng_out_post_reb_ind_yr1, 0))</f>
        <v>#VALUE!</v>
      </c>
      <c r="J288" s="195" t="e" cm="1">
        <f t="array" aca="1" ref="J288" ca="1">SUMIFS(rng_out_rx_pre_yr2,rng_out_sel_excl_yr_ind, "", rng_out_GB_Medispan, J$1,rng_out_sel_G_ind,O$1,rng_out_sel_sp_ind,$D288,rng_out_sel_excl_ind,$E288)+
SUMIFS(rng_out_rx_pre_yr2,rng_out_sel_excl_yr_ind, [1]Tables!$HN$4, rng_out_GB_Medispan, J$1,rng_out_sel_G_ind,O$1,rng_out_sel_sp_ind,$D288,rng_out_sel_excl_ind,$E288)* _xlfn.XLOOKUP([1]Tables!$HN$4,'[1]RA Output'!$AY$4:$AY$5,'[1]RA Output'!BA$4:BA$5,0)  +
SUMIFS(rng_out_rx_pre_yr2,rng_out_sel_excl_yr_ind, [1]Tables!$HN$5, rng_out_GB_Medispan, J$1,rng_out_sel_G_ind,O$1,rng_out_sel_sp_ind,$D288,rng_out_sel_excl_ind,$E288)* _xlfn.XLOOKUP([1]Tables!$HN$5,'[1]RA Output'!$AY$4:$AY$5,'[1]RA Output'!BA$4:BA$5,0)+
IF($E$289="N", 0,
SUMIFS(rng_out_rx_pre_yr2, rng_out_GB_Medispan, J$1, rng_out_sel_G_ind, O$1, rng_out_sel_sp_ind, $D288, rng_out_sel_excl_ind,"N", rng_out_post_reb_ind_yr2, 0))</f>
        <v>#VALUE!</v>
      </c>
      <c r="K288" s="195" t="e" cm="1">
        <f t="array" aca="1" ref="K288" ca="1">SUMIFS(rng_out_rx_pre_yr3,rng_out_sel_excl_yr_ind, "", rng_out_GB_Medispan, K$1,rng_out_sel_G_ind,P$1,rng_out_sel_sp_ind,$D288,rng_out_sel_excl_ind,$E288)+
SUMIFS(rng_out_rx_pre_yr3,rng_out_sel_excl_yr_ind, [1]Tables!$HN$4, rng_out_GB_Medispan, K$1,rng_out_sel_G_ind,P$1,rng_out_sel_sp_ind,$D288,rng_out_sel_excl_ind,$E288)* _xlfn.XLOOKUP([1]Tables!$HN$4,'[1]RA Output'!$AY$4:$AY$5,'[1]RA Output'!BB$4:BB$5,0)  +
SUMIFS(rng_out_rx_pre_yr3,rng_out_sel_excl_yr_ind, [1]Tables!$HN$5, rng_out_GB_Medispan, K$1,rng_out_sel_G_ind,P$1,rng_out_sel_sp_ind,$D288,rng_out_sel_excl_ind,$E288)* _xlfn.XLOOKUP([1]Tables!$HN$5,'[1]RA Output'!$AY$4:$AY$5,'[1]RA Output'!BB$4:BB$5,0)+
IF($E$289="N", 0,
SUMIFS(rng_out_rx_pre_yr3, rng_out_GB_Medispan, K$1, rng_out_sel_G_ind, P$1, rng_out_sel_sp_ind, $D288, rng_out_sel_excl_ind,"N", rng_out_post_reb_ind_yr3, 0))</f>
        <v>#VALUE!</v>
      </c>
      <c r="L288" s="195" t="e" cm="1">
        <f t="array" aca="1" ref="L288" ca="1">SUMIFS(rng_out_rx_pre_yr4,rng_out_sel_excl_yr_ind, "", rng_out_GB_Medispan, L$1,rng_out_sel_G_ind,Q$1,rng_out_sel_sp_ind,$D288,rng_out_sel_excl_ind,$E288)+
SUMIFS(rng_out_rx_pre_yr4,rng_out_sel_excl_yr_ind, [1]Tables!$HN$4, rng_out_GB_Medispan, L$1,rng_out_sel_G_ind,Q$1,rng_out_sel_sp_ind,$D288,rng_out_sel_excl_ind,$E288)* _xlfn.XLOOKUP([1]Tables!$HN$4,'[1]RA Output'!$AY$4:$AY$5,'[1]RA Output'!BC$4:BC$5,0)  +
SUMIFS(rng_out_rx_pre_yr4,rng_out_sel_excl_yr_ind, [1]Tables!$HN$5, rng_out_GB_Medispan, L$1,rng_out_sel_G_ind,Q$1,rng_out_sel_sp_ind,$D288,rng_out_sel_excl_ind,$E288)* _xlfn.XLOOKUP([1]Tables!$HN$5,'[1]RA Output'!$AY$4:$AY$5,'[1]RA Output'!BC$4:BC$5,0)+
IF($E$289="N", 0,
SUMIFS(rng_out_rx_pre_yr4, rng_out_GB_Medispan, L$1, rng_out_sel_G_ind, Q$1, rng_out_sel_sp_ind, $D288, rng_out_sel_excl_ind,"N", rng_out_post_reb_ind_yr4, 0))</f>
        <v>#VALUE!</v>
      </c>
      <c r="M288" s="222" t="e" cm="1">
        <f t="array" aca="1" ref="M288" ca="1">SUMIFS(rng_out_rx_pre_yr5,rng_out_sel_excl_yr_ind, "", rng_out_GB_Medispan, M$1,rng_out_sel_G_ind,R$1,rng_out_sel_sp_ind,$D288,rng_out_sel_excl_ind,$E288)+
SUMIFS(rng_out_rx_pre_yr5,rng_out_sel_excl_yr_ind, [1]Tables!$HN$4, rng_out_GB_Medispan, M$1,rng_out_sel_G_ind,R$1,rng_out_sel_sp_ind,$D288,rng_out_sel_excl_ind,$E288)* _xlfn.XLOOKUP([1]Tables!$HN$4,'[1]RA Output'!$AY$4:$AY$5,'[1]RA Output'!BD$4:BD$5,0)  +
SUMIFS(rng_out_rx_pre_yr5,rng_out_sel_excl_yr_ind, [1]Tables!$HN$5, rng_out_GB_Medispan, M$1,rng_out_sel_G_ind,R$1,rng_out_sel_sp_ind,$D288,rng_out_sel_excl_ind,$E288)* _xlfn.XLOOKUP([1]Tables!$HN$5,'[1]RA Output'!$AY$4:$AY$5,'[1]RA Output'!BD$4:BD$5,0)+
IF($E$289="N", 0,
SUMIFS(rng_out_rx_pre_yr5, rng_out_GB_Medispan, M$1, rng_out_sel_G_ind, R$1, rng_out_sel_sp_ind, $D288, rng_out_sel_excl_ind,"N", rng_out_post_reb_ind_yr5, 0))</f>
        <v>#VALUE!</v>
      </c>
      <c r="N288" s="203" t="e" cm="1">
        <f t="array" aca="1" ref="N288" ca="1">SUMIFS(rng_out_rx_pre_yr1,rng_out_sel_excl_yr_ind, "", rng_out_GB_Medispan, N$1,rng_out_sel_G_ind,I$1,rng_out_sel_sp_ind,$D288,rng_out_sel_excl_ind,$E288)+
SUMIFS(rng_out_rx_pre_yr1,rng_out_sel_excl_yr_ind, [1]Tables!$HN$4, rng_out_GB_Medispan, N$1,rng_out_sel_G_ind,I$1,rng_out_sel_sp_ind,$D288,rng_out_sel_excl_ind,$E288)* _xlfn.XLOOKUP([1]Tables!$HN$4,'[1]RA Output'!$AY$4:$AY$5,'[1]RA Output'!AZ$4:AZ$5,0)  +
SUMIFS(rng_out_rx_pre_yr1,rng_out_sel_excl_yr_ind, [1]Tables!$HN$5, rng_out_GB_Medispan, N$1,rng_out_sel_G_ind,I$1,rng_out_sel_sp_ind,$D288,rng_out_sel_excl_ind,$E288)* _xlfn.XLOOKUP([1]Tables!$HN$5,'[1]RA Output'!$AY$4:$AY$5,'[1]RA Output'!AZ$4:AZ$5,0)+
IF($E$289="N", 0,
SUMIFS(rng_out_rx_pre_yr1, rng_out_GB_Medispan, N$1, rng_out_sel_G_ind, I$1, rng_out_sel_sp_ind, $D288, rng_out_sel_excl_ind,"N", rng_out_post_reb_ind_yr1, 0))</f>
        <v>#VALUE!</v>
      </c>
      <c r="O288" s="195" t="e" cm="1">
        <f t="array" aca="1" ref="O288" ca="1">SUMIFS(rng_out_rx_pre_yr2,rng_out_sel_excl_yr_ind, "", rng_out_GB_Medispan, O$1,rng_out_sel_G_ind,J$1,rng_out_sel_sp_ind,$D288,rng_out_sel_excl_ind,$E288)+
SUMIFS(rng_out_rx_pre_yr2,rng_out_sel_excl_yr_ind, [1]Tables!$HN$4, rng_out_GB_Medispan, O$1,rng_out_sel_G_ind,J$1,rng_out_sel_sp_ind,$D288,rng_out_sel_excl_ind,$E288)* _xlfn.XLOOKUP([1]Tables!$HN$4,'[1]RA Output'!$AY$4:$AY$5,'[1]RA Output'!BA$4:BA$5,0)  +
SUMIFS(rng_out_rx_pre_yr2,rng_out_sel_excl_yr_ind, [1]Tables!$HN$5, rng_out_GB_Medispan, O$1,rng_out_sel_G_ind,J$1,rng_out_sel_sp_ind,$D288,rng_out_sel_excl_ind,$E288)* _xlfn.XLOOKUP([1]Tables!$HN$5,'[1]RA Output'!$AY$4:$AY$5,'[1]RA Output'!BA$4:BA$5,0)+
IF($E$289="N", 0,
SUMIFS(rng_out_rx_pre_yr2, rng_out_GB_Medispan, O$1, rng_out_sel_G_ind, J$1, rng_out_sel_sp_ind, $D288, rng_out_sel_excl_ind,"N", rng_out_post_reb_ind_yr2, 0))</f>
        <v>#VALUE!</v>
      </c>
      <c r="P288" s="195" t="e" cm="1">
        <f t="array" aca="1" ref="P288" ca="1">SUMIFS(rng_out_rx_pre_yr3,rng_out_sel_excl_yr_ind, "", rng_out_GB_Medispan, P$1,rng_out_sel_G_ind,K$1,rng_out_sel_sp_ind,$D288,rng_out_sel_excl_ind,$E288)+
SUMIFS(rng_out_rx_pre_yr3,rng_out_sel_excl_yr_ind, [1]Tables!$HN$4, rng_out_GB_Medispan, P$1,rng_out_sel_G_ind,K$1,rng_out_sel_sp_ind,$D288,rng_out_sel_excl_ind,$E288)* _xlfn.XLOOKUP([1]Tables!$HN$4,'[1]RA Output'!$AY$4:$AY$5,'[1]RA Output'!BB$4:BB$5,0)  +
SUMIFS(rng_out_rx_pre_yr3,rng_out_sel_excl_yr_ind, [1]Tables!$HN$5, rng_out_GB_Medispan, P$1,rng_out_sel_G_ind,K$1,rng_out_sel_sp_ind,$D288,rng_out_sel_excl_ind,$E288)* _xlfn.XLOOKUP([1]Tables!$HN$5,'[1]RA Output'!$AY$4:$AY$5,'[1]RA Output'!BB$4:BB$5,0)+
IF($E$289="N", 0,
SUMIFS(rng_out_rx_pre_yr3, rng_out_GB_Medispan, P$1, rng_out_sel_G_ind, K$1, rng_out_sel_sp_ind, $D288, rng_out_sel_excl_ind,"N", rng_out_post_reb_ind_yr3, 0))</f>
        <v>#VALUE!</v>
      </c>
      <c r="Q288" s="195" t="e" cm="1">
        <f t="array" aca="1" ref="Q288" ca="1">SUMIFS(rng_out_rx_pre_yr4,rng_out_sel_excl_yr_ind, "", rng_out_GB_Medispan, Q$1,rng_out_sel_G_ind,L$1,rng_out_sel_sp_ind,$D288,rng_out_sel_excl_ind,$E288)+
SUMIFS(rng_out_rx_pre_yr4,rng_out_sel_excl_yr_ind, [1]Tables!$HN$4, rng_out_GB_Medispan, Q$1,rng_out_sel_G_ind,L$1,rng_out_sel_sp_ind,$D288,rng_out_sel_excl_ind,$E288)* _xlfn.XLOOKUP([1]Tables!$HN$4,'[1]RA Output'!$AY$4:$AY$5,'[1]RA Output'!BC$4:BC$5,0)  +
SUMIFS(rng_out_rx_pre_yr4,rng_out_sel_excl_yr_ind, [1]Tables!$HN$5, rng_out_GB_Medispan, Q$1,rng_out_sel_G_ind,L$1,rng_out_sel_sp_ind,$D288,rng_out_sel_excl_ind,$E288)* _xlfn.XLOOKUP([1]Tables!$HN$5,'[1]RA Output'!$AY$4:$AY$5,'[1]RA Output'!BC$4:BC$5,0)+
IF($E$289="N", 0,
SUMIFS(rng_out_rx_pre_yr4, rng_out_GB_Medispan, Q$1, rng_out_sel_G_ind, L$1, rng_out_sel_sp_ind, $D288, rng_out_sel_excl_ind,"N", rng_out_post_reb_ind_yr4, 0))</f>
        <v>#VALUE!</v>
      </c>
      <c r="R288" s="222" t="e" cm="1">
        <f t="array" aca="1" ref="R288" ca="1">SUMIFS(rng_out_rx_pre_yr5,rng_out_sel_excl_yr_ind, "", rng_out_GB_Medispan, R$1,rng_out_sel_G_ind,M$1,rng_out_sel_sp_ind,$D288,rng_out_sel_excl_ind,$E288)+
SUMIFS(rng_out_rx_pre_yr5,rng_out_sel_excl_yr_ind, [1]Tables!$HN$4, rng_out_GB_Medispan, R$1,rng_out_sel_G_ind,M$1,rng_out_sel_sp_ind,$D288,rng_out_sel_excl_ind,$E288)* _xlfn.XLOOKUP([1]Tables!$HN$4,'[1]RA Output'!$AY$4:$AY$5,'[1]RA Output'!BD$4:BD$5,0)  +
SUMIFS(rng_out_rx_pre_yr5,rng_out_sel_excl_yr_ind, [1]Tables!$HN$5, rng_out_GB_Medispan, R$1,rng_out_sel_G_ind,M$1,rng_out_sel_sp_ind,$D288,rng_out_sel_excl_ind,$E288)* _xlfn.XLOOKUP([1]Tables!$HN$5,'[1]RA Output'!$AY$4:$AY$5,'[1]RA Output'!BD$4:BD$5,0)+
IF($E$289="N", 0,
SUMIFS(rng_out_rx_pre_yr5, rng_out_GB_Medispan, R$1, rng_out_sel_G_ind, M$1, rng_out_sel_sp_ind, $D288, rng_out_sel_excl_ind,"N", rng_out_post_reb_ind_yr5, 0))</f>
        <v>#VALUE!</v>
      </c>
      <c r="S288" s="206" t="e">
        <f t="shared" ca="1" si="289"/>
        <v>#VALUE!</v>
      </c>
      <c r="T288" s="206" t="e">
        <f t="shared" ca="1" si="289"/>
        <v>#VALUE!</v>
      </c>
      <c r="U288" s="206" t="e">
        <f t="shared" ca="1" si="289"/>
        <v>#VALUE!</v>
      </c>
      <c r="V288" s="206" t="e">
        <f t="shared" ca="1" si="289"/>
        <v>#VALUE!</v>
      </c>
      <c r="W288" s="207" t="e">
        <f t="shared" ca="1" si="289"/>
        <v>#VALUE!</v>
      </c>
      <c r="Y288" s="119" t="s">
        <v>17</v>
      </c>
      <c r="Z288" s="223">
        <f ca="1">IFERROR(I288/[1]Tables!$AT$4, 0)</f>
        <v>0</v>
      </c>
      <c r="AA288" s="224">
        <f ca="1">IFERROR(J288/[1]Tables!$AT$4, 0)</f>
        <v>0</v>
      </c>
      <c r="AB288" s="224">
        <f ca="1">IFERROR(K288/[1]Tables!$AT$4, 0)</f>
        <v>0</v>
      </c>
      <c r="AC288" s="224">
        <f ca="1">IFERROR(L288/[1]Tables!$AT$4, 0)</f>
        <v>0</v>
      </c>
      <c r="AD288" s="225">
        <f ca="1">IFERROR(M288/[1]Tables!$AT$4, 0)</f>
        <v>0</v>
      </c>
      <c r="AE288" s="223">
        <f ca="1">IFERROR(N288/[1]Tables!$AT$4, 0)</f>
        <v>0</v>
      </c>
      <c r="AF288" s="224">
        <f ca="1">IFERROR(O288/[1]Tables!$AT$4, 0)</f>
        <v>0</v>
      </c>
      <c r="AG288" s="224">
        <f ca="1">IFERROR(P288/[1]Tables!$AT$4, 0)</f>
        <v>0</v>
      </c>
      <c r="AH288" s="224">
        <f ca="1">IFERROR(Q288/[1]Tables!$AT$4, 0)</f>
        <v>0</v>
      </c>
      <c r="AI288" s="225">
        <f ca="1">IFERROR(R288/[1]Tables!$AT$4, 0)</f>
        <v>0</v>
      </c>
      <c r="AJ288" s="224">
        <f t="shared" ca="1" si="290"/>
        <v>0</v>
      </c>
      <c r="AK288" s="224">
        <f t="shared" ca="1" si="290"/>
        <v>0</v>
      </c>
      <c r="AL288" s="224">
        <f t="shared" ca="1" si="290"/>
        <v>0</v>
      </c>
      <c r="AM288" s="224">
        <f t="shared" ca="1" si="290"/>
        <v>0</v>
      </c>
      <c r="AN288" s="225">
        <f t="shared" ca="1" si="290"/>
        <v>0</v>
      </c>
      <c r="AP288" s="120" t="s">
        <v>17</v>
      </c>
      <c r="AQ288" s="226" cm="1">
        <f t="array" aca="1" ref="AQ288" ca="1">IFERROR(IF(OR(input_Shift="No", [1]Tables!$BN$4=1), 0, ((SUMIFS(INDIRECT('[1]RA Output'!AZ$1),rng_out_sel_excl_yr_ind, "", rng_out_GB_Medispan, N$1,rng_out_sel_G_ind,I$1,rng_out_sel_sp_ind,$D288,rng_out_sel_excl_ind,$E288, rng_out_MSB_excl, $F288)+
SUMIFS(INDIRECT('[1]RA Output'!AZ$1),rng_out_sel_excl_yr_ind, [1]Tables!$HN$4, rng_out_GB_Medispan, N$1,rng_out_sel_G_ind,I$1,rng_out_sel_sp_ind,$D288,rng_out_sel_excl_ind,$E288, rng_out_MSB_excl, $F288)* _xlfn.XLOOKUP([1]Tables!$HN$4,'[1]RA Output'!$AY$4:$AY$5,'[1]RA Output'!AZ$4:AZ$5,0)  +
SUMIFS(INDIRECT('[1]RA Output'!AZ$1),rng_out_sel_excl_yr_ind, [1]Tables!$HN$5, rng_out_GB_Medispan, N$1,rng_out_sel_G_ind,I$1,rng_out_sel_sp_ind,$D288,rng_out_sel_excl_ind,$E288, rng_out_MSB_excl, $F288)* _xlfn.XLOOKUP([1]Tables!$HN$5,'[1]RA Output'!$AY$4:$AY$5,'[1]RA Output'!AZ$4:AZ$5,0))/[1]Tables!$AT$4)/[1]Tables!$BN$4*(1-[1]Tables!$BN$4)), 0)
+ IFERROR((SUMIFS(INDIRECT('[1]RA Output'!AZ$1),rng_out_sel_excl_yr_ind, "", rng_out_GB_Medispan, I$1,rng_out_sel_G_ind,N$1,rng_out_sel_sp_ind,$D288,rng_out_sel_excl_ind,$E288)+
SUMIFS(INDIRECT('[1]RA Output'!AZ$1),rng_out_sel_excl_yr_ind, [1]Tables!$HN$4, rng_out_GB_Medispan, I$1,rng_out_sel_G_ind,N$1,rng_out_sel_sp_ind,$D288,rng_out_sel_excl_ind,$E288)* _xlfn.XLOOKUP([1]Tables!$HN$4,'[1]RA Output'!$AY$4:$AY$5,'[1]RA Output'!AZ$4:AZ$5,0)  +
SUMIFS(INDIRECT('[1]RA Output'!AZ$1),rng_out_sel_excl_yr_ind, [1]Tables!$HN$5, rng_out_GB_Medispan, I$1,rng_out_sel_G_ind,N$1,rng_out_sel_sp_ind,$D288,rng_out_sel_excl_ind,$E288)* _xlfn.XLOOKUP([1]Tables!$HN$5,'[1]RA Output'!$AY$4:$AY$5,'[1]RA Output'!AZ$4:AZ$5,0))/[1]Tables!$AT$4, 0)+
IF($E$280="N", 0,
IFERROR((SUMIFS(INDIRECT('[1]RA Output'!AZ$1), rng_out_GB_Medispan, I$1, rng_out_sel_G_ind, N$1, rng_out_sel_sp_ind, $D288, rng_out_sel_excl_ind,"N", INDIRECT('[1]RA Output'!EQ$1), 0))/[1]Tables!$AT$4, 0))</f>
        <v>0</v>
      </c>
      <c r="AR288" s="227" cm="1">
        <f t="array" aca="1" ref="AR288" ca="1">IFERROR(IF(OR(input_Shift="No", [1]Tables!$BN$4=1), 0, ((SUMIFS(INDIRECT('[1]RA Output'!BA$1),rng_out_sel_excl_yr_ind, "", rng_out_GB_Medispan, O$1,rng_out_sel_G_ind,J$1,rng_out_sel_sp_ind,$D288,rng_out_sel_excl_ind,$E288, rng_out_MSB_excl, $F288)+
SUMIFS(INDIRECT('[1]RA Output'!BA$1),rng_out_sel_excl_yr_ind, [1]Tables!$HN$4, rng_out_GB_Medispan, O$1,rng_out_sel_G_ind,J$1,rng_out_sel_sp_ind,$D288,rng_out_sel_excl_ind,$E288, rng_out_MSB_excl, $F288)* _xlfn.XLOOKUP([1]Tables!$HN$4,'[1]RA Output'!$AY$4:$AY$5,'[1]RA Output'!BA$4:BA$5,0)  +
SUMIFS(INDIRECT('[1]RA Output'!BA$1),rng_out_sel_excl_yr_ind, [1]Tables!$HN$5, rng_out_GB_Medispan, O$1,rng_out_sel_G_ind,J$1,rng_out_sel_sp_ind,$D288,rng_out_sel_excl_ind,$E288, rng_out_MSB_excl, $F288)* _xlfn.XLOOKUP([1]Tables!$HN$5,'[1]RA Output'!$AY$4:$AY$5,'[1]RA Output'!BA$4:BA$5,0))/[1]Tables!$AT$4)/[1]Tables!$BN$4*(1-[1]Tables!$BN$4)), 0)
+ IFERROR((SUMIFS(INDIRECT('[1]RA Output'!BA$1),rng_out_sel_excl_yr_ind, "", rng_out_GB_Medispan, J$1,rng_out_sel_G_ind,O$1,rng_out_sel_sp_ind,$D288,rng_out_sel_excl_ind,$E288)+
SUMIFS(INDIRECT('[1]RA Output'!BA$1),rng_out_sel_excl_yr_ind, [1]Tables!$HN$4, rng_out_GB_Medispan, J$1,rng_out_sel_G_ind,O$1,rng_out_sel_sp_ind,$D288,rng_out_sel_excl_ind,$E288)* _xlfn.XLOOKUP([1]Tables!$HN$4,'[1]RA Output'!$AY$4:$AY$5,'[1]RA Output'!BA$4:BA$5,0)  +
SUMIFS(INDIRECT('[1]RA Output'!BA$1),rng_out_sel_excl_yr_ind, [1]Tables!$HN$5, rng_out_GB_Medispan, J$1,rng_out_sel_G_ind,O$1,rng_out_sel_sp_ind,$D288,rng_out_sel_excl_ind,$E288)* _xlfn.XLOOKUP([1]Tables!$HN$5,'[1]RA Output'!$AY$4:$AY$5,'[1]RA Output'!BA$4:BA$5,0))/[1]Tables!$AT$4, 0)+
IF($E$280="N", 0,
IFERROR((SUMIFS(INDIRECT('[1]RA Output'!BA$1), rng_out_GB_Medispan, J$1, rng_out_sel_G_ind, O$1, rng_out_sel_sp_ind, $D288, rng_out_sel_excl_ind,"N", INDIRECT('[1]RA Output'!ER$1), 0))/[1]Tables!$AT$4, 0))</f>
        <v>0</v>
      </c>
      <c r="AS288" s="227" cm="1">
        <f t="array" aca="1" ref="AS288" ca="1">IFERROR(IF(OR(input_Shift="No", [1]Tables!$BN$4=1), 0, ((SUMIFS(INDIRECT('[1]RA Output'!BB$1),rng_out_sel_excl_yr_ind, "", rng_out_GB_Medispan, P$1,rng_out_sel_G_ind,K$1,rng_out_sel_sp_ind,$D288,rng_out_sel_excl_ind,$E288, rng_out_MSB_excl, $F288)+
SUMIFS(INDIRECT('[1]RA Output'!BB$1),rng_out_sel_excl_yr_ind, [1]Tables!$HN$4, rng_out_GB_Medispan, P$1,rng_out_sel_G_ind,K$1,rng_out_sel_sp_ind,$D288,rng_out_sel_excl_ind,$E288, rng_out_MSB_excl, $F288)* _xlfn.XLOOKUP([1]Tables!$HN$4,'[1]RA Output'!$AY$4:$AY$5,'[1]RA Output'!BB$4:BB$5,0)  +
SUMIFS(INDIRECT('[1]RA Output'!BB$1),rng_out_sel_excl_yr_ind, [1]Tables!$HN$5, rng_out_GB_Medispan, P$1,rng_out_sel_G_ind,K$1,rng_out_sel_sp_ind,$D288,rng_out_sel_excl_ind,$E288, rng_out_MSB_excl, $F288)* _xlfn.XLOOKUP([1]Tables!$HN$5,'[1]RA Output'!$AY$4:$AY$5,'[1]RA Output'!BB$4:BB$5,0))/[1]Tables!$AT$4)/[1]Tables!$BN$4*(1-[1]Tables!$BN$4)), 0)
+ IFERROR((SUMIFS(INDIRECT('[1]RA Output'!BB$1),rng_out_sel_excl_yr_ind, "", rng_out_GB_Medispan, K$1,rng_out_sel_G_ind,P$1,rng_out_sel_sp_ind,$D288,rng_out_sel_excl_ind,$E288)+
SUMIFS(INDIRECT('[1]RA Output'!BB$1),rng_out_sel_excl_yr_ind, [1]Tables!$HN$4, rng_out_GB_Medispan, K$1,rng_out_sel_G_ind,P$1,rng_out_sel_sp_ind,$D288,rng_out_sel_excl_ind,$E288)* _xlfn.XLOOKUP([1]Tables!$HN$4,'[1]RA Output'!$AY$4:$AY$5,'[1]RA Output'!BB$4:BB$5,0)  +
SUMIFS(INDIRECT('[1]RA Output'!BB$1),rng_out_sel_excl_yr_ind, [1]Tables!$HN$5, rng_out_GB_Medispan, K$1,rng_out_sel_G_ind,P$1,rng_out_sel_sp_ind,$D288,rng_out_sel_excl_ind,$E288)* _xlfn.XLOOKUP([1]Tables!$HN$5,'[1]RA Output'!$AY$4:$AY$5,'[1]RA Output'!BB$4:BB$5,0))/[1]Tables!$AT$4, 0)+
IF($E$280="N", 0,
IFERROR((SUMIFS(INDIRECT('[1]RA Output'!BB$1), rng_out_GB_Medispan, K$1, rng_out_sel_G_ind, P$1, rng_out_sel_sp_ind, $D288, rng_out_sel_excl_ind,"N", INDIRECT('[1]RA Output'!ES$1), 0))/[1]Tables!$AT$4, 0))</f>
        <v>0</v>
      </c>
      <c r="AT288" s="227" cm="1">
        <f t="array" aca="1" ref="AT288" ca="1">IFERROR(IF(OR(input_Shift="No", [1]Tables!$BN$4=1), 0, ((SUMIFS(INDIRECT('[1]RA Output'!BC$1),rng_out_sel_excl_yr_ind, "", rng_out_GB_Medispan, Q$1,rng_out_sel_G_ind,L$1,rng_out_sel_sp_ind,$D288,rng_out_sel_excl_ind,$E288, rng_out_MSB_excl, $F288)+
SUMIFS(INDIRECT('[1]RA Output'!BC$1),rng_out_sel_excl_yr_ind, [1]Tables!$HN$4, rng_out_GB_Medispan, Q$1,rng_out_sel_G_ind,L$1,rng_out_sel_sp_ind,$D288,rng_out_sel_excl_ind,$E288, rng_out_MSB_excl, $F288)* _xlfn.XLOOKUP([1]Tables!$HN$4,'[1]RA Output'!$AY$4:$AY$5,'[1]RA Output'!BC$4:BC$5,0)  +
SUMIFS(INDIRECT('[1]RA Output'!BC$1),rng_out_sel_excl_yr_ind, [1]Tables!$HN$5, rng_out_GB_Medispan, Q$1,rng_out_sel_G_ind,L$1,rng_out_sel_sp_ind,$D288,rng_out_sel_excl_ind,$E288, rng_out_MSB_excl, $F288)* _xlfn.XLOOKUP([1]Tables!$HN$5,'[1]RA Output'!$AY$4:$AY$5,'[1]RA Output'!BC$4:BC$5,0))/[1]Tables!$AT$4)/[1]Tables!$BN$4*(1-[1]Tables!$BN$4)), 0)
+ IFERROR((SUMIFS(INDIRECT('[1]RA Output'!BC$1),rng_out_sel_excl_yr_ind, "", rng_out_GB_Medispan, L$1,rng_out_sel_G_ind,Q$1,rng_out_sel_sp_ind,$D288,rng_out_sel_excl_ind,$E288)+
SUMIFS(INDIRECT('[1]RA Output'!BC$1),rng_out_sel_excl_yr_ind, [1]Tables!$HN$4, rng_out_GB_Medispan, L$1,rng_out_sel_G_ind,Q$1,rng_out_sel_sp_ind,$D288,rng_out_sel_excl_ind,$E288)* _xlfn.XLOOKUP([1]Tables!$HN$4,'[1]RA Output'!$AY$4:$AY$5,'[1]RA Output'!BC$4:BC$5,0)  +
SUMIFS(INDIRECT('[1]RA Output'!BC$1),rng_out_sel_excl_yr_ind, [1]Tables!$HN$5, rng_out_GB_Medispan, L$1,rng_out_sel_G_ind,Q$1,rng_out_sel_sp_ind,$D288,rng_out_sel_excl_ind,$E288)* _xlfn.XLOOKUP([1]Tables!$HN$5,'[1]RA Output'!$AY$4:$AY$5,'[1]RA Output'!BC$4:BC$5,0))/[1]Tables!$AT$4, 0)+
IF($E$280="N", 0,
IFERROR((SUMIFS(INDIRECT('[1]RA Output'!BC$1), rng_out_GB_Medispan, L$1, rng_out_sel_G_ind, Q$1, rng_out_sel_sp_ind, $D288, rng_out_sel_excl_ind,"N", INDIRECT('[1]RA Output'!ET$1), 0))/[1]Tables!$AT$4, 0))</f>
        <v>0</v>
      </c>
      <c r="AU288" s="228" cm="1">
        <f t="array" aca="1" ref="AU288" ca="1">IFERROR(IF(OR(input_Shift="No", [1]Tables!$BN$4=1), 0, ((SUMIFS(INDIRECT('[1]RA Output'!BD$1),rng_out_sel_excl_yr_ind, "", rng_out_GB_Medispan, R$1,rng_out_sel_G_ind,M$1,rng_out_sel_sp_ind,$D288,rng_out_sel_excl_ind,$E288, rng_out_MSB_excl, $F288)+
SUMIFS(INDIRECT('[1]RA Output'!BD$1),rng_out_sel_excl_yr_ind, [1]Tables!$HN$4, rng_out_GB_Medispan, R$1,rng_out_sel_G_ind,M$1,rng_out_sel_sp_ind,$D288,rng_out_sel_excl_ind,$E288, rng_out_MSB_excl, $F288)* _xlfn.XLOOKUP([1]Tables!$HN$4,'[1]RA Output'!$AY$4:$AY$5,'[1]RA Output'!BD$4:BD$5,0)  +
SUMIFS(INDIRECT('[1]RA Output'!BD$1),rng_out_sel_excl_yr_ind, [1]Tables!$HN$5, rng_out_GB_Medispan, R$1,rng_out_sel_G_ind,M$1,rng_out_sel_sp_ind,$D288,rng_out_sel_excl_ind,$E288, rng_out_MSB_excl, $F288)* _xlfn.XLOOKUP([1]Tables!$HN$5,'[1]RA Output'!$AY$4:$AY$5,'[1]RA Output'!BD$4:BD$5,0))/[1]Tables!$AT$4)/[1]Tables!$BN$4*(1-[1]Tables!$BN$4)), 0)
+ IFERROR((SUMIFS(INDIRECT('[1]RA Output'!BD$1),rng_out_sel_excl_yr_ind, "", rng_out_GB_Medispan, M$1,rng_out_sel_G_ind,R$1,rng_out_sel_sp_ind,$D288,rng_out_sel_excl_ind,$E288)+
SUMIFS(INDIRECT('[1]RA Output'!BD$1),rng_out_sel_excl_yr_ind, [1]Tables!$HN$4, rng_out_GB_Medispan, M$1,rng_out_sel_G_ind,R$1,rng_out_sel_sp_ind,$D288,rng_out_sel_excl_ind,$E288)* _xlfn.XLOOKUP([1]Tables!$HN$4,'[1]RA Output'!$AY$4:$AY$5,'[1]RA Output'!BD$4:BD$5,0)  +
SUMIFS(INDIRECT('[1]RA Output'!BD$1),rng_out_sel_excl_yr_ind, [1]Tables!$HN$5, rng_out_GB_Medispan, M$1,rng_out_sel_G_ind,R$1,rng_out_sel_sp_ind,$D288,rng_out_sel_excl_ind,$E288)* _xlfn.XLOOKUP([1]Tables!$HN$5,'[1]RA Output'!$AY$4:$AY$5,'[1]RA Output'!BD$4:BD$5,0))/[1]Tables!$AT$4, 0)+
IF($E$280="N", 0,
IFERROR((SUMIFS(INDIRECT('[1]RA Output'!BD$1), rng_out_GB_Medispan, M$1, rng_out_sel_G_ind, R$1, rng_out_sel_sp_ind, $D288, rng_out_sel_excl_ind,"N", INDIRECT('[1]RA Output'!EU$1), 0))/[1]Tables!$AT$4, 0))</f>
        <v>0</v>
      </c>
      <c r="AV288" s="226" t="e" cm="1">
        <f t="array" aca="1" ref="AV288" ca="1">(SUMIFS(rng_out_rx_post_yr1,rng_out_sel_excl_yr_ind, "", rng_out_GB_Medispan, N$1,rng_out_sel_G_ind,I$1,rng_out_sel_sp_ind,$D288,rng_out_sel_excl_ind,$E288)+
SUMIFS(rng_out_rx_post_yr1,rng_out_sel_excl_yr_ind, [1]Tables!$HN$4, rng_out_GB_Medispan, N$1,rng_out_sel_G_ind,I$1,rng_out_sel_sp_ind,$D288,rng_out_sel_excl_ind,$E288)* _xlfn.XLOOKUP([1]Tables!$HN$4,'[1]RA Output'!$AY$4:$AY$5,'[1]RA Output'!AZ$4:AZ$5,0)  +
SUMIFS(rng_out_rx_post_yr1,rng_out_sel_excl_yr_ind, [1]Tables!$HN$5, rng_out_GB_Medispan, N$1,rng_out_sel_G_ind,I$1,rng_out_sel_sp_ind,$D288,rng_out_sel_excl_ind,$E288)* _xlfn.XLOOKUP([1]Tables!$HN$5,'[1]RA Output'!$AY$4:$AY$5,'[1]RA Output'!AZ$4:AZ$5,0))/[1]Tables!$AT$4+
IFERROR(IF($E$289="N", 0,
SUMIFS(rng_out_rx_post_yr1, rng_out_GB_Medispan, N$1, rng_out_sel_G_ind, I$1, rng_out_sel_sp_ind, $D288, rng_out_sel_excl_ind,"N", rng_out_post_reb_ind_yr1, 0)/[1]Tables!$AT$4),0)</f>
        <v>#VALUE!</v>
      </c>
      <c r="AW288" s="227" t="e" cm="1">
        <f t="array" aca="1" ref="AW288" ca="1">(SUMIFS(rng_out_rx_post_yr2,rng_out_sel_excl_yr_ind, "", rng_out_GB_Medispan, O$1,rng_out_sel_G_ind,J$1,rng_out_sel_sp_ind,$D288,rng_out_sel_excl_ind,$E288)+
SUMIFS(rng_out_rx_post_yr2,rng_out_sel_excl_yr_ind, [1]Tables!$HN$4, rng_out_GB_Medispan, O$1,rng_out_sel_G_ind,J$1,rng_out_sel_sp_ind,$D288,rng_out_sel_excl_ind,$E288)* _xlfn.XLOOKUP([1]Tables!$HN$4,'[1]RA Output'!$AY$4:$AY$5,'[1]RA Output'!BA$4:BA$5,0)  +
SUMIFS(rng_out_rx_post_yr2,rng_out_sel_excl_yr_ind, [1]Tables!$HN$5, rng_out_GB_Medispan, O$1,rng_out_sel_G_ind,J$1,rng_out_sel_sp_ind,$D288,rng_out_sel_excl_ind,$E288)* _xlfn.XLOOKUP([1]Tables!$HN$5,'[1]RA Output'!$AY$4:$AY$5,'[1]RA Output'!BA$4:BA$5,0))/[1]Tables!$AT$4+
IFERROR(IF($E$289="N", 0,
SUMIFS(rng_out_rx_post_yr2, rng_out_GB_Medispan, O$1, rng_out_sel_G_ind, J$1, rng_out_sel_sp_ind, $D288, rng_out_sel_excl_ind,"N", rng_out_post_reb_ind_yr2, 0)/[1]Tables!$AT$4),0)</f>
        <v>#VALUE!</v>
      </c>
      <c r="AX288" s="227" t="e" cm="1">
        <f t="array" aca="1" ref="AX288" ca="1">(SUMIFS(rng_out_rx_post_yr3,rng_out_sel_excl_yr_ind, "", rng_out_GB_Medispan, P$1,rng_out_sel_G_ind,K$1,rng_out_sel_sp_ind,$D288,rng_out_sel_excl_ind,$E288)+
SUMIFS(rng_out_rx_post_yr3,rng_out_sel_excl_yr_ind, [1]Tables!$HN$4, rng_out_GB_Medispan, P$1,rng_out_sel_G_ind,K$1,rng_out_sel_sp_ind,$D288,rng_out_sel_excl_ind,$E288)* _xlfn.XLOOKUP([1]Tables!$HN$4,'[1]RA Output'!$AY$4:$AY$5,'[1]RA Output'!BB$4:BB$5,0)  +
SUMIFS(rng_out_rx_post_yr3,rng_out_sel_excl_yr_ind, [1]Tables!$HN$5, rng_out_GB_Medispan, P$1,rng_out_sel_G_ind,K$1,rng_out_sel_sp_ind,$D288,rng_out_sel_excl_ind,$E288)* _xlfn.XLOOKUP([1]Tables!$HN$5,'[1]RA Output'!$AY$4:$AY$5,'[1]RA Output'!BB$4:BB$5,0))/[1]Tables!$AT$4+
IFERROR(IF($E$289="N", 0,
SUMIFS(rng_out_rx_post_yr3, rng_out_GB_Medispan, P$1, rng_out_sel_G_ind, K$1, rng_out_sel_sp_ind, $D288, rng_out_sel_excl_ind,"N", rng_out_post_reb_ind_yr3, 0)/[1]Tables!$AT$4),0)</f>
        <v>#VALUE!</v>
      </c>
      <c r="AY288" s="227" t="e" cm="1">
        <f t="array" aca="1" ref="AY288" ca="1">(SUMIFS(rng_out_rx_post_yr4,rng_out_sel_excl_yr_ind, "", rng_out_GB_Medispan, Q$1,rng_out_sel_G_ind,L$1,rng_out_sel_sp_ind,$D288,rng_out_sel_excl_ind,$E288)+
SUMIFS(rng_out_rx_post_yr4,rng_out_sel_excl_yr_ind, [1]Tables!$HN$4, rng_out_GB_Medispan, Q$1,rng_out_sel_G_ind,L$1,rng_out_sel_sp_ind,$D288,rng_out_sel_excl_ind,$E288)* _xlfn.XLOOKUP([1]Tables!$HN$4,'[1]RA Output'!$AY$4:$AY$5,'[1]RA Output'!BC$4:BC$5,0)  +
SUMIFS(rng_out_rx_post_yr4,rng_out_sel_excl_yr_ind, [1]Tables!$HN$5, rng_out_GB_Medispan, Q$1,rng_out_sel_G_ind,L$1,rng_out_sel_sp_ind,$D288,rng_out_sel_excl_ind,$E288)* _xlfn.XLOOKUP([1]Tables!$HN$5,'[1]RA Output'!$AY$4:$AY$5,'[1]RA Output'!BC$4:BC$5,0))/[1]Tables!$AT$4+
IFERROR(IF($E$289="N", 0,
SUMIFS(rng_out_rx_post_yr4, rng_out_GB_Medispan, Q$1, rng_out_sel_G_ind, L$1, rng_out_sel_sp_ind, $D288, rng_out_sel_excl_ind,"N", rng_out_post_reb_ind_yr4, 0)/[1]Tables!$AT$4),0)</f>
        <v>#VALUE!</v>
      </c>
      <c r="AZ288" s="228" t="e" cm="1">
        <f t="array" aca="1" ref="AZ288" ca="1">(SUMIFS(rng_out_rx_post_yr5,rng_out_sel_excl_yr_ind, "", rng_out_GB_Medispan, R$1,rng_out_sel_G_ind,M$1,rng_out_sel_sp_ind,$D288,rng_out_sel_excl_ind,$E288)+
SUMIFS(rng_out_rx_post_yr5,rng_out_sel_excl_yr_ind, [1]Tables!$HN$4, rng_out_GB_Medispan, R$1,rng_out_sel_G_ind,M$1,rng_out_sel_sp_ind,$D288,rng_out_sel_excl_ind,$E288)* _xlfn.XLOOKUP([1]Tables!$HN$4,'[1]RA Output'!$AY$4:$AY$5,'[1]RA Output'!BD$4:BD$5,0)  +
SUMIFS(rng_out_rx_post_yr5,rng_out_sel_excl_yr_ind, [1]Tables!$HN$5, rng_out_GB_Medispan, R$1,rng_out_sel_G_ind,M$1,rng_out_sel_sp_ind,$D288,rng_out_sel_excl_ind,$E288)* _xlfn.XLOOKUP([1]Tables!$HN$5,'[1]RA Output'!$AY$4:$AY$5,'[1]RA Output'!BD$4:BD$5,0))/[1]Tables!$AT$4+
IFERROR(IF($E$289="N", 0,
SUMIFS(rng_out_rx_post_yr5, rng_out_GB_Medispan, R$1, rng_out_sel_G_ind, M$1, rng_out_sel_sp_ind, $D288, rng_out_sel_excl_ind,"N", rng_out_post_reb_ind_yr5, 0)/[1]Tables!$AT$4),0)</f>
        <v>#VALUE!</v>
      </c>
      <c r="BA288" s="229" t="e">
        <f t="shared" ca="1" si="291"/>
        <v>#VALUE!</v>
      </c>
      <c r="BB288" s="229" t="e">
        <f t="shared" ca="1" si="291"/>
        <v>#VALUE!</v>
      </c>
      <c r="BC288" s="229" t="e">
        <f t="shared" ca="1" si="291"/>
        <v>#VALUE!</v>
      </c>
      <c r="BD288" s="229" t="e">
        <f t="shared" ca="1" si="291"/>
        <v>#VALUE!</v>
      </c>
      <c r="BE288" s="230" t="e">
        <f t="shared" ca="1" si="291"/>
        <v>#VALUE!</v>
      </c>
      <c r="BG288" s="121" t="s">
        <v>17</v>
      </c>
      <c r="BH288" s="231">
        <f t="shared" ca="1" si="292"/>
        <v>0</v>
      </c>
      <c r="BI288" s="232">
        <f t="shared" ca="1" si="292"/>
        <v>0</v>
      </c>
      <c r="BJ288" s="232">
        <f t="shared" ca="1" si="292"/>
        <v>0</v>
      </c>
      <c r="BK288" s="232">
        <f t="shared" ca="1" si="292"/>
        <v>0</v>
      </c>
      <c r="BL288" s="233">
        <f t="shared" ca="1" si="292"/>
        <v>0</v>
      </c>
      <c r="BM288" s="231" t="e">
        <f t="shared" ca="1" si="292"/>
        <v>#VALUE!</v>
      </c>
      <c r="BN288" s="232" t="e">
        <f t="shared" ca="1" si="292"/>
        <v>#VALUE!</v>
      </c>
      <c r="BO288" s="232" t="e">
        <f t="shared" ca="1" si="292"/>
        <v>#VALUE!</v>
      </c>
      <c r="BP288" s="232" t="e">
        <f t="shared" ca="1" si="292"/>
        <v>#VALUE!</v>
      </c>
      <c r="BQ288" s="233" t="e">
        <f t="shared" ca="1" si="292"/>
        <v>#VALUE!</v>
      </c>
      <c r="BR288" s="232" t="e">
        <f t="shared" ca="1" si="293"/>
        <v>#VALUE!</v>
      </c>
      <c r="BS288" s="232" t="e">
        <f t="shared" ca="1" si="293"/>
        <v>#VALUE!</v>
      </c>
      <c r="BT288" s="232" t="e">
        <f t="shared" ca="1" si="293"/>
        <v>#VALUE!</v>
      </c>
      <c r="BU288" s="232" t="e">
        <f t="shared" ca="1" si="293"/>
        <v>#VALUE!</v>
      </c>
      <c r="BV288" s="233" t="e">
        <f t="shared" ca="1" si="293"/>
        <v>#VALUE!</v>
      </c>
      <c r="BX288" s="121" t="s">
        <v>17</v>
      </c>
      <c r="BY288" s="231">
        <f t="shared" ca="1" si="294"/>
        <v>0</v>
      </c>
      <c r="BZ288" s="232">
        <f t="shared" ca="1" si="294"/>
        <v>0</v>
      </c>
      <c r="CA288" s="232">
        <f t="shared" ca="1" si="294"/>
        <v>0</v>
      </c>
      <c r="CB288" s="232">
        <f t="shared" ca="1" si="294"/>
        <v>0</v>
      </c>
      <c r="CC288" s="233">
        <f t="shared" ca="1" si="294"/>
        <v>0</v>
      </c>
      <c r="CD288" s="231" t="e">
        <f t="shared" ca="1" si="294"/>
        <v>#VALUE!</v>
      </c>
      <c r="CE288" s="232" t="e">
        <f t="shared" ca="1" si="294"/>
        <v>#VALUE!</v>
      </c>
      <c r="CF288" s="232" t="e">
        <f t="shared" ca="1" si="294"/>
        <v>#VALUE!</v>
      </c>
      <c r="CG288" s="232" t="e">
        <f t="shared" ca="1" si="294"/>
        <v>#VALUE!</v>
      </c>
      <c r="CH288" s="233" t="e">
        <f t="shared" ca="1" si="294"/>
        <v>#VALUE!</v>
      </c>
      <c r="CI288" s="232" t="e">
        <f t="shared" ca="1" si="295"/>
        <v>#VALUE!</v>
      </c>
      <c r="CJ288" s="232" t="e">
        <f t="shared" ca="1" si="295"/>
        <v>#VALUE!</v>
      </c>
      <c r="CK288" s="232" t="e">
        <f t="shared" ca="1" si="295"/>
        <v>#VALUE!</v>
      </c>
      <c r="CL288" s="232" t="e">
        <f t="shared" ca="1" si="295"/>
        <v>#VALUE!</v>
      </c>
      <c r="CM288" s="233" t="e">
        <f t="shared" ca="1" si="295"/>
        <v>#VALUE!</v>
      </c>
      <c r="CO288" s="231" cm="1">
        <f t="array" aca="1" ref="CO288" ca="1">_xlfn.SINGLE(IFERROR(SUMIFS(rng_out_rx_base, rng_out_GB_Medispan, "G", rng_out_sel_G_ind, "B", rng_out_sel_sp_ind, $D288, rng_out_sel_excl_ind,$E288)/[1]Tables!$AT$4, 0))</f>
        <v>0</v>
      </c>
      <c r="CP288" s="233" cm="1">
        <f t="array" aca="1" ref="CP288" ca="1">_xlfn.SINGLE(IFERROR(SUMIFS(rng_out_rx_base, rng_out_GB_Medispan, "B", rng_out_sel_G_ind, "G", rng_out_sel_sp_ind, $D288, rng_out_sel_excl_ind,$E288)/[1]Tables!$AT$4, 0))</f>
        <v>0</v>
      </c>
      <c r="CQ288" s="234">
        <f ca="1">SUM(CO288:CP288)</f>
        <v>0</v>
      </c>
      <c r="CR288" s="231" cm="1">
        <f t="array" aca="1" ref="CR288" ca="1">_xlfn.SINGLE(IFERROR(SUMIFS(rng_out_qty_base, rng_out_GB_Medispan, "G", rng_out_sel_G_ind, "B", rng_out_sel_sp_ind, $D288, rng_out_sel_excl_ind,$E288)/[1]Tables!$AT$4, 0))</f>
        <v>0</v>
      </c>
      <c r="CS288" s="232" cm="1">
        <f t="array" aca="1" ref="CS288" ca="1">_xlfn.SINGLE(IFERROR(SUMIFS(rng_out_qty_base, rng_out_GB_Medispan, "B", rng_out_sel_G_ind, "G", rng_out_sel_sp_ind, $D288, rng_out_sel_excl_ind,$E288)/[1]Tables!$AT$4, 0))</f>
        <v>0</v>
      </c>
      <c r="CT288" s="235">
        <f ca="1">SUM(CR288:CS288)</f>
        <v>0</v>
      </c>
      <c r="CU288" s="231" cm="1">
        <f t="array" aca="1" ref="CU288" ca="1">_xlfn.SINGLE(IFERROR(SUMIFS(rng_out_ds_base, rng_out_GB_Medispan, "G", rng_out_sel_G_ind, "B", rng_out_sel_sp_ind, $D288, rng_out_sel_excl_ind,$E288)/[1]Tables!$AT$4, 0))</f>
        <v>0</v>
      </c>
      <c r="CV288" s="233" cm="1">
        <f t="array" aca="1" ref="CV288" ca="1">_xlfn.SINGLE(IFERROR(SUMIFS(rng_out_ds_base, rng_out_GB_Medispan, "B", rng_out_sel_G_ind, "G", rng_out_sel_sp_ind, $D288, rng_out_sel_excl_ind,$E288)/[1]Tables!$AT$4, 0))</f>
        <v>0</v>
      </c>
      <c r="CW288" s="234">
        <f ca="1">SUM(CU288:CV288)</f>
        <v>0</v>
      </c>
    </row>
    <row r="289" spans="2:111" ht="15" thickBot="1" x14ac:dyDescent="0.4">
      <c r="B289" s="106"/>
      <c r="C289" s="236"/>
      <c r="D289" s="236" t="s">
        <v>29</v>
      </c>
      <c r="E289" s="237" t="str">
        <f>IF(sel_excl_nonRebatable=1, "Y", "N")</f>
        <v>N</v>
      </c>
      <c r="G289" s="106"/>
      <c r="H289" s="154" t="s">
        <v>18</v>
      </c>
      <c r="I289" s="238" t="e">
        <f t="shared" ref="I289:W289" ca="1" si="296">SUM(I285:I288)</f>
        <v>#VALUE!</v>
      </c>
      <c r="J289" s="238" t="e">
        <f t="shared" ca="1" si="296"/>
        <v>#VALUE!</v>
      </c>
      <c r="K289" s="238" t="e">
        <f t="shared" ca="1" si="296"/>
        <v>#VALUE!</v>
      </c>
      <c r="L289" s="238" t="e">
        <f t="shared" ca="1" si="296"/>
        <v>#VALUE!</v>
      </c>
      <c r="M289" s="239" t="e">
        <f t="shared" ca="1" si="296"/>
        <v>#VALUE!</v>
      </c>
      <c r="N289" s="238" t="e">
        <f t="shared" ca="1" si="296"/>
        <v>#VALUE!</v>
      </c>
      <c r="O289" s="238" t="e">
        <f t="shared" ca="1" si="296"/>
        <v>#VALUE!</v>
      </c>
      <c r="P289" s="238" t="e">
        <f t="shared" ca="1" si="296"/>
        <v>#VALUE!</v>
      </c>
      <c r="Q289" s="238" t="e">
        <f t="shared" ca="1" si="296"/>
        <v>#VALUE!</v>
      </c>
      <c r="R289" s="239" t="e">
        <f t="shared" ca="1" si="296"/>
        <v>#VALUE!</v>
      </c>
      <c r="S289" s="238" t="e">
        <f t="shared" ca="1" si="296"/>
        <v>#VALUE!</v>
      </c>
      <c r="T289" s="238" t="e">
        <f t="shared" ca="1" si="296"/>
        <v>#VALUE!</v>
      </c>
      <c r="U289" s="238" t="e">
        <f t="shared" ca="1" si="296"/>
        <v>#VALUE!</v>
      </c>
      <c r="V289" s="238" t="e">
        <f t="shared" ca="1" si="296"/>
        <v>#VALUE!</v>
      </c>
      <c r="W289" s="239" t="e">
        <f t="shared" ca="1" si="296"/>
        <v>#VALUE!</v>
      </c>
      <c r="Y289" s="159" t="s">
        <v>18</v>
      </c>
      <c r="Z289" s="240">
        <f t="shared" ref="Z289:AN289" ca="1" si="297">SUM(Z285:Z288)</f>
        <v>0</v>
      </c>
      <c r="AA289" s="241">
        <f t="shared" ca="1" si="297"/>
        <v>0</v>
      </c>
      <c r="AB289" s="241">
        <f t="shared" ca="1" si="297"/>
        <v>0</v>
      </c>
      <c r="AC289" s="241">
        <f t="shared" ca="1" si="297"/>
        <v>0</v>
      </c>
      <c r="AD289" s="242">
        <f t="shared" ca="1" si="297"/>
        <v>0</v>
      </c>
      <c r="AE289" s="240">
        <f t="shared" ca="1" si="297"/>
        <v>0</v>
      </c>
      <c r="AF289" s="241">
        <f t="shared" ca="1" si="297"/>
        <v>0</v>
      </c>
      <c r="AG289" s="241">
        <f t="shared" ca="1" si="297"/>
        <v>0</v>
      </c>
      <c r="AH289" s="241">
        <f t="shared" ca="1" si="297"/>
        <v>0</v>
      </c>
      <c r="AI289" s="242">
        <f t="shared" ca="1" si="297"/>
        <v>0</v>
      </c>
      <c r="AJ289" s="241">
        <f t="shared" ca="1" si="297"/>
        <v>0</v>
      </c>
      <c r="AK289" s="241">
        <f t="shared" ca="1" si="297"/>
        <v>0</v>
      </c>
      <c r="AL289" s="241">
        <f t="shared" ca="1" si="297"/>
        <v>0</v>
      </c>
      <c r="AM289" s="241">
        <f t="shared" ca="1" si="297"/>
        <v>0</v>
      </c>
      <c r="AN289" s="242">
        <f t="shared" ca="1" si="297"/>
        <v>0</v>
      </c>
      <c r="AP289" s="166" t="s">
        <v>18</v>
      </c>
      <c r="AQ289" s="226">
        <f t="shared" ref="AQ289:BE289" ca="1" si="298">SUM(AQ285:AQ288)</f>
        <v>0</v>
      </c>
      <c r="AR289" s="227">
        <f t="shared" ca="1" si="298"/>
        <v>0</v>
      </c>
      <c r="AS289" s="227">
        <f t="shared" ca="1" si="298"/>
        <v>0</v>
      </c>
      <c r="AT289" s="227">
        <f t="shared" ca="1" si="298"/>
        <v>0</v>
      </c>
      <c r="AU289" s="228">
        <f t="shared" ca="1" si="298"/>
        <v>0</v>
      </c>
      <c r="AV289" s="226" t="e">
        <f t="shared" ca="1" si="298"/>
        <v>#VALUE!</v>
      </c>
      <c r="AW289" s="227" t="e">
        <f t="shared" ca="1" si="298"/>
        <v>#VALUE!</v>
      </c>
      <c r="AX289" s="227" t="e">
        <f t="shared" ca="1" si="298"/>
        <v>#VALUE!</v>
      </c>
      <c r="AY289" s="227" t="e">
        <f t="shared" ca="1" si="298"/>
        <v>#VALUE!</v>
      </c>
      <c r="AZ289" s="228" t="e">
        <f t="shared" ca="1" si="298"/>
        <v>#VALUE!</v>
      </c>
      <c r="BA289" s="227" t="e">
        <f t="shared" ca="1" si="298"/>
        <v>#VALUE!</v>
      </c>
      <c r="BB289" s="227" t="e">
        <f t="shared" ca="1" si="298"/>
        <v>#VALUE!</v>
      </c>
      <c r="BC289" s="227" t="e">
        <f t="shared" ca="1" si="298"/>
        <v>#VALUE!</v>
      </c>
      <c r="BD289" s="227" t="e">
        <f t="shared" ca="1" si="298"/>
        <v>#VALUE!</v>
      </c>
      <c r="BE289" s="228" t="e">
        <f t="shared" ca="1" si="298"/>
        <v>#VALUE!</v>
      </c>
      <c r="BG289" s="171" t="s">
        <v>18</v>
      </c>
      <c r="BH289" s="244">
        <f t="shared" ref="BH289:BV289" ca="1" si="299">SUM(BH285:BH288)</f>
        <v>0</v>
      </c>
      <c r="BI289" s="245">
        <f t="shared" ca="1" si="299"/>
        <v>0</v>
      </c>
      <c r="BJ289" s="245">
        <f t="shared" ca="1" si="299"/>
        <v>0</v>
      </c>
      <c r="BK289" s="245">
        <f t="shared" ca="1" si="299"/>
        <v>0</v>
      </c>
      <c r="BL289" s="234">
        <f t="shared" ca="1" si="299"/>
        <v>0</v>
      </c>
      <c r="BM289" s="244" t="e">
        <f t="shared" ca="1" si="299"/>
        <v>#VALUE!</v>
      </c>
      <c r="BN289" s="245" t="e">
        <f t="shared" ca="1" si="299"/>
        <v>#VALUE!</v>
      </c>
      <c r="BO289" s="245" t="e">
        <f t="shared" ca="1" si="299"/>
        <v>#VALUE!</v>
      </c>
      <c r="BP289" s="245" t="e">
        <f t="shared" ca="1" si="299"/>
        <v>#VALUE!</v>
      </c>
      <c r="BQ289" s="234" t="e">
        <f t="shared" ca="1" si="299"/>
        <v>#VALUE!</v>
      </c>
      <c r="BR289" s="245" t="e">
        <f t="shared" ca="1" si="299"/>
        <v>#VALUE!</v>
      </c>
      <c r="BS289" s="245" t="e">
        <f t="shared" ca="1" si="299"/>
        <v>#VALUE!</v>
      </c>
      <c r="BT289" s="245" t="e">
        <f t="shared" ca="1" si="299"/>
        <v>#VALUE!</v>
      </c>
      <c r="BU289" s="245" t="e">
        <f t="shared" ca="1" si="299"/>
        <v>#VALUE!</v>
      </c>
      <c r="BV289" s="234" t="e">
        <f t="shared" ca="1" si="299"/>
        <v>#VALUE!</v>
      </c>
      <c r="BX289" s="171" t="s">
        <v>18</v>
      </c>
      <c r="BY289" s="244">
        <f t="shared" ref="BY289:CM289" ca="1" si="300">SUM(BY285:BY288)</f>
        <v>0</v>
      </c>
      <c r="BZ289" s="245">
        <f t="shared" ca="1" si="300"/>
        <v>0</v>
      </c>
      <c r="CA289" s="245">
        <f t="shared" ca="1" si="300"/>
        <v>0</v>
      </c>
      <c r="CB289" s="245">
        <f t="shared" ca="1" si="300"/>
        <v>0</v>
      </c>
      <c r="CC289" s="234">
        <f t="shared" ca="1" si="300"/>
        <v>0</v>
      </c>
      <c r="CD289" s="244" t="e">
        <f t="shared" ca="1" si="300"/>
        <v>#VALUE!</v>
      </c>
      <c r="CE289" s="245" t="e">
        <f t="shared" ca="1" si="300"/>
        <v>#VALUE!</v>
      </c>
      <c r="CF289" s="245" t="e">
        <f t="shared" ca="1" si="300"/>
        <v>#VALUE!</v>
      </c>
      <c r="CG289" s="245" t="e">
        <f t="shared" ca="1" si="300"/>
        <v>#VALUE!</v>
      </c>
      <c r="CH289" s="234" t="e">
        <f t="shared" ca="1" si="300"/>
        <v>#VALUE!</v>
      </c>
      <c r="CI289" s="245" t="e">
        <f t="shared" ca="1" si="300"/>
        <v>#VALUE!</v>
      </c>
      <c r="CJ289" s="245" t="e">
        <f t="shared" ca="1" si="300"/>
        <v>#VALUE!</v>
      </c>
      <c r="CK289" s="245" t="e">
        <f t="shared" ca="1" si="300"/>
        <v>#VALUE!</v>
      </c>
      <c r="CL289" s="245" t="e">
        <f t="shared" ca="1" si="300"/>
        <v>#VALUE!</v>
      </c>
      <c r="CM289" s="234" t="e">
        <f t="shared" ca="1" si="300"/>
        <v>#VALUE!</v>
      </c>
      <c r="CO289" s="246">
        <f t="shared" ref="CO289:CW289" ca="1" si="301">SUM(CO285:CO288)</f>
        <v>0</v>
      </c>
      <c r="CP289" s="247">
        <f t="shared" ca="1" si="301"/>
        <v>0</v>
      </c>
      <c r="CQ289" s="247">
        <f t="shared" ca="1" si="301"/>
        <v>0</v>
      </c>
      <c r="CR289" s="246">
        <f t="shared" ca="1" si="301"/>
        <v>0</v>
      </c>
      <c r="CS289" s="248">
        <f t="shared" ca="1" si="301"/>
        <v>0</v>
      </c>
      <c r="CT289" s="249">
        <f t="shared" ca="1" si="301"/>
        <v>0</v>
      </c>
      <c r="CU289" s="246">
        <f t="shared" ca="1" si="301"/>
        <v>0</v>
      </c>
      <c r="CV289" s="247">
        <f t="shared" ca="1" si="301"/>
        <v>0</v>
      </c>
      <c r="CW289" s="247">
        <f t="shared" ca="1" si="301"/>
        <v>0</v>
      </c>
    </row>
    <row r="290" spans="2:111" ht="15" thickBot="1" x14ac:dyDescent="0.4">
      <c r="M290" s="195"/>
      <c r="N290" s="195"/>
      <c r="O290" s="195"/>
      <c r="Q290" s="195"/>
    </row>
    <row r="291" spans="2:111" ht="15" thickBot="1" x14ac:dyDescent="0.4">
      <c r="I291" s="21" t="s">
        <v>74</v>
      </c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3"/>
      <c r="Z291" s="24" t="s">
        <v>74</v>
      </c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6"/>
      <c r="AQ291" s="27" t="s">
        <v>74</v>
      </c>
      <c r="AR291" s="28"/>
      <c r="AS291" s="28"/>
      <c r="AT291" s="28"/>
      <c r="AU291" s="29"/>
      <c r="AV291" s="28"/>
      <c r="AW291" s="28"/>
      <c r="AX291" s="28"/>
      <c r="AY291" s="28"/>
      <c r="AZ291" s="28"/>
      <c r="BA291" s="28"/>
      <c r="BB291" s="28"/>
      <c r="BC291" s="28"/>
      <c r="BD291" s="28"/>
      <c r="BE291" s="30"/>
      <c r="BH291" s="31" t="s">
        <v>74</v>
      </c>
      <c r="BI291" s="32"/>
      <c r="BJ291" s="32"/>
      <c r="BK291" s="32"/>
      <c r="BL291" s="32"/>
      <c r="BM291" s="32"/>
      <c r="BN291" s="32"/>
      <c r="BO291" s="32"/>
      <c r="BP291" s="32"/>
      <c r="BQ291" s="32"/>
      <c r="BR291" s="32"/>
      <c r="BS291" s="32"/>
      <c r="BT291" s="32"/>
      <c r="BU291" s="32"/>
      <c r="BV291" s="33"/>
      <c r="BY291" s="34" t="s">
        <v>74</v>
      </c>
      <c r="BZ291" s="35"/>
      <c r="CA291" s="35"/>
      <c r="CB291" s="35"/>
      <c r="CC291" s="35"/>
      <c r="CD291" s="35"/>
      <c r="CE291" s="35"/>
      <c r="CF291" s="35"/>
      <c r="CG291" s="35"/>
      <c r="CH291" s="35"/>
      <c r="CI291" s="35"/>
      <c r="CJ291" s="35"/>
      <c r="CK291" s="35"/>
      <c r="CL291" s="35"/>
      <c r="CM291" s="36"/>
      <c r="CO291" s="196" t="str">
        <f>"Base Yr (B/G indicator of Medispan + Override) "&amp;IF(input_Annual="Yes", "Annualized", "")</f>
        <v>Base Yr (B/G indicator of Medispan + Override) Annualized</v>
      </c>
      <c r="CP291" s="197"/>
      <c r="CQ291" s="197"/>
      <c r="CR291" s="198"/>
      <c r="CS291" s="198"/>
      <c r="CT291" s="198"/>
      <c r="CU291" s="198"/>
      <c r="CV291" s="198"/>
      <c r="CW291" s="198"/>
      <c r="DC291" s="34" t="s">
        <v>23</v>
      </c>
      <c r="DD291" s="35"/>
      <c r="DE291" s="35"/>
      <c r="DF291" s="35"/>
      <c r="DG291" s="36"/>
    </row>
    <row r="292" spans="2:111" ht="15" thickBot="1" x14ac:dyDescent="0.4">
      <c r="H292" s="37"/>
      <c r="I292" s="38" t="s">
        <v>59</v>
      </c>
      <c r="J292" s="39"/>
      <c r="K292" s="39"/>
      <c r="L292" s="39"/>
      <c r="M292" s="40"/>
      <c r="N292" s="38" t="s">
        <v>60</v>
      </c>
      <c r="O292" s="39"/>
      <c r="P292" s="39"/>
      <c r="Q292" s="39"/>
      <c r="R292" s="40"/>
      <c r="S292" s="38" t="s">
        <v>18</v>
      </c>
      <c r="T292" s="39"/>
      <c r="U292" s="39"/>
      <c r="V292" s="39"/>
      <c r="W292" s="40"/>
      <c r="Z292" s="41" t="s">
        <v>59</v>
      </c>
      <c r="AA292" s="42"/>
      <c r="AB292" s="42"/>
      <c r="AC292" s="42"/>
      <c r="AD292" s="43"/>
      <c r="AE292" s="41" t="s">
        <v>60</v>
      </c>
      <c r="AF292" s="42"/>
      <c r="AG292" s="42"/>
      <c r="AH292" s="42"/>
      <c r="AI292" s="43"/>
      <c r="AJ292" s="41" t="s">
        <v>18</v>
      </c>
      <c r="AK292" s="42"/>
      <c r="AL292" s="42"/>
      <c r="AM292" s="42"/>
      <c r="AN292" s="43"/>
      <c r="AQ292" s="44" t="s">
        <v>59</v>
      </c>
      <c r="AR292" s="45"/>
      <c r="AS292" s="45"/>
      <c r="AT292" s="45"/>
      <c r="AU292" s="46"/>
      <c r="AV292" s="44" t="s">
        <v>60</v>
      </c>
      <c r="AW292" s="45"/>
      <c r="AX292" s="45"/>
      <c r="AY292" s="45"/>
      <c r="AZ292" s="46"/>
      <c r="BA292" s="45" t="s">
        <v>18</v>
      </c>
      <c r="BB292" s="45"/>
      <c r="BC292" s="45"/>
      <c r="BD292" s="45"/>
      <c r="BE292" s="46"/>
      <c r="BH292" s="47" t="s">
        <v>59</v>
      </c>
      <c r="BI292" s="48"/>
      <c r="BJ292" s="48"/>
      <c r="BK292" s="48"/>
      <c r="BL292" s="49"/>
      <c r="BM292" s="47" t="s">
        <v>60</v>
      </c>
      <c r="BN292" s="48"/>
      <c r="BO292" s="48"/>
      <c r="BP292" s="48"/>
      <c r="BQ292" s="49"/>
      <c r="BR292" s="50" t="s">
        <v>18</v>
      </c>
      <c r="BS292" s="50"/>
      <c r="BT292" s="50"/>
      <c r="BU292" s="50"/>
      <c r="BV292" s="51"/>
      <c r="BY292" s="47" t="s">
        <v>59</v>
      </c>
      <c r="BZ292" s="48"/>
      <c r="CA292" s="48"/>
      <c r="CB292" s="48"/>
      <c r="CC292" s="49"/>
      <c r="CD292" s="47" t="s">
        <v>60</v>
      </c>
      <c r="CE292" s="48"/>
      <c r="CF292" s="48"/>
      <c r="CG292" s="48"/>
      <c r="CH292" s="49"/>
      <c r="CI292" s="50" t="s">
        <v>18</v>
      </c>
      <c r="CJ292" s="50"/>
      <c r="CK292" s="50"/>
      <c r="CL292" s="50"/>
      <c r="CM292" s="51"/>
      <c r="CO292" s="199" t="s">
        <v>23</v>
      </c>
      <c r="CP292" s="200"/>
      <c r="CQ292" s="201"/>
      <c r="CR292" s="199" t="s">
        <v>27</v>
      </c>
      <c r="CS292" s="200"/>
      <c r="CT292" s="201"/>
      <c r="CU292" s="200" t="s">
        <v>8</v>
      </c>
      <c r="CV292" s="200"/>
      <c r="CW292" s="201"/>
      <c r="DC292" s="52" t="s">
        <v>5</v>
      </c>
      <c r="DD292" s="50"/>
      <c r="DE292" s="50"/>
      <c r="DF292" s="50"/>
      <c r="DG292" s="51"/>
    </row>
    <row r="293" spans="2:111" ht="15" thickBot="1" x14ac:dyDescent="0.4">
      <c r="H293" s="55"/>
      <c r="I293" s="56" t="str">
        <f>[1]Tables!$AA$4</f>
        <v>07/27 - 06/28</v>
      </c>
      <c r="J293" s="55" t="str">
        <f>[1]Tables!$AA$5</f>
        <v>07/28 - 06/29</v>
      </c>
      <c r="K293" s="55" t="str">
        <f>[1]Tables!$AA$6</f>
        <v>07/29 - 06/30</v>
      </c>
      <c r="L293" s="55" t="str">
        <f>[1]Tables!$AA$7</f>
        <v>07/30 - 06/31</v>
      </c>
      <c r="M293" s="57" t="str">
        <f>[1]Tables!$AA$8</f>
        <v>07/31 - 06/32</v>
      </c>
      <c r="N293" s="56" t="str">
        <f>[1]Tables!$AA$4</f>
        <v>07/27 - 06/28</v>
      </c>
      <c r="O293" s="55" t="str">
        <f>[1]Tables!$AA$5</f>
        <v>07/28 - 06/29</v>
      </c>
      <c r="P293" s="55" t="str">
        <f>[1]Tables!$AA$6</f>
        <v>07/29 - 06/30</v>
      </c>
      <c r="Q293" s="55" t="str">
        <f>[1]Tables!$AA$7</f>
        <v>07/30 - 06/31</v>
      </c>
      <c r="R293" s="57" t="str">
        <f>[1]Tables!$AA$8</f>
        <v>07/31 - 06/32</v>
      </c>
      <c r="S293" s="56" t="str">
        <f>[1]Tables!$AA$4</f>
        <v>07/27 - 06/28</v>
      </c>
      <c r="T293" s="55" t="str">
        <f>[1]Tables!$AA$5</f>
        <v>07/28 - 06/29</v>
      </c>
      <c r="U293" s="55" t="str">
        <f>[1]Tables!$AA$6</f>
        <v>07/29 - 06/30</v>
      </c>
      <c r="V293" s="55" t="str">
        <f>[1]Tables!$AA$7</f>
        <v>07/30 - 06/31</v>
      </c>
      <c r="W293" s="57" t="str">
        <f>[1]Tables!$AA$8</f>
        <v>07/31 - 06/32</v>
      </c>
      <c r="Y293" s="58"/>
      <c r="Z293" s="59" t="str">
        <f>[1]Tables!$AA$4</f>
        <v>07/27 - 06/28</v>
      </c>
      <c r="AA293" s="60" t="str">
        <f>[1]Tables!$AA$5</f>
        <v>07/28 - 06/29</v>
      </c>
      <c r="AB293" s="60" t="str">
        <f>[1]Tables!$AA$6</f>
        <v>07/29 - 06/30</v>
      </c>
      <c r="AC293" s="60" t="str">
        <f>[1]Tables!$AA$7</f>
        <v>07/30 - 06/31</v>
      </c>
      <c r="AD293" s="61" t="str">
        <f>[1]Tables!$AA$8</f>
        <v>07/31 - 06/32</v>
      </c>
      <c r="AE293" s="59" t="str">
        <f>[1]Tables!$AA$4</f>
        <v>07/27 - 06/28</v>
      </c>
      <c r="AF293" s="60" t="str">
        <f>[1]Tables!$AA$5</f>
        <v>07/28 - 06/29</v>
      </c>
      <c r="AG293" s="60" t="str">
        <f>[1]Tables!$AA$6</f>
        <v>07/29 - 06/30</v>
      </c>
      <c r="AH293" s="60" t="str">
        <f>[1]Tables!$AA$7</f>
        <v>07/30 - 06/31</v>
      </c>
      <c r="AI293" s="61" t="str">
        <f>[1]Tables!$AA$8</f>
        <v>07/31 - 06/32</v>
      </c>
      <c r="AJ293" s="59" t="str">
        <f>[1]Tables!$AA$4</f>
        <v>07/27 - 06/28</v>
      </c>
      <c r="AK293" s="60" t="str">
        <f>[1]Tables!$AA$5</f>
        <v>07/28 - 06/29</v>
      </c>
      <c r="AL293" s="60" t="str">
        <f>[1]Tables!$AA$6</f>
        <v>07/29 - 06/30</v>
      </c>
      <c r="AM293" s="60" t="str">
        <f>[1]Tables!$AA$7</f>
        <v>07/30 - 06/31</v>
      </c>
      <c r="AN293" s="61" t="str">
        <f>[1]Tables!$AA$8</f>
        <v>07/31 - 06/32</v>
      </c>
      <c r="AP293" s="58"/>
      <c r="AQ293" s="62" t="str">
        <f>[1]Tables!$AA$4</f>
        <v>07/27 - 06/28</v>
      </c>
      <c r="AR293" s="63" t="str">
        <f>[1]Tables!$AA$5</f>
        <v>07/28 - 06/29</v>
      </c>
      <c r="AS293" s="63" t="str">
        <f>[1]Tables!$AA$6</f>
        <v>07/29 - 06/30</v>
      </c>
      <c r="AT293" s="63" t="str">
        <f>[1]Tables!$AA$7</f>
        <v>07/30 - 06/31</v>
      </c>
      <c r="AU293" s="64" t="str">
        <f>[1]Tables!$AA$8</f>
        <v>07/31 - 06/32</v>
      </c>
      <c r="AV293" s="62" t="str">
        <f>[1]Tables!$AA$4</f>
        <v>07/27 - 06/28</v>
      </c>
      <c r="AW293" s="63" t="str">
        <f>[1]Tables!$AA$5</f>
        <v>07/28 - 06/29</v>
      </c>
      <c r="AX293" s="63" t="str">
        <f>[1]Tables!$AA$6</f>
        <v>07/29 - 06/30</v>
      </c>
      <c r="AY293" s="63" t="str">
        <f>[1]Tables!$AA$7</f>
        <v>07/30 - 06/31</v>
      </c>
      <c r="AZ293" s="64" t="str">
        <f>[1]Tables!$AA$8</f>
        <v>07/31 - 06/32</v>
      </c>
      <c r="BA293" s="63" t="str">
        <f>[1]Tables!$AA$4</f>
        <v>07/27 - 06/28</v>
      </c>
      <c r="BB293" s="63" t="str">
        <f>[1]Tables!$AA$5</f>
        <v>07/28 - 06/29</v>
      </c>
      <c r="BC293" s="63" t="str">
        <f>[1]Tables!$AA$6</f>
        <v>07/29 - 06/30</v>
      </c>
      <c r="BD293" s="63" t="str">
        <f>[1]Tables!$AA$7</f>
        <v>07/30 - 06/31</v>
      </c>
      <c r="BE293" s="64" t="str">
        <f>[1]Tables!$AA$8</f>
        <v>07/31 - 06/32</v>
      </c>
      <c r="BG293" s="58"/>
      <c r="BH293" s="65" t="str">
        <f>[1]Tables!$AA$4</f>
        <v>07/27 - 06/28</v>
      </c>
      <c r="BI293" s="66" t="str">
        <f>[1]Tables!$AA$5</f>
        <v>07/28 - 06/29</v>
      </c>
      <c r="BJ293" s="66" t="str">
        <f>[1]Tables!$AA$6</f>
        <v>07/29 - 06/30</v>
      </c>
      <c r="BK293" s="66" t="str">
        <f>[1]Tables!$AA$7</f>
        <v>07/30 - 06/31</v>
      </c>
      <c r="BL293" s="67" t="str">
        <f>[1]Tables!$AA$8</f>
        <v>07/31 - 06/32</v>
      </c>
      <c r="BM293" s="65" t="str">
        <f>[1]Tables!$AA$4</f>
        <v>07/27 - 06/28</v>
      </c>
      <c r="BN293" s="66" t="str">
        <f>[1]Tables!$AA$5</f>
        <v>07/28 - 06/29</v>
      </c>
      <c r="BO293" s="66" t="str">
        <f>[1]Tables!$AA$6</f>
        <v>07/29 - 06/30</v>
      </c>
      <c r="BP293" s="66" t="str">
        <f>[1]Tables!$AA$7</f>
        <v>07/30 - 06/31</v>
      </c>
      <c r="BQ293" s="67" t="str">
        <f>[1]Tables!$AA$8</f>
        <v>07/31 - 06/32</v>
      </c>
      <c r="BR293" s="66" t="str">
        <f>[1]Tables!$AA$4</f>
        <v>07/27 - 06/28</v>
      </c>
      <c r="BS293" s="66" t="str">
        <f>[1]Tables!$AA$5</f>
        <v>07/28 - 06/29</v>
      </c>
      <c r="BT293" s="66" t="str">
        <f>[1]Tables!$AA$6</f>
        <v>07/29 - 06/30</v>
      </c>
      <c r="BU293" s="66" t="str">
        <f>[1]Tables!$AA$7</f>
        <v>07/30 - 06/31</v>
      </c>
      <c r="BV293" s="67" t="str">
        <f>[1]Tables!$AA$8</f>
        <v>07/31 - 06/32</v>
      </c>
      <c r="BX293" s="58"/>
      <c r="BY293" s="65" t="str">
        <f>[1]Tables!$AA$4</f>
        <v>07/27 - 06/28</v>
      </c>
      <c r="BZ293" s="66" t="str">
        <f>[1]Tables!$AA$5</f>
        <v>07/28 - 06/29</v>
      </c>
      <c r="CA293" s="66" t="str">
        <f>[1]Tables!$AA$6</f>
        <v>07/29 - 06/30</v>
      </c>
      <c r="CB293" s="66" t="str">
        <f>[1]Tables!$AA$7</f>
        <v>07/30 - 06/31</v>
      </c>
      <c r="CC293" s="67" t="str">
        <f>[1]Tables!$AA$8</f>
        <v>07/31 - 06/32</v>
      </c>
      <c r="CD293" s="65" t="str">
        <f>[1]Tables!$AA$4</f>
        <v>07/27 - 06/28</v>
      </c>
      <c r="CE293" s="66" t="str">
        <f>[1]Tables!$AA$5</f>
        <v>07/28 - 06/29</v>
      </c>
      <c r="CF293" s="66" t="str">
        <f>[1]Tables!$AA$6</f>
        <v>07/29 - 06/30</v>
      </c>
      <c r="CG293" s="66" t="str">
        <f>[1]Tables!$AA$7</f>
        <v>07/30 - 06/31</v>
      </c>
      <c r="CH293" s="67" t="str">
        <f>[1]Tables!$AA$8</f>
        <v>07/31 - 06/32</v>
      </c>
      <c r="CI293" s="66" t="str">
        <f>[1]Tables!$AA$4</f>
        <v>07/27 - 06/28</v>
      </c>
      <c r="CJ293" s="66" t="str">
        <f>[1]Tables!$AA$5</f>
        <v>07/28 - 06/29</v>
      </c>
      <c r="CK293" s="66" t="str">
        <f>[1]Tables!$AA$6</f>
        <v>07/29 - 06/30</v>
      </c>
      <c r="CL293" s="66" t="str">
        <f>[1]Tables!$AA$7</f>
        <v>07/30 - 06/31</v>
      </c>
      <c r="CM293" s="67" t="str">
        <f>[1]Tables!$AA$8</f>
        <v>07/31 - 06/32</v>
      </c>
      <c r="CO293" s="65" t="s">
        <v>25</v>
      </c>
      <c r="CP293" s="66" t="s">
        <v>26</v>
      </c>
      <c r="CQ293" s="202" t="s">
        <v>18</v>
      </c>
      <c r="CR293" s="66" t="s">
        <v>25</v>
      </c>
      <c r="CS293" s="66" t="s">
        <v>26</v>
      </c>
      <c r="CT293" s="202" t="s">
        <v>18</v>
      </c>
      <c r="CU293" s="65" t="s">
        <v>25</v>
      </c>
      <c r="CV293" s="67" t="s">
        <v>26</v>
      </c>
      <c r="CW293" s="67" t="s">
        <v>18</v>
      </c>
      <c r="DC293" s="65" t="str">
        <f>[1]Tables!$AA$4</f>
        <v>07/27 - 06/28</v>
      </c>
      <c r="DD293" s="66" t="str">
        <f>[1]Tables!$AA$5</f>
        <v>07/28 - 06/29</v>
      </c>
      <c r="DE293" s="66" t="str">
        <f>[1]Tables!$AA$6</f>
        <v>07/29 - 06/30</v>
      </c>
      <c r="DF293" s="66" t="str">
        <f>[1]Tables!$AA$7</f>
        <v>07/30 - 06/31</v>
      </c>
      <c r="DG293" s="67" t="str">
        <f>[1]Tables!$AA$8</f>
        <v>07/31 - 06/32</v>
      </c>
    </row>
    <row r="294" spans="2:111" x14ac:dyDescent="0.35">
      <c r="B294" s="68" t="s">
        <v>11</v>
      </c>
      <c r="C294" s="69">
        <v>30</v>
      </c>
      <c r="D294" s="69" t="s">
        <v>12</v>
      </c>
      <c r="E294" s="70" t="s">
        <v>13</v>
      </c>
      <c r="F294" s="106">
        <v>1</v>
      </c>
      <c r="G294" s="106"/>
      <c r="H294" s="71" t="s">
        <v>14</v>
      </c>
      <c r="I294" s="203" t="e" cm="1">
        <f t="array" aca="1" ref="I294" ca="1">SUMIFS(rng_out_rx_pre_yr1,rng_out_sel_excl_yr_ind, "", rng_out_GB_Medispan,I$1,rng_out_mail_ind,$B294,rng_out_ds,$C294,rng_out_sel_sp_ind,$D294,rng_out_sel_excl_ind,$E294)+
SUMIFS(rng_out_rx_pre_yr1,rng_out_sel_excl_yr_ind, [1]Tables!$HN$4,rng_out_GB_Medispan,I$1,rng_out_mail_ind,$B294,rng_out_ds,$C294,rng_out_sel_sp_ind,$D294,rng_out_sel_excl_ind,$E294)* _xlfn.XLOOKUP([1]Tables!$HN$4,'[1]RA Output'!$AY$4:$AY$5,'[1]RA Output'!AZ$4:AZ$5,0)  +
SUMIFS(rng_out_rx_pre_yr1,rng_out_sel_excl_yr_ind, [1]Tables!$HN$5,rng_out_GB_Medispan,I$1,rng_out_mail_ind,$B294,rng_out_ds,$C294,rng_out_sel_sp_ind,$D294,rng_out_sel_excl_ind,$E294)* _xlfn.XLOOKUP([1]Tables!$HN$5,'[1]RA Output'!$AY$4:$AY$5,'[1]RA Output'!AZ$4:AZ$5,0)+
IF($E$298="N", 0,
SUMIFS(rng_out_rx_pre_yr1, rng_out_GB_Medispan, I$1, rng_out_mail_ind, $B294, rng_out_ds, $C294, rng_out_sel_sp_ind, $D294, rng_out_sel_excl_ind,"N", rng_out_post_reb_ind_yr1, 0))</f>
        <v>#VALUE!</v>
      </c>
      <c r="J294" s="195" t="e" cm="1">
        <f t="array" aca="1" ref="J294" ca="1">SUMIFS(rng_out_rx_pre_yr2,rng_out_sel_excl_yr_ind, "", rng_out_GB_Medispan,J$1,rng_out_mail_ind,$B294,rng_out_ds,$C294,rng_out_sel_sp_ind,$D294,rng_out_sel_excl_ind,$E294)+
SUMIFS(rng_out_rx_pre_yr2,rng_out_sel_excl_yr_ind, [1]Tables!$HN$4,rng_out_GB_Medispan,J$1,rng_out_mail_ind,$B294,rng_out_ds,$C294,rng_out_sel_sp_ind,$D294,rng_out_sel_excl_ind,$E294)* _xlfn.XLOOKUP([1]Tables!$HN$4,'[1]RA Output'!$AY$4:$AY$5,'[1]RA Output'!BA$4:BA$5,0)  +
SUMIFS(rng_out_rx_pre_yr2,rng_out_sel_excl_yr_ind, [1]Tables!$HN$5,rng_out_GB_Medispan,J$1,rng_out_mail_ind,$B294,rng_out_ds,$C294,rng_out_sel_sp_ind,$D294,rng_out_sel_excl_ind,$E294)* _xlfn.XLOOKUP([1]Tables!$HN$5,'[1]RA Output'!$AY$4:$AY$5,'[1]RA Output'!BA$4:BA$5,0)+
IF($E$298="N", 0,
SUMIFS(rng_out_rx_pre_yr2, rng_out_GB_Medispan, J$1, rng_out_mail_ind, $B294, rng_out_ds, $C294, rng_out_sel_sp_ind, $D294, rng_out_sel_excl_ind,"N", rng_out_post_reb_ind_yr2, 0))</f>
        <v>#VALUE!</v>
      </c>
      <c r="K294" s="195" t="e" cm="1">
        <f t="array" aca="1" ref="K294" ca="1">SUMIFS(rng_out_rx_pre_yr3,rng_out_sel_excl_yr_ind, "", rng_out_GB_Medispan,K$1,rng_out_mail_ind,$B294,rng_out_ds,$C294,rng_out_sel_sp_ind,$D294,rng_out_sel_excl_ind,$E294)+
SUMIFS(rng_out_rx_pre_yr3,rng_out_sel_excl_yr_ind, [1]Tables!$HN$4,rng_out_GB_Medispan,K$1,rng_out_mail_ind,$B294,rng_out_ds,$C294,rng_out_sel_sp_ind,$D294,rng_out_sel_excl_ind,$E294)* _xlfn.XLOOKUP([1]Tables!$HN$4,'[1]RA Output'!$AY$4:$AY$5,'[1]RA Output'!BB$4:BB$5,0)  +
SUMIFS(rng_out_rx_pre_yr3,rng_out_sel_excl_yr_ind, [1]Tables!$HN$5,rng_out_GB_Medispan,K$1,rng_out_mail_ind,$B294,rng_out_ds,$C294,rng_out_sel_sp_ind,$D294,rng_out_sel_excl_ind,$E294)* _xlfn.XLOOKUP([1]Tables!$HN$5,'[1]RA Output'!$AY$4:$AY$5,'[1]RA Output'!BB$4:BB$5,0)+
IF($E$298="N", 0,
SUMIFS(rng_out_rx_pre_yr3, rng_out_GB_Medispan, K$1, rng_out_mail_ind, $B294, rng_out_ds, $C294, rng_out_sel_sp_ind, $D294, rng_out_sel_excl_ind,"N", rng_out_post_reb_ind_yr3, 0))</f>
        <v>#VALUE!</v>
      </c>
      <c r="L294" s="195" t="e" cm="1">
        <f t="array" aca="1" ref="L294" ca="1">SUMIFS(rng_out_rx_pre_yr4,rng_out_sel_excl_yr_ind, "", rng_out_GB_Medispan,L$1,rng_out_mail_ind,$B294,rng_out_ds,$C294,rng_out_sel_sp_ind,$D294,rng_out_sel_excl_ind,$E294)+
SUMIFS(rng_out_rx_pre_yr4,rng_out_sel_excl_yr_ind, [1]Tables!$HN$4,rng_out_GB_Medispan,L$1,rng_out_mail_ind,$B294,rng_out_ds,$C294,rng_out_sel_sp_ind,$D294,rng_out_sel_excl_ind,$E294)* _xlfn.XLOOKUP([1]Tables!$HN$4,'[1]RA Output'!$AY$4:$AY$5,'[1]RA Output'!BC$4:BC$5,0)  +
SUMIFS(rng_out_rx_pre_yr4,rng_out_sel_excl_yr_ind, [1]Tables!$HN$5,rng_out_GB_Medispan,L$1,rng_out_mail_ind,$B294,rng_out_ds,$C294,rng_out_sel_sp_ind,$D294,rng_out_sel_excl_ind,$E294)* _xlfn.XLOOKUP([1]Tables!$HN$5,'[1]RA Output'!$AY$4:$AY$5,'[1]RA Output'!BC$4:BC$5,0)+
IF($E$298="N", 0,
SUMIFS(rng_out_rx_pre_yr4, rng_out_GB_Medispan, L$1, rng_out_mail_ind, $B294, rng_out_ds, $C294, rng_out_sel_sp_ind, $D294, rng_out_sel_excl_ind,"N", rng_out_post_reb_ind_yr4, 0))</f>
        <v>#VALUE!</v>
      </c>
      <c r="M294" s="204" t="e" cm="1">
        <f t="array" aca="1" ref="M294" ca="1">SUMIFS(rng_out_rx_pre_yr5,rng_out_sel_excl_yr_ind, "", rng_out_GB_Medispan,M$1,rng_out_mail_ind,$B294,rng_out_ds,$C294,rng_out_sel_sp_ind,$D294,rng_out_sel_excl_ind,$E294)+
SUMIFS(rng_out_rx_pre_yr5,rng_out_sel_excl_yr_ind, [1]Tables!$HN$4,rng_out_GB_Medispan,M$1,rng_out_mail_ind,$B294,rng_out_ds,$C294,rng_out_sel_sp_ind,$D294,rng_out_sel_excl_ind,$E294)* _xlfn.XLOOKUP([1]Tables!$HN$4,'[1]RA Output'!$AY$4:$AY$5,'[1]RA Output'!BD$4:BD$5,0)  +
SUMIFS(rng_out_rx_pre_yr5,rng_out_sel_excl_yr_ind, [1]Tables!$HN$5,rng_out_GB_Medispan,M$1,rng_out_mail_ind,$B294,rng_out_ds,$C294,rng_out_sel_sp_ind,$D294,rng_out_sel_excl_ind,$E294)* _xlfn.XLOOKUP([1]Tables!$HN$5,'[1]RA Output'!$AY$4:$AY$5,'[1]RA Output'!BD$4:BD$5,0)+
IF($E$298="N", 0,
SUMIFS(rng_out_rx_pre_yr5, rng_out_GB_Medispan, M$1, rng_out_mail_ind, $B294, rng_out_ds, $C294, rng_out_sel_sp_ind, $D294, rng_out_sel_excl_ind,"N", rng_out_post_reb_ind_yr5, 0))</f>
        <v>#VALUE!</v>
      </c>
      <c r="N294" s="203" t="e" cm="1">
        <f t="array" aca="1" ref="N294" ca="1">SUMIFS(rng_out_rx_pre_yr1,rng_out_sel_excl_yr_ind, "", rng_out_GB_Medispan,N$1,rng_out_mail_ind,$B294,rng_out_ds,$C294,rng_out_sel_sp_ind,$D294,rng_out_sel_excl_ind,$E294)+
SUMIFS(rng_out_rx_pre_yr1,rng_out_sel_excl_yr_ind, [1]Tables!$HN$4,rng_out_GB_Medispan,N$1,rng_out_mail_ind,$B294,rng_out_ds,$C294,rng_out_sel_sp_ind,$D294,rng_out_sel_excl_ind,$E294)* _xlfn.XLOOKUP([1]Tables!$HN$4,'[1]RA Output'!$AY$4:$AY$5,'[1]RA Output'!AZ$4:AZ$5,0)  +
SUMIFS(rng_out_rx_pre_yr1,rng_out_sel_excl_yr_ind, [1]Tables!$HN$5,rng_out_GB_Medispan,N$1,rng_out_mail_ind,$B294,rng_out_ds,$C294,rng_out_sel_sp_ind,$D294,rng_out_sel_excl_ind,$E294)* _xlfn.XLOOKUP([1]Tables!$HN$5,'[1]RA Output'!$AY$4:$AY$5,'[1]RA Output'!AZ$4:AZ$5,0)+
IF($E$298="N", 0,
SUMIFS(rng_out_rx_pre_yr1, rng_out_GB_Medispan, N$1, rng_out_mail_ind, $B294, rng_out_ds, $C294, rng_out_sel_sp_ind, $D294, rng_out_sel_excl_ind,"N", rng_out_post_reb_ind_yr1, 0))</f>
        <v>#VALUE!</v>
      </c>
      <c r="O294" s="195" t="e" cm="1">
        <f t="array" aca="1" ref="O294" ca="1">SUMIFS(rng_out_rx_pre_yr2,rng_out_sel_excl_yr_ind, "", rng_out_GB_Medispan,O$1,rng_out_mail_ind,$B294,rng_out_ds,$C294,rng_out_sel_sp_ind,$D294,rng_out_sel_excl_ind,$E294)+
SUMIFS(rng_out_rx_pre_yr2,rng_out_sel_excl_yr_ind, [1]Tables!$HN$4,rng_out_GB_Medispan,O$1,rng_out_mail_ind,$B294,rng_out_ds,$C294,rng_out_sel_sp_ind,$D294,rng_out_sel_excl_ind,$E294)* _xlfn.XLOOKUP([1]Tables!$HN$4,'[1]RA Output'!$AY$4:$AY$5,'[1]RA Output'!BA$4:BA$5,0)  +
SUMIFS(rng_out_rx_pre_yr2,rng_out_sel_excl_yr_ind, [1]Tables!$HN$5,rng_out_GB_Medispan,O$1,rng_out_mail_ind,$B294,rng_out_ds,$C294,rng_out_sel_sp_ind,$D294,rng_out_sel_excl_ind,$E294)* _xlfn.XLOOKUP([1]Tables!$HN$5,'[1]RA Output'!$AY$4:$AY$5,'[1]RA Output'!BA$4:BA$5,0)+
IF($E$298="N", 0,
SUMIFS(rng_out_rx_pre_yr2, rng_out_GB_Medispan, O$1, rng_out_mail_ind, $B294, rng_out_ds, $C294, rng_out_sel_sp_ind, $D294, rng_out_sel_excl_ind,"N", rng_out_post_reb_ind_yr2, 0))</f>
        <v>#VALUE!</v>
      </c>
      <c r="P294" s="195" t="e" cm="1">
        <f t="array" aca="1" ref="P294" ca="1">SUMIFS(rng_out_rx_pre_yr3,rng_out_sel_excl_yr_ind, "", rng_out_GB_Medispan,P$1,rng_out_mail_ind,$B294,rng_out_ds,$C294,rng_out_sel_sp_ind,$D294,rng_out_sel_excl_ind,$E294)+
SUMIFS(rng_out_rx_pre_yr3,rng_out_sel_excl_yr_ind, [1]Tables!$HN$4,rng_out_GB_Medispan,P$1,rng_out_mail_ind,$B294,rng_out_ds,$C294,rng_out_sel_sp_ind,$D294,rng_out_sel_excl_ind,$E294)* _xlfn.XLOOKUP([1]Tables!$HN$4,'[1]RA Output'!$AY$4:$AY$5,'[1]RA Output'!BB$4:BB$5,0)  +
SUMIFS(rng_out_rx_pre_yr3,rng_out_sel_excl_yr_ind, [1]Tables!$HN$5,rng_out_GB_Medispan,P$1,rng_out_mail_ind,$B294,rng_out_ds,$C294,rng_out_sel_sp_ind,$D294,rng_out_sel_excl_ind,$E294)* _xlfn.XLOOKUP([1]Tables!$HN$5,'[1]RA Output'!$AY$4:$AY$5,'[1]RA Output'!BB$4:BB$5,0)+
IF($E$298="N", 0,
SUMIFS(rng_out_rx_pre_yr3, rng_out_GB_Medispan, P$1, rng_out_mail_ind, $B294, rng_out_ds, $C294, rng_out_sel_sp_ind, $D294, rng_out_sel_excl_ind,"N", rng_out_post_reb_ind_yr3, 0))</f>
        <v>#VALUE!</v>
      </c>
      <c r="Q294" s="195" t="e" cm="1">
        <f t="array" aca="1" ref="Q294" ca="1">SUMIFS(rng_out_rx_pre_yr4,rng_out_sel_excl_yr_ind, "", rng_out_GB_Medispan,Q$1,rng_out_mail_ind,$B294,rng_out_ds,$C294,rng_out_sel_sp_ind,$D294,rng_out_sel_excl_ind,$E294)+
SUMIFS(rng_out_rx_pre_yr4,rng_out_sel_excl_yr_ind, [1]Tables!$HN$4,rng_out_GB_Medispan,Q$1,rng_out_mail_ind,$B294,rng_out_ds,$C294,rng_out_sel_sp_ind,$D294,rng_out_sel_excl_ind,$E294)* _xlfn.XLOOKUP([1]Tables!$HN$4,'[1]RA Output'!$AY$4:$AY$5,'[1]RA Output'!BC$4:BC$5,0)  +
SUMIFS(rng_out_rx_pre_yr4,rng_out_sel_excl_yr_ind, [1]Tables!$HN$5,rng_out_GB_Medispan,Q$1,rng_out_mail_ind,$B294,rng_out_ds,$C294,rng_out_sel_sp_ind,$D294,rng_out_sel_excl_ind,$E294)* _xlfn.XLOOKUP([1]Tables!$HN$5,'[1]RA Output'!$AY$4:$AY$5,'[1]RA Output'!BC$4:BC$5,0)+
IF($E$298="N", 0,
SUMIFS(rng_out_rx_pre_yr4, rng_out_GB_Medispan, Q$1, rng_out_mail_ind, $B294, rng_out_ds, $C294, rng_out_sel_sp_ind, $D294, rng_out_sel_excl_ind,"N", rng_out_post_reb_ind_yr4, 0))</f>
        <v>#VALUE!</v>
      </c>
      <c r="R294" s="204" t="e" cm="1">
        <f t="array" aca="1" ref="R294" ca="1">SUMIFS(rng_out_rx_pre_yr5,rng_out_sel_excl_yr_ind, "", rng_out_GB_Medispan,R$1,rng_out_mail_ind,$B294,rng_out_ds,$C294,rng_out_sel_sp_ind,$D294,rng_out_sel_excl_ind,$E294)+
SUMIFS(rng_out_rx_pre_yr5,rng_out_sel_excl_yr_ind, [1]Tables!$HN$4,rng_out_GB_Medispan,R$1,rng_out_mail_ind,$B294,rng_out_ds,$C294,rng_out_sel_sp_ind,$D294,rng_out_sel_excl_ind,$E294)* _xlfn.XLOOKUP([1]Tables!$HN$4,'[1]RA Output'!$AY$4:$AY$5,'[1]RA Output'!BD$4:BD$5,0)  +
SUMIFS(rng_out_rx_pre_yr5,rng_out_sel_excl_yr_ind, [1]Tables!$HN$5,rng_out_GB_Medispan,R$1,rng_out_mail_ind,$B294,rng_out_ds,$C294,rng_out_sel_sp_ind,$D294,rng_out_sel_excl_ind,$E294)* _xlfn.XLOOKUP([1]Tables!$HN$5,'[1]RA Output'!$AY$4:$AY$5,'[1]RA Output'!BD$4:BD$5,0)+
IF($E$298="N", 0,
SUMIFS(rng_out_rx_pre_yr5, rng_out_GB_Medispan, R$1, rng_out_mail_ind, $B294, rng_out_ds, $C294, rng_out_sel_sp_ind, $D294, rng_out_sel_excl_ind,"N", rng_out_post_reb_ind_yr5, 0))</f>
        <v>#VALUE!</v>
      </c>
      <c r="S294" s="205" t="e">
        <f t="shared" ref="S294:W297" ca="1" si="302">I294+N294</f>
        <v>#VALUE!</v>
      </c>
      <c r="T294" s="206" t="e">
        <f t="shared" ca="1" si="302"/>
        <v>#VALUE!</v>
      </c>
      <c r="U294" s="206" t="e">
        <f t="shared" ca="1" si="302"/>
        <v>#VALUE!</v>
      </c>
      <c r="V294" s="206" t="e">
        <f t="shared" ca="1" si="302"/>
        <v>#VALUE!</v>
      </c>
      <c r="W294" s="207" t="e">
        <f t="shared" ca="1" si="302"/>
        <v>#VALUE!</v>
      </c>
      <c r="Y294" s="77" t="s">
        <v>14</v>
      </c>
      <c r="Z294" s="208">
        <f ca="1">IFERROR(I294/[1]Tables!$AT$4, 0)</f>
        <v>0</v>
      </c>
      <c r="AA294" s="206">
        <f ca="1">IFERROR(J294/[1]Tables!$AT$4, 0)</f>
        <v>0</v>
      </c>
      <c r="AB294" s="206">
        <f ca="1">IFERROR(K294/[1]Tables!$AT$4, 0)</f>
        <v>0</v>
      </c>
      <c r="AC294" s="206">
        <f ca="1">IFERROR(L294/[1]Tables!$AT$4, 0)</f>
        <v>0</v>
      </c>
      <c r="AD294" s="209">
        <f ca="1">IFERROR(M294/[1]Tables!$AT$4, 0)</f>
        <v>0</v>
      </c>
      <c r="AE294" s="208">
        <f ca="1">IFERROR(N294/[1]Tables!$AT$4, 0)</f>
        <v>0</v>
      </c>
      <c r="AF294" s="206">
        <f ca="1">IFERROR(O294/[1]Tables!$AT$4, 0)</f>
        <v>0</v>
      </c>
      <c r="AG294" s="206">
        <f ca="1">IFERROR(P294/[1]Tables!$AT$4, 0)</f>
        <v>0</v>
      </c>
      <c r="AH294" s="206">
        <f ca="1">IFERROR(Q294/[1]Tables!$AT$4, 0)</f>
        <v>0</v>
      </c>
      <c r="AI294" s="209">
        <f ca="1">IFERROR(R294/[1]Tables!$AT$4, 0)</f>
        <v>0</v>
      </c>
      <c r="AJ294" s="208">
        <f t="shared" ref="AJ294:AN297" ca="1" si="303">Z294+AE294</f>
        <v>0</v>
      </c>
      <c r="AK294" s="206">
        <f t="shared" ca="1" si="303"/>
        <v>0</v>
      </c>
      <c r="AL294" s="206">
        <f t="shared" ca="1" si="303"/>
        <v>0</v>
      </c>
      <c r="AM294" s="206">
        <f t="shared" ca="1" si="303"/>
        <v>0</v>
      </c>
      <c r="AN294" s="209">
        <f t="shared" ca="1" si="303"/>
        <v>0</v>
      </c>
      <c r="AP294" s="83" t="s">
        <v>14</v>
      </c>
      <c r="AQ294" s="210" cm="1">
        <f t="array" aca="1" ref="AQ294" ca="1">IFERROR(IF(OR(input_Shift="No", [1]Tables!$BN$4=1), 0, ((SUMIFS(rng_out_rx_post_yr1,rng_out_sel_excl_yr_ind, "", rng_out_GB_Medispan, N$1,rng_out_mail_ind,$B294,rng_out_ds,$C294,rng_out_sel_sp_ind,$D294,rng_out_sel_excl_ind,$E294, rng_out_MSB_excl, $F294)+
SUMIFS(rng_out_rx_post_yr1,rng_out_sel_excl_yr_ind, [1]Tables!$HN$4, rng_out_GB_Medispan, N$1,rng_out_mail_ind,$B294,rng_out_ds,$C294,rng_out_sel_sp_ind,$D294,rng_out_sel_excl_ind,$E294, rng_out_MSB_excl, $F294)* _xlfn.XLOOKUP([1]Tables!$HN$4,'[1]RA Output'!$AY$4:$AY$5,'[1]RA Output'!AZ$4:AZ$5,0)  +
SUMIFS(rng_out_rx_post_yr1,rng_out_sel_excl_yr_ind, [1]Tables!$HN$5, rng_out_GB_Medispan, N$1,rng_out_mail_ind,$B294,rng_out_ds,$C294,rng_out_sel_sp_ind,$D294,rng_out_sel_excl_ind,$E294, rng_out_MSB_excl, $F294)* _xlfn.XLOOKUP([1]Tables!$HN$5,'[1]RA Output'!$AY$4:$AY$5,'[1]RA Output'!AZ$4:AZ$5,0))/[1]Tables!$AT$4)/[1]Tables!$BN$4*(1-[1]Tables!$BN$4)), 0)
+ IFERROR((SUMIFS(rng_out_rx_post_yr1,rng_out_sel_excl_yr_ind, "", rng_out_GB_Medispan, I$1,rng_out_mail_ind,$B294,rng_out_ds,$C294,rng_out_sel_sp_ind,$D294,rng_out_sel_excl_ind,$E294)+
SUMIFS(rng_out_rx_post_yr1,rng_out_sel_excl_yr_ind, [1]Tables!$HN$4, rng_out_GB_Medispan, I$1,rng_out_mail_ind,$B294,rng_out_ds,$C294,rng_out_sel_sp_ind,$D294,rng_out_sel_excl_ind,$E294)* _xlfn.XLOOKUP([1]Tables!$HN$4,'[1]RA Output'!$AY$4:$AY$5,'[1]RA Output'!AZ$4:AZ$5,0)  +
SUMIFS(rng_out_rx_post_yr1,rng_out_sel_excl_yr_ind, [1]Tables!$HN$5, rng_out_GB_Medispan, I$1,rng_out_mail_ind,$B294,rng_out_ds,$C294,rng_out_sel_sp_ind,$D294,rng_out_sel_excl_ind,$E294)* _xlfn.XLOOKUP([1]Tables!$HN$5,'[1]RA Output'!$AY$4:$AY$5,'[1]RA Output'!AZ$4:AZ$5,0))/[1]Tables!$AT$4, 0)+
IF($E$280="N", 0,
IFERROR((SUMIFS(rng_out_rx_post_yr1, rng_out_GB_Medispan, I$1, rng_out_sel_G_ind, I$1, rng_out_mail_ind, $B294, rng_out_ds, $C294, rng_out_sel_sp_ind, $D294, rng_out_sel_excl_ind,"N", rng_out_post_reb_ind_yr1, 0))/[1]Tables!$AT$4, 0))</f>
        <v>0</v>
      </c>
      <c r="AR294" s="195" cm="1">
        <f t="array" aca="1" ref="AR294" ca="1">IFERROR(IF(OR(input_Shift="No", [1]Tables!$BN$4=1), 0, ((SUMIFS(rng_out_rx_post_yr2,rng_out_sel_excl_yr_ind, "", rng_out_GB_Medispan, O$1,rng_out_mail_ind,$B294,rng_out_ds,$C294,rng_out_sel_sp_ind,$D294,rng_out_sel_excl_ind,$E294, rng_out_MSB_excl, $F294)+
SUMIFS(rng_out_rx_post_yr2,rng_out_sel_excl_yr_ind, [1]Tables!$HN$4, rng_out_GB_Medispan, O$1,rng_out_mail_ind,$B294,rng_out_ds,$C294,rng_out_sel_sp_ind,$D294,rng_out_sel_excl_ind,$E294, rng_out_MSB_excl, $F294)* _xlfn.XLOOKUP([1]Tables!$HN$4,'[1]RA Output'!$AY$4:$AY$5,'[1]RA Output'!BA$4:BA$5,0)  +
SUMIFS(rng_out_rx_post_yr2,rng_out_sel_excl_yr_ind, [1]Tables!$HN$5, rng_out_GB_Medispan, O$1,rng_out_mail_ind,$B294,rng_out_ds,$C294,rng_out_sel_sp_ind,$D294,rng_out_sel_excl_ind,$E294, rng_out_MSB_excl, $F294)* _xlfn.XLOOKUP([1]Tables!$HN$5,'[1]RA Output'!$AY$4:$AY$5,'[1]RA Output'!BA$4:BA$5,0))/[1]Tables!$AT$4)/[1]Tables!$BN$4*(1-[1]Tables!$BN$4)), 0)
+ IFERROR((SUMIFS(rng_out_rx_post_yr2,rng_out_sel_excl_yr_ind, "", rng_out_GB_Medispan, J$1,rng_out_mail_ind,$B294,rng_out_ds,$C294,rng_out_sel_sp_ind,$D294,rng_out_sel_excl_ind,$E294)+
SUMIFS(rng_out_rx_post_yr2,rng_out_sel_excl_yr_ind, [1]Tables!$HN$4, rng_out_GB_Medispan, J$1,rng_out_mail_ind,$B294,rng_out_ds,$C294,rng_out_sel_sp_ind,$D294,rng_out_sel_excl_ind,$E294)* _xlfn.XLOOKUP([1]Tables!$HN$4,'[1]RA Output'!$AY$4:$AY$5,'[1]RA Output'!BA$4:BA$5,0)  +
SUMIFS(rng_out_rx_post_yr2,rng_out_sel_excl_yr_ind, [1]Tables!$HN$5, rng_out_GB_Medispan, J$1,rng_out_mail_ind,$B294,rng_out_ds,$C294,rng_out_sel_sp_ind,$D294,rng_out_sel_excl_ind,$E294)* _xlfn.XLOOKUP([1]Tables!$HN$5,'[1]RA Output'!$AY$4:$AY$5,'[1]RA Output'!BA$4:BA$5,0))/[1]Tables!$AT$4, 0)+
IF($E$280="N", 0,
IFERROR((SUMIFS(rng_out_rx_post_yr2, rng_out_GB_Medispan, J$1, rng_out_sel_G_ind, J$1, rng_out_mail_ind, $B294, rng_out_ds, $C294, rng_out_sel_sp_ind, $D294, rng_out_sel_excl_ind,"N", rng_out_post_reb_ind_yr2, 0))/[1]Tables!$AT$4, 0))</f>
        <v>0</v>
      </c>
      <c r="AS294" s="195" cm="1">
        <f t="array" aca="1" ref="AS294" ca="1">IFERROR(IF(OR(input_Shift="No", [1]Tables!$BN$4=1), 0, ((SUMIFS(rng_out_rx_post_yr3,rng_out_sel_excl_yr_ind, "", rng_out_GB_Medispan, P$1,rng_out_mail_ind,$B294,rng_out_ds,$C294,rng_out_sel_sp_ind,$D294,rng_out_sel_excl_ind,$E294, rng_out_MSB_excl, $F294)+
SUMIFS(rng_out_rx_post_yr3,rng_out_sel_excl_yr_ind, [1]Tables!$HN$4, rng_out_GB_Medispan, P$1,rng_out_mail_ind,$B294,rng_out_ds,$C294,rng_out_sel_sp_ind,$D294,rng_out_sel_excl_ind,$E294, rng_out_MSB_excl, $F294)* _xlfn.XLOOKUP([1]Tables!$HN$4,'[1]RA Output'!$AY$4:$AY$5,'[1]RA Output'!BB$4:BB$5,0)  +
SUMIFS(rng_out_rx_post_yr3,rng_out_sel_excl_yr_ind, [1]Tables!$HN$5, rng_out_GB_Medispan, P$1,rng_out_mail_ind,$B294,rng_out_ds,$C294,rng_out_sel_sp_ind,$D294,rng_out_sel_excl_ind,$E294, rng_out_MSB_excl, $F294)* _xlfn.XLOOKUP([1]Tables!$HN$5,'[1]RA Output'!$AY$4:$AY$5,'[1]RA Output'!BB$4:BB$5,0))/[1]Tables!$AT$4)/[1]Tables!$BN$4*(1-[1]Tables!$BN$4)), 0)
+ IFERROR((SUMIFS(rng_out_rx_post_yr3,rng_out_sel_excl_yr_ind, "", rng_out_GB_Medispan, K$1,rng_out_mail_ind,$B294,rng_out_ds,$C294,rng_out_sel_sp_ind,$D294,rng_out_sel_excl_ind,$E294)+
SUMIFS(rng_out_rx_post_yr3,rng_out_sel_excl_yr_ind, [1]Tables!$HN$4, rng_out_GB_Medispan, K$1,rng_out_mail_ind,$B294,rng_out_ds,$C294,rng_out_sel_sp_ind,$D294,rng_out_sel_excl_ind,$E294)* _xlfn.XLOOKUP([1]Tables!$HN$4,'[1]RA Output'!$AY$4:$AY$5,'[1]RA Output'!BB$4:BB$5,0)  +
SUMIFS(rng_out_rx_post_yr3,rng_out_sel_excl_yr_ind, [1]Tables!$HN$5, rng_out_GB_Medispan, K$1,rng_out_mail_ind,$B294,rng_out_ds,$C294,rng_out_sel_sp_ind,$D294,rng_out_sel_excl_ind,$E294)* _xlfn.XLOOKUP([1]Tables!$HN$5,'[1]RA Output'!$AY$4:$AY$5,'[1]RA Output'!BB$4:BB$5,0))/[1]Tables!$AT$4, 0)+
IF($E$280="N", 0,
IFERROR((SUMIFS(rng_out_rx_post_yr3, rng_out_GB_Medispan, K$1, rng_out_sel_G_ind, K$1, rng_out_mail_ind, $B294, rng_out_ds, $C294, rng_out_sel_sp_ind, $D294, rng_out_sel_excl_ind,"N", rng_out_post_reb_ind_yr3, 0))/[1]Tables!$AT$4, 0))</f>
        <v>0</v>
      </c>
      <c r="AT294" s="195" cm="1">
        <f t="array" aca="1" ref="AT294" ca="1">IFERROR(IF(OR(input_Shift="No", [1]Tables!$BN$4=1), 0, ((SUMIFS(rng_out_rx_post_yr4,rng_out_sel_excl_yr_ind, "", rng_out_GB_Medispan, Q$1,rng_out_mail_ind,$B294,rng_out_ds,$C294,rng_out_sel_sp_ind,$D294,rng_out_sel_excl_ind,$E294, rng_out_MSB_excl, $F294)+
SUMIFS(rng_out_rx_post_yr4,rng_out_sel_excl_yr_ind, [1]Tables!$HN$4, rng_out_GB_Medispan, Q$1,rng_out_mail_ind,$B294,rng_out_ds,$C294,rng_out_sel_sp_ind,$D294,rng_out_sel_excl_ind,$E294, rng_out_MSB_excl, $F294)* _xlfn.XLOOKUP([1]Tables!$HN$4,'[1]RA Output'!$AY$4:$AY$5,'[1]RA Output'!BC$4:BC$5,0)  +
SUMIFS(rng_out_rx_post_yr4,rng_out_sel_excl_yr_ind, [1]Tables!$HN$5, rng_out_GB_Medispan, Q$1,rng_out_mail_ind,$B294,rng_out_ds,$C294,rng_out_sel_sp_ind,$D294,rng_out_sel_excl_ind,$E294, rng_out_MSB_excl, $F294)* _xlfn.XLOOKUP([1]Tables!$HN$5,'[1]RA Output'!$AY$4:$AY$5,'[1]RA Output'!BC$4:BC$5,0))/[1]Tables!$AT$4)/[1]Tables!$BN$4*(1-[1]Tables!$BN$4)), 0)
+ IFERROR((SUMIFS(rng_out_rx_post_yr4,rng_out_sel_excl_yr_ind, "", rng_out_GB_Medispan, L$1,rng_out_mail_ind,$B294,rng_out_ds,$C294,rng_out_sel_sp_ind,$D294,rng_out_sel_excl_ind,$E294)+
SUMIFS(rng_out_rx_post_yr4,rng_out_sel_excl_yr_ind, [1]Tables!$HN$4, rng_out_GB_Medispan, L$1,rng_out_mail_ind,$B294,rng_out_ds,$C294,rng_out_sel_sp_ind,$D294,rng_out_sel_excl_ind,$E294)* _xlfn.XLOOKUP([1]Tables!$HN$4,'[1]RA Output'!$AY$4:$AY$5,'[1]RA Output'!BC$4:BC$5,0)  +
SUMIFS(rng_out_rx_post_yr4,rng_out_sel_excl_yr_ind, [1]Tables!$HN$5, rng_out_GB_Medispan, L$1,rng_out_mail_ind,$B294,rng_out_ds,$C294,rng_out_sel_sp_ind,$D294,rng_out_sel_excl_ind,$E294)* _xlfn.XLOOKUP([1]Tables!$HN$5,'[1]RA Output'!$AY$4:$AY$5,'[1]RA Output'!BC$4:BC$5,0))/[1]Tables!$AT$4, 0)+
IF($E$280="N", 0,
IFERROR((SUMIFS(rng_out_rx_post_yr4, rng_out_GB_Medispan, L$1, rng_out_sel_G_ind, L$1, rng_out_mail_ind, $B294, rng_out_ds, $C294, rng_out_sel_sp_ind, $D294, rng_out_sel_excl_ind,"N", rng_out_post_reb_ind_yr4, 0))/[1]Tables!$AT$4, 0))</f>
        <v>0</v>
      </c>
      <c r="AU294" s="211" cm="1">
        <f t="array" aca="1" ref="AU294" ca="1">IFERROR(IF(OR(input_Shift="No", [1]Tables!$BN$4=1), 0, ((SUMIFS(rng_out_rx_post_yr5,rng_out_sel_excl_yr_ind, "", rng_out_GB_Medispan, R$1,rng_out_mail_ind,$B294,rng_out_ds,$C294,rng_out_sel_sp_ind,$D294,rng_out_sel_excl_ind,$E294, rng_out_MSB_excl, $F294)+
SUMIFS(rng_out_rx_post_yr5,rng_out_sel_excl_yr_ind, [1]Tables!$HN$4, rng_out_GB_Medispan, R$1,rng_out_mail_ind,$B294,rng_out_ds,$C294,rng_out_sel_sp_ind,$D294,rng_out_sel_excl_ind,$E294, rng_out_MSB_excl, $F294)* _xlfn.XLOOKUP([1]Tables!$HN$4,'[1]RA Output'!$AY$4:$AY$5,'[1]RA Output'!BD$4:BD$5,0)  +
SUMIFS(rng_out_rx_post_yr5,rng_out_sel_excl_yr_ind, [1]Tables!$HN$5, rng_out_GB_Medispan, R$1,rng_out_mail_ind,$B294,rng_out_ds,$C294,rng_out_sel_sp_ind,$D294,rng_out_sel_excl_ind,$E294, rng_out_MSB_excl, $F294)* _xlfn.XLOOKUP([1]Tables!$HN$5,'[1]RA Output'!$AY$4:$AY$5,'[1]RA Output'!BD$4:BD$5,0))/[1]Tables!$AT$4)/[1]Tables!$BN$4*(1-[1]Tables!$BN$4)), 0)
+ IFERROR((SUMIFS(rng_out_rx_post_yr5,rng_out_sel_excl_yr_ind, "", rng_out_GB_Medispan, M$1,rng_out_mail_ind,$B294,rng_out_ds,$C294,rng_out_sel_sp_ind,$D294,rng_out_sel_excl_ind,$E294)+
SUMIFS(rng_out_rx_post_yr5,rng_out_sel_excl_yr_ind, [1]Tables!$HN$4, rng_out_GB_Medispan, M$1,rng_out_mail_ind,$B294,rng_out_ds,$C294,rng_out_sel_sp_ind,$D294,rng_out_sel_excl_ind,$E294)* _xlfn.XLOOKUP([1]Tables!$HN$4,'[1]RA Output'!$AY$4:$AY$5,'[1]RA Output'!BD$4:BD$5,0)  +
SUMIFS(rng_out_rx_post_yr5,rng_out_sel_excl_yr_ind, [1]Tables!$HN$5, rng_out_GB_Medispan, M$1,rng_out_mail_ind,$B294,rng_out_ds,$C294,rng_out_sel_sp_ind,$D294,rng_out_sel_excl_ind,$E294)* _xlfn.XLOOKUP([1]Tables!$HN$5,'[1]RA Output'!$AY$4:$AY$5,'[1]RA Output'!BD$4:BD$5,0))/[1]Tables!$AT$4, 0)+
IF($E$280="N", 0,
IFERROR((SUMIFS(rng_out_rx_post_yr5, rng_out_GB_Medispan, M$1, rng_out_sel_G_ind, M$1, rng_out_mail_ind, $B294, rng_out_ds, $C294, rng_out_sel_sp_ind, $D294, rng_out_sel_excl_ind,"N", rng_out_post_reb_ind_yr5, 0))/[1]Tables!$AT$4, 0))</f>
        <v>0</v>
      </c>
      <c r="AV294" s="210" t="e" cm="1">
        <f t="array" aca="1" ref="AV294" ca="1">(SUMIFS(rng_out_rx_post_yr1,rng_out_sel_excl_yr_ind, "", rng_out_GB_Medispan, N$1,rng_out_mail_ind,$B294,rng_out_ds,$C294,rng_out_sel_sp_ind,$D294,rng_out_sel_excl_ind,$E294)+
SUMIFS(rng_out_rx_post_yr1,rng_out_sel_excl_yr_ind, [1]Tables!$HN$4, rng_out_GB_Medispan, N$1,rng_out_mail_ind,$B294,rng_out_ds,$C294,rng_out_sel_sp_ind,$D294,rng_out_sel_excl_ind,$E294)* _xlfn.XLOOKUP([1]Tables!$HN$4,'[1]RA Output'!$AY$4:$AY$5,'[1]RA Output'!AZ$4:AZ$5,0)  +
SUMIFS(rng_out_rx_post_yr1,rng_out_sel_excl_yr_ind, [1]Tables!$HN$5, rng_out_GB_Medispan, N$1,rng_out_mail_ind,$B294,rng_out_ds,$C294,rng_out_sel_sp_ind,$D294,rng_out_sel_excl_ind,$E294)* _xlfn.XLOOKUP([1]Tables!$HN$5,'[1]RA Output'!$AY$4:$AY$5,'[1]RA Output'!AZ$4:AZ$5,0))/[1]Tables!$AT$4+
IFERROR(IF($E$289="N", 0,
SUMIFS(rng_out_rx_post_yr1, rng_out_GB_Medispan, N$1, rng_out_mail_ind, $B294, rng_out_ds, $C294, rng_out_sel_sp_ind, $D294, rng_out_sel_excl_ind,"N", rng_out_post_reb_ind_yr1, 0)/[1]Tables!$AT$4),0)</f>
        <v>#VALUE!</v>
      </c>
      <c r="AW294" s="195" t="e" cm="1">
        <f t="array" aca="1" ref="AW294" ca="1">(SUMIFS(rng_out_rx_post_yr2,rng_out_sel_excl_yr_ind, "", rng_out_GB_Medispan, O$1,rng_out_mail_ind,$B294,rng_out_ds,$C294,rng_out_sel_sp_ind,$D294,rng_out_sel_excl_ind,$E294)+
SUMIFS(rng_out_rx_post_yr2,rng_out_sel_excl_yr_ind, [1]Tables!$HN$4, rng_out_GB_Medispan, O$1,rng_out_mail_ind,$B294,rng_out_ds,$C294,rng_out_sel_sp_ind,$D294,rng_out_sel_excl_ind,$E294)* _xlfn.XLOOKUP([1]Tables!$HN$4,'[1]RA Output'!$AY$4:$AY$5,'[1]RA Output'!BA$4:BA$5,0)  +
SUMIFS(rng_out_rx_post_yr2,rng_out_sel_excl_yr_ind, [1]Tables!$HN$5, rng_out_GB_Medispan, O$1,rng_out_mail_ind,$B294,rng_out_ds,$C294,rng_out_sel_sp_ind,$D294,rng_out_sel_excl_ind,$E294)* _xlfn.XLOOKUP([1]Tables!$HN$5,'[1]RA Output'!$AY$4:$AY$5,'[1]RA Output'!BA$4:BA$5,0))/[1]Tables!$AT$4+
IFERROR(IF($E$289="N", 0,
SUMIFS(rng_out_rx_post_yr2, rng_out_GB_Medispan, O$1, rng_out_mail_ind, $B294, rng_out_ds, $C294, rng_out_sel_sp_ind, $D294, rng_out_sel_excl_ind,"N", rng_out_post_reb_ind_yr2, 0)/[1]Tables!$AT$4),0)</f>
        <v>#VALUE!</v>
      </c>
      <c r="AX294" s="195" t="e" cm="1">
        <f t="array" aca="1" ref="AX294" ca="1">(SUMIFS(rng_out_rx_post_yr3,rng_out_sel_excl_yr_ind, "", rng_out_GB_Medispan, P$1,rng_out_mail_ind,$B294,rng_out_ds,$C294,rng_out_sel_sp_ind,$D294,rng_out_sel_excl_ind,$E294)+
SUMIFS(rng_out_rx_post_yr3,rng_out_sel_excl_yr_ind, [1]Tables!$HN$4, rng_out_GB_Medispan, P$1,rng_out_mail_ind,$B294,rng_out_ds,$C294,rng_out_sel_sp_ind,$D294,rng_out_sel_excl_ind,$E294)* _xlfn.XLOOKUP([1]Tables!$HN$4,'[1]RA Output'!$AY$4:$AY$5,'[1]RA Output'!BB$4:BB$5,0)  +
SUMIFS(rng_out_rx_post_yr3,rng_out_sel_excl_yr_ind, [1]Tables!$HN$5, rng_out_GB_Medispan, P$1,rng_out_mail_ind,$B294,rng_out_ds,$C294,rng_out_sel_sp_ind,$D294,rng_out_sel_excl_ind,$E294)* _xlfn.XLOOKUP([1]Tables!$HN$5,'[1]RA Output'!$AY$4:$AY$5,'[1]RA Output'!BB$4:BB$5,0))/[1]Tables!$AT$4+
IFERROR(IF($E$289="N", 0,
SUMIFS(rng_out_rx_post_yr3, rng_out_GB_Medispan, P$1, rng_out_mail_ind, $B294, rng_out_ds, $C294, rng_out_sel_sp_ind, $D294, rng_out_sel_excl_ind,"N", rng_out_post_reb_ind_yr3, 0)/[1]Tables!$AT$4),0)</f>
        <v>#VALUE!</v>
      </c>
      <c r="AY294" s="195" t="e" cm="1">
        <f t="array" aca="1" ref="AY294" ca="1">(SUMIFS(rng_out_rx_post_yr4,rng_out_sel_excl_yr_ind, "", rng_out_GB_Medispan, Q$1,rng_out_mail_ind,$B294,rng_out_ds,$C294,rng_out_sel_sp_ind,$D294,rng_out_sel_excl_ind,$E294)+
SUMIFS(rng_out_rx_post_yr4,rng_out_sel_excl_yr_ind, [1]Tables!$HN$4, rng_out_GB_Medispan, Q$1,rng_out_mail_ind,$B294,rng_out_ds,$C294,rng_out_sel_sp_ind,$D294,rng_out_sel_excl_ind,$E294)* _xlfn.XLOOKUP([1]Tables!$HN$4,'[1]RA Output'!$AY$4:$AY$5,'[1]RA Output'!BC$4:BC$5,0)  +
SUMIFS(rng_out_rx_post_yr4,rng_out_sel_excl_yr_ind, [1]Tables!$HN$5, rng_out_GB_Medispan, Q$1,rng_out_mail_ind,$B294,rng_out_ds,$C294,rng_out_sel_sp_ind,$D294,rng_out_sel_excl_ind,$E294)* _xlfn.XLOOKUP([1]Tables!$HN$5,'[1]RA Output'!$AY$4:$AY$5,'[1]RA Output'!BC$4:BC$5,0))/[1]Tables!$AT$4+
IFERROR(IF($E$289="N", 0,
SUMIFS(rng_out_rx_post_yr4, rng_out_GB_Medispan, Q$1, rng_out_mail_ind, $B294, rng_out_ds, $C294, rng_out_sel_sp_ind, $D294, rng_out_sel_excl_ind,"N", rng_out_post_reb_ind_yr4, 0)/[1]Tables!$AT$4),0)</f>
        <v>#VALUE!</v>
      </c>
      <c r="AZ294" s="211" t="e" cm="1">
        <f t="array" aca="1" ref="AZ294" ca="1">(SUMIFS(rng_out_rx_post_yr5,rng_out_sel_excl_yr_ind, "", rng_out_GB_Medispan, R$1,rng_out_mail_ind,$B294,rng_out_ds,$C294,rng_out_sel_sp_ind,$D294,rng_out_sel_excl_ind,$E294)+
SUMIFS(rng_out_rx_post_yr5,rng_out_sel_excl_yr_ind, [1]Tables!$HN$4, rng_out_GB_Medispan, R$1,rng_out_mail_ind,$B294,rng_out_ds,$C294,rng_out_sel_sp_ind,$D294,rng_out_sel_excl_ind,$E294)* _xlfn.XLOOKUP([1]Tables!$HN$4,'[1]RA Output'!$AY$4:$AY$5,'[1]RA Output'!BD$4:BD$5,0)  +
SUMIFS(rng_out_rx_post_yr5,rng_out_sel_excl_yr_ind, [1]Tables!$HN$5, rng_out_GB_Medispan, R$1,rng_out_mail_ind,$B294,rng_out_ds,$C294,rng_out_sel_sp_ind,$D294,rng_out_sel_excl_ind,$E294)* _xlfn.XLOOKUP([1]Tables!$HN$5,'[1]RA Output'!$AY$4:$AY$5,'[1]RA Output'!BD$4:BD$5,0))/[1]Tables!$AT$4+
IFERROR(IF($E$289="N", 0,
SUMIFS(rng_out_rx_post_yr5, rng_out_GB_Medispan, R$1, rng_out_mail_ind, $B294, rng_out_ds, $C294, rng_out_sel_sp_ind, $D294, rng_out_sel_excl_ind,"N", rng_out_post_reb_ind_yr5, 0)/[1]Tables!$AT$4),0)</f>
        <v>#VALUE!</v>
      </c>
      <c r="BA294" s="206" t="e">
        <f t="shared" ref="BA294:BE297" ca="1" si="304">AQ294+AV294</f>
        <v>#VALUE!</v>
      </c>
      <c r="BB294" s="206" t="e">
        <f t="shared" ca="1" si="304"/>
        <v>#VALUE!</v>
      </c>
      <c r="BC294" s="206" t="e">
        <f t="shared" ca="1" si="304"/>
        <v>#VALUE!</v>
      </c>
      <c r="BD294" s="206" t="e">
        <f t="shared" ca="1" si="304"/>
        <v>#VALUE!</v>
      </c>
      <c r="BE294" s="212" t="e">
        <f t="shared" ca="1" si="304"/>
        <v>#VALUE!</v>
      </c>
      <c r="BG294" s="88" t="s">
        <v>14</v>
      </c>
      <c r="BH294" s="213">
        <f t="shared" ref="BH294:BQ297" ca="1" si="305">AQ294</f>
        <v>0</v>
      </c>
      <c r="BI294" s="206">
        <f t="shared" ca="1" si="305"/>
        <v>0</v>
      </c>
      <c r="BJ294" s="206">
        <f t="shared" ca="1" si="305"/>
        <v>0</v>
      </c>
      <c r="BK294" s="206">
        <f t="shared" ca="1" si="305"/>
        <v>0</v>
      </c>
      <c r="BL294" s="214">
        <f t="shared" ca="1" si="305"/>
        <v>0</v>
      </c>
      <c r="BM294" s="213" t="e">
        <f t="shared" ca="1" si="305"/>
        <v>#VALUE!</v>
      </c>
      <c r="BN294" s="206" t="e">
        <f t="shared" ca="1" si="305"/>
        <v>#VALUE!</v>
      </c>
      <c r="BO294" s="206" t="e">
        <f t="shared" ca="1" si="305"/>
        <v>#VALUE!</v>
      </c>
      <c r="BP294" s="206" t="e">
        <f t="shared" ca="1" si="305"/>
        <v>#VALUE!</v>
      </c>
      <c r="BQ294" s="214" t="e">
        <f t="shared" ca="1" si="305"/>
        <v>#VALUE!</v>
      </c>
      <c r="BR294" s="215" t="e">
        <f t="shared" ref="BR294:BV297" ca="1" si="306">BH294+BM294</f>
        <v>#VALUE!</v>
      </c>
      <c r="BS294" s="216" t="e">
        <f t="shared" ca="1" si="306"/>
        <v>#VALUE!</v>
      </c>
      <c r="BT294" s="216" t="e">
        <f t="shared" ca="1" si="306"/>
        <v>#VALUE!</v>
      </c>
      <c r="BU294" s="216" t="e">
        <f t="shared" ca="1" si="306"/>
        <v>#VALUE!</v>
      </c>
      <c r="BV294" s="217" t="e">
        <f t="shared" ca="1" si="306"/>
        <v>#VALUE!</v>
      </c>
      <c r="BX294" s="88" t="s">
        <v>14</v>
      </c>
      <c r="BY294" s="213" t="e">
        <f t="shared" ref="BY294:CC297" ca="1" si="307">BH312</f>
        <v>#VALUE!</v>
      </c>
      <c r="BZ294" s="206" t="e">
        <f t="shared" ca="1" si="307"/>
        <v>#VALUE!</v>
      </c>
      <c r="CA294" s="206" t="e">
        <f t="shared" ca="1" si="307"/>
        <v>#VALUE!</v>
      </c>
      <c r="CB294" s="206" t="e">
        <f t="shared" ca="1" si="307"/>
        <v>#VALUE!</v>
      </c>
      <c r="CC294" s="214" t="e">
        <f t="shared" ca="1" si="307"/>
        <v>#VALUE!</v>
      </c>
      <c r="CD294" s="213" t="e">
        <f t="shared" ref="CD294:CH297" ca="1" si="308">BR303 + DC294</f>
        <v>#VALUE!</v>
      </c>
      <c r="CE294" s="206" t="e">
        <f t="shared" ca="1" si="308"/>
        <v>#VALUE!</v>
      </c>
      <c r="CF294" s="206" t="e">
        <f t="shared" ca="1" si="308"/>
        <v>#VALUE!</v>
      </c>
      <c r="CG294" s="206" t="e">
        <f t="shared" ca="1" si="308"/>
        <v>#VALUE!</v>
      </c>
      <c r="CH294" s="214" t="e">
        <f t="shared" ca="1" si="308"/>
        <v>#VALUE!</v>
      </c>
      <c r="CI294" s="215" t="e">
        <f t="shared" ref="CI294:CM297" ca="1" si="309">BY294+CD294</f>
        <v>#VALUE!</v>
      </c>
      <c r="CJ294" s="216" t="e">
        <f t="shared" ca="1" si="309"/>
        <v>#VALUE!</v>
      </c>
      <c r="CK294" s="216" t="e">
        <f t="shared" ca="1" si="309"/>
        <v>#VALUE!</v>
      </c>
      <c r="CL294" s="216" t="e">
        <f t="shared" ca="1" si="309"/>
        <v>#VALUE!</v>
      </c>
      <c r="CM294" s="217" t="e">
        <f t="shared" ca="1" si="309"/>
        <v>#VALUE!</v>
      </c>
      <c r="CO294" s="215" cm="1">
        <f t="array" aca="1" ref="CO294" ca="1">_xlfn.SINGLE(IFERROR(SUMIFS(rng_out_rx_base, rng_out_GB_Medispan, "G", rng_out_mail_ind, $B294, rng_out_ds, $C294, rng_out_sel_sp_ind, $D294, rng_out_sel_excl_ind,$E294)/[1]Tables!$AT$4, 0))</f>
        <v>0</v>
      </c>
      <c r="CP294" s="217" cm="1">
        <f t="array" aca="1" ref="CP294" ca="1">_xlfn.SINGLE(IFERROR(SUMIFS(rng_out_rx_base, rng_out_GB_Medispan, "B", rng_out_mail_ind, $B294, rng_out_ds, $C294, rng_out_sel_sp_ind, $D294, rng_out_sel_excl_ind,$E294)/[1]Tables!$AT$4, 0))</f>
        <v>0</v>
      </c>
      <c r="CQ294" s="218">
        <f ca="1">SUM(CO294:CP294)</f>
        <v>0</v>
      </c>
      <c r="CR294" s="215" cm="1">
        <f t="array" aca="1" ref="CR294" ca="1">_xlfn.SINGLE(IFERROR(SUMIFS(rng_out_qty_base, rng_out_GB_Medispan, "G", rng_out_mail_ind, $B294, rng_out_ds, $C294, rng_out_sel_sp_ind, $D294, rng_out_sel_excl_ind,$E294)/[1]Tables!$AT$4, 0))</f>
        <v>0</v>
      </c>
      <c r="CS294" s="216" cm="1">
        <f t="array" aca="1" ref="CS294" ca="1">_xlfn.SINGLE(IFERROR(SUMIFS(rng_out_qty_base, rng_out_GB_Medispan, "B", rng_out_mail_ind, $B294, rng_out_ds, $C294, rng_out_sel_sp_ind, $D294, rng_out_sel_excl_ind,$E294)/[1]Tables!$AT$4, 0))</f>
        <v>0</v>
      </c>
      <c r="CT294" s="219">
        <f ca="1">SUM(CR294:CS294)</f>
        <v>0</v>
      </c>
      <c r="CU294" s="215" cm="1">
        <f t="array" aca="1" ref="CU294" ca="1">_xlfn.SINGLE(IFERROR(SUMIFS(rng_out_ds_base, rng_out_GB_Medispan, "G", rng_out_mail_ind, $B294, rng_out_ds, $C294, rng_out_sel_sp_ind, $D294, rng_out_sel_excl_ind,$E294)/[1]Tables!$AT$4, 0))</f>
        <v>0</v>
      </c>
      <c r="CV294" s="217" cm="1">
        <f t="array" aca="1" ref="CV294" ca="1">_xlfn.SINGLE(IFERROR(SUMIFS(rng_out_ds_base, rng_out_GB_Medispan, "B", rng_out_mail_ind, $B294, rng_out_ds, $C294, rng_out_sel_sp_ind, $D294, rng_out_sel_excl_ind,$E294)/[1]Tables!$AT$4, 0))</f>
        <v>0</v>
      </c>
      <c r="CW294" s="218">
        <f ca="1">SUM(CU294:CV294)</f>
        <v>0</v>
      </c>
      <c r="DC294" s="215" t="e">
        <f t="shared" ref="DC294:DG297" ca="1" si="310">DC190</f>
        <v>#VALUE!</v>
      </c>
      <c r="DD294" s="216" t="e">
        <f t="shared" ca="1" si="310"/>
        <v>#VALUE!</v>
      </c>
      <c r="DE294" s="216" t="e">
        <f t="shared" ca="1" si="310"/>
        <v>#VALUE!</v>
      </c>
      <c r="DF294" s="216" t="e">
        <f t="shared" ca="1" si="310"/>
        <v>#VALUE!</v>
      </c>
      <c r="DG294" s="217" t="e">
        <f t="shared" ca="1" si="310"/>
        <v>#VALUE!</v>
      </c>
    </row>
    <row r="295" spans="2:111" x14ac:dyDescent="0.35">
      <c r="B295" s="105" t="s">
        <v>11</v>
      </c>
      <c r="C295" s="106">
        <v>90</v>
      </c>
      <c r="D295" s="106" t="s">
        <v>12</v>
      </c>
      <c r="E295" s="107" t="s">
        <v>13</v>
      </c>
      <c r="F295" s="106">
        <v>1</v>
      </c>
      <c r="G295" s="106"/>
      <c r="H295" s="108" t="s">
        <v>15</v>
      </c>
      <c r="I295" s="203" t="e" cm="1">
        <f t="array" aca="1" ref="I295" ca="1">SUMIFS(rng_out_rx_pre_yr1,rng_out_sel_excl_yr_ind, "", rng_out_GB_Medispan,I$1,rng_out_mail_ind,$B295,rng_out_ds,$C295,rng_out_sel_sp_ind,$D295,rng_out_sel_excl_ind,$E295)+
SUMIFS(rng_out_rx_pre_yr1,rng_out_sel_excl_yr_ind, [1]Tables!$HN$4,rng_out_GB_Medispan,I$1,rng_out_mail_ind,$B295,rng_out_ds,$C295,rng_out_sel_sp_ind,$D295,rng_out_sel_excl_ind,$E295)* _xlfn.XLOOKUP([1]Tables!$HN$4,'[1]RA Output'!$AY$4:$AY$5,'[1]RA Output'!AZ$4:AZ$5,0)  +
SUMIFS(rng_out_rx_pre_yr1,rng_out_sel_excl_yr_ind, [1]Tables!$HN$5,rng_out_GB_Medispan,I$1,rng_out_mail_ind,$B295,rng_out_ds,$C295,rng_out_sel_sp_ind,$D295,rng_out_sel_excl_ind,$E295)* _xlfn.XLOOKUP([1]Tables!$HN$5,'[1]RA Output'!$AY$4:$AY$5,'[1]RA Output'!AZ$4:AZ$5,0)+
IF($E$298="N", 0,
SUMIFS(rng_out_rx_pre_yr1, rng_out_GB_Medispan, I$1, rng_out_mail_ind, $B295, rng_out_ds, $C295, rng_out_sel_sp_ind, $D295, rng_out_sel_excl_ind,"N", rng_out_post_reb_ind_yr1, 0))</f>
        <v>#VALUE!</v>
      </c>
      <c r="J295" s="195" t="e" cm="1">
        <f t="array" aca="1" ref="J295" ca="1">SUMIFS(rng_out_rx_pre_yr2,rng_out_sel_excl_yr_ind, "", rng_out_GB_Medispan,J$1,rng_out_mail_ind,$B295,rng_out_ds,$C295,rng_out_sel_sp_ind,$D295,rng_out_sel_excl_ind,$E295)+
SUMIFS(rng_out_rx_pre_yr2,rng_out_sel_excl_yr_ind, [1]Tables!$HN$4,rng_out_GB_Medispan,J$1,rng_out_mail_ind,$B295,rng_out_ds,$C295,rng_out_sel_sp_ind,$D295,rng_out_sel_excl_ind,$E295)* _xlfn.XLOOKUP([1]Tables!$HN$4,'[1]RA Output'!$AY$4:$AY$5,'[1]RA Output'!BA$4:BA$5,0)  +
SUMIFS(rng_out_rx_pre_yr2,rng_out_sel_excl_yr_ind, [1]Tables!$HN$5,rng_out_GB_Medispan,J$1,rng_out_mail_ind,$B295,rng_out_ds,$C295,rng_out_sel_sp_ind,$D295,rng_out_sel_excl_ind,$E295)* _xlfn.XLOOKUP([1]Tables!$HN$5,'[1]RA Output'!$AY$4:$AY$5,'[1]RA Output'!BA$4:BA$5,0)+
IF($E$298="N", 0,
SUMIFS(rng_out_rx_pre_yr2, rng_out_GB_Medispan, J$1, rng_out_mail_ind, $B295, rng_out_ds, $C295, rng_out_sel_sp_ind, $D295, rng_out_sel_excl_ind,"N", rng_out_post_reb_ind_yr2, 0))</f>
        <v>#VALUE!</v>
      </c>
      <c r="K295" s="195" t="e" cm="1">
        <f t="array" aca="1" ref="K295" ca="1">SUMIFS(rng_out_rx_pre_yr3,rng_out_sel_excl_yr_ind, "", rng_out_GB_Medispan,K$1,rng_out_mail_ind,$B295,rng_out_ds,$C295,rng_out_sel_sp_ind,$D295,rng_out_sel_excl_ind,$E295)+
SUMIFS(rng_out_rx_pre_yr3,rng_out_sel_excl_yr_ind, [1]Tables!$HN$4,rng_out_GB_Medispan,K$1,rng_out_mail_ind,$B295,rng_out_ds,$C295,rng_out_sel_sp_ind,$D295,rng_out_sel_excl_ind,$E295)* _xlfn.XLOOKUP([1]Tables!$HN$4,'[1]RA Output'!$AY$4:$AY$5,'[1]RA Output'!BB$4:BB$5,0)  +
SUMIFS(rng_out_rx_pre_yr3,rng_out_sel_excl_yr_ind, [1]Tables!$HN$5,rng_out_GB_Medispan,K$1,rng_out_mail_ind,$B295,rng_out_ds,$C295,rng_out_sel_sp_ind,$D295,rng_out_sel_excl_ind,$E295)* _xlfn.XLOOKUP([1]Tables!$HN$5,'[1]RA Output'!$AY$4:$AY$5,'[1]RA Output'!BB$4:BB$5,0)+
IF($E$298="N", 0,
SUMIFS(rng_out_rx_pre_yr3, rng_out_GB_Medispan, K$1, rng_out_mail_ind, $B295, rng_out_ds, $C295, rng_out_sel_sp_ind, $D295, rng_out_sel_excl_ind,"N", rng_out_post_reb_ind_yr3, 0))</f>
        <v>#VALUE!</v>
      </c>
      <c r="L295" s="195" t="e" cm="1">
        <f t="array" aca="1" ref="L295" ca="1">SUMIFS(rng_out_rx_pre_yr4,rng_out_sel_excl_yr_ind, "", rng_out_GB_Medispan,L$1,rng_out_mail_ind,$B295,rng_out_ds,$C295,rng_out_sel_sp_ind,$D295,rng_out_sel_excl_ind,$E295)+
SUMIFS(rng_out_rx_pre_yr4,rng_out_sel_excl_yr_ind, [1]Tables!$HN$4,rng_out_GB_Medispan,L$1,rng_out_mail_ind,$B295,rng_out_ds,$C295,rng_out_sel_sp_ind,$D295,rng_out_sel_excl_ind,$E295)* _xlfn.XLOOKUP([1]Tables!$HN$4,'[1]RA Output'!$AY$4:$AY$5,'[1]RA Output'!BC$4:BC$5,0)  +
SUMIFS(rng_out_rx_pre_yr4,rng_out_sel_excl_yr_ind, [1]Tables!$HN$5,rng_out_GB_Medispan,L$1,rng_out_mail_ind,$B295,rng_out_ds,$C295,rng_out_sel_sp_ind,$D295,rng_out_sel_excl_ind,$E295)* _xlfn.XLOOKUP([1]Tables!$HN$5,'[1]RA Output'!$AY$4:$AY$5,'[1]RA Output'!BC$4:BC$5,0)+
IF($E$298="N", 0,
SUMIFS(rng_out_rx_pre_yr4, rng_out_GB_Medispan, L$1, rng_out_mail_ind, $B295, rng_out_ds, $C295, rng_out_sel_sp_ind, $D295, rng_out_sel_excl_ind,"N", rng_out_post_reb_ind_yr4, 0))</f>
        <v>#VALUE!</v>
      </c>
      <c r="M295" s="204" t="e" cm="1">
        <f t="array" aca="1" ref="M295" ca="1">SUMIFS(rng_out_rx_pre_yr5,rng_out_sel_excl_yr_ind, "", rng_out_GB_Medispan,M$1,rng_out_mail_ind,$B295,rng_out_ds,$C295,rng_out_sel_sp_ind,$D295,rng_out_sel_excl_ind,$E295)+
SUMIFS(rng_out_rx_pre_yr5,rng_out_sel_excl_yr_ind, [1]Tables!$HN$4,rng_out_GB_Medispan,M$1,rng_out_mail_ind,$B295,rng_out_ds,$C295,rng_out_sel_sp_ind,$D295,rng_out_sel_excl_ind,$E295)* _xlfn.XLOOKUP([1]Tables!$HN$4,'[1]RA Output'!$AY$4:$AY$5,'[1]RA Output'!BD$4:BD$5,0)  +
SUMIFS(rng_out_rx_pre_yr5,rng_out_sel_excl_yr_ind, [1]Tables!$HN$5,rng_out_GB_Medispan,M$1,rng_out_mail_ind,$B295,rng_out_ds,$C295,rng_out_sel_sp_ind,$D295,rng_out_sel_excl_ind,$E295)* _xlfn.XLOOKUP([1]Tables!$HN$5,'[1]RA Output'!$AY$4:$AY$5,'[1]RA Output'!BD$4:BD$5,0)+
IF($E$298="N", 0,
SUMIFS(rng_out_rx_pre_yr5, rng_out_GB_Medispan, M$1, rng_out_mail_ind, $B295, rng_out_ds, $C295, rng_out_sel_sp_ind, $D295, rng_out_sel_excl_ind,"N", rng_out_post_reb_ind_yr5, 0))</f>
        <v>#VALUE!</v>
      </c>
      <c r="N295" s="203" t="e" cm="1">
        <f t="array" aca="1" ref="N295" ca="1">SUMIFS(rng_out_rx_pre_yr1,rng_out_sel_excl_yr_ind, "", rng_out_GB_Medispan,N$1,rng_out_mail_ind,$B295,rng_out_ds,$C295,rng_out_sel_sp_ind,$D295,rng_out_sel_excl_ind,$E295)+
SUMIFS(rng_out_rx_pre_yr1,rng_out_sel_excl_yr_ind, [1]Tables!$HN$4,rng_out_GB_Medispan,N$1,rng_out_mail_ind,$B295,rng_out_ds,$C295,rng_out_sel_sp_ind,$D295,rng_out_sel_excl_ind,$E295)* _xlfn.XLOOKUP([1]Tables!$HN$4,'[1]RA Output'!$AY$4:$AY$5,'[1]RA Output'!AZ$4:AZ$5,0)  +
SUMIFS(rng_out_rx_pre_yr1,rng_out_sel_excl_yr_ind, [1]Tables!$HN$5,rng_out_GB_Medispan,N$1,rng_out_mail_ind,$B295,rng_out_ds,$C295,rng_out_sel_sp_ind,$D295,rng_out_sel_excl_ind,$E295)* _xlfn.XLOOKUP([1]Tables!$HN$5,'[1]RA Output'!$AY$4:$AY$5,'[1]RA Output'!AZ$4:AZ$5,0)+
IF($E$298="N", 0,
SUMIFS(rng_out_rx_pre_yr1, rng_out_GB_Medispan, N$1, rng_out_mail_ind, $B295, rng_out_ds, $C295, rng_out_sel_sp_ind, $D295, rng_out_sel_excl_ind,"N", rng_out_post_reb_ind_yr1, 0))</f>
        <v>#VALUE!</v>
      </c>
      <c r="O295" s="195" t="e" cm="1">
        <f t="array" aca="1" ref="O295" ca="1">SUMIFS(rng_out_rx_pre_yr2,rng_out_sel_excl_yr_ind, "", rng_out_GB_Medispan,O$1,rng_out_mail_ind,$B295,rng_out_ds,$C295,rng_out_sel_sp_ind,$D295,rng_out_sel_excl_ind,$E295)+
SUMIFS(rng_out_rx_pre_yr2,rng_out_sel_excl_yr_ind, [1]Tables!$HN$4,rng_out_GB_Medispan,O$1,rng_out_mail_ind,$B295,rng_out_ds,$C295,rng_out_sel_sp_ind,$D295,rng_out_sel_excl_ind,$E295)* _xlfn.XLOOKUP([1]Tables!$HN$4,'[1]RA Output'!$AY$4:$AY$5,'[1]RA Output'!BA$4:BA$5,0)  +
SUMIFS(rng_out_rx_pre_yr2,rng_out_sel_excl_yr_ind, [1]Tables!$HN$5,rng_out_GB_Medispan,O$1,rng_out_mail_ind,$B295,rng_out_ds,$C295,rng_out_sel_sp_ind,$D295,rng_out_sel_excl_ind,$E295)* _xlfn.XLOOKUP([1]Tables!$HN$5,'[1]RA Output'!$AY$4:$AY$5,'[1]RA Output'!BA$4:BA$5,0)+
IF($E$298="N", 0,
SUMIFS(rng_out_rx_pre_yr2, rng_out_GB_Medispan, O$1, rng_out_mail_ind, $B295, rng_out_ds, $C295, rng_out_sel_sp_ind, $D295, rng_out_sel_excl_ind,"N", rng_out_post_reb_ind_yr2, 0))</f>
        <v>#VALUE!</v>
      </c>
      <c r="P295" s="195" t="e" cm="1">
        <f t="array" aca="1" ref="P295" ca="1">SUMIFS(rng_out_rx_pre_yr3,rng_out_sel_excl_yr_ind, "", rng_out_GB_Medispan,P$1,rng_out_mail_ind,$B295,rng_out_ds,$C295,rng_out_sel_sp_ind,$D295,rng_out_sel_excl_ind,$E295)+
SUMIFS(rng_out_rx_pre_yr3,rng_out_sel_excl_yr_ind, [1]Tables!$HN$4,rng_out_GB_Medispan,P$1,rng_out_mail_ind,$B295,rng_out_ds,$C295,rng_out_sel_sp_ind,$D295,rng_out_sel_excl_ind,$E295)* _xlfn.XLOOKUP([1]Tables!$HN$4,'[1]RA Output'!$AY$4:$AY$5,'[1]RA Output'!BB$4:BB$5,0)  +
SUMIFS(rng_out_rx_pre_yr3,rng_out_sel_excl_yr_ind, [1]Tables!$HN$5,rng_out_GB_Medispan,P$1,rng_out_mail_ind,$B295,rng_out_ds,$C295,rng_out_sel_sp_ind,$D295,rng_out_sel_excl_ind,$E295)* _xlfn.XLOOKUP([1]Tables!$HN$5,'[1]RA Output'!$AY$4:$AY$5,'[1]RA Output'!BB$4:BB$5,0)+
IF($E$298="N", 0,
SUMIFS(rng_out_rx_pre_yr3, rng_out_GB_Medispan, P$1, rng_out_mail_ind, $B295, rng_out_ds, $C295, rng_out_sel_sp_ind, $D295, rng_out_sel_excl_ind,"N", rng_out_post_reb_ind_yr3, 0))</f>
        <v>#VALUE!</v>
      </c>
      <c r="Q295" s="195" t="e" cm="1">
        <f t="array" aca="1" ref="Q295" ca="1">SUMIFS(rng_out_rx_pre_yr4,rng_out_sel_excl_yr_ind, "", rng_out_GB_Medispan,Q$1,rng_out_mail_ind,$B295,rng_out_ds,$C295,rng_out_sel_sp_ind,$D295,rng_out_sel_excl_ind,$E295)+
SUMIFS(rng_out_rx_pre_yr4,rng_out_sel_excl_yr_ind, [1]Tables!$HN$4,rng_out_GB_Medispan,Q$1,rng_out_mail_ind,$B295,rng_out_ds,$C295,rng_out_sel_sp_ind,$D295,rng_out_sel_excl_ind,$E295)* _xlfn.XLOOKUP([1]Tables!$HN$4,'[1]RA Output'!$AY$4:$AY$5,'[1]RA Output'!BC$4:BC$5,0)  +
SUMIFS(rng_out_rx_pre_yr4,rng_out_sel_excl_yr_ind, [1]Tables!$HN$5,rng_out_GB_Medispan,Q$1,rng_out_mail_ind,$B295,rng_out_ds,$C295,rng_out_sel_sp_ind,$D295,rng_out_sel_excl_ind,$E295)* _xlfn.XLOOKUP([1]Tables!$HN$5,'[1]RA Output'!$AY$4:$AY$5,'[1]RA Output'!BC$4:BC$5,0)+
IF($E$298="N", 0,
SUMIFS(rng_out_rx_pre_yr4, rng_out_GB_Medispan, Q$1, rng_out_mail_ind, $B295, rng_out_ds, $C295, rng_out_sel_sp_ind, $D295, rng_out_sel_excl_ind,"N", rng_out_post_reb_ind_yr4, 0))</f>
        <v>#VALUE!</v>
      </c>
      <c r="R295" s="204" t="e" cm="1">
        <f t="array" aca="1" ref="R295" ca="1">SUMIFS(rng_out_rx_pre_yr5,rng_out_sel_excl_yr_ind, "", rng_out_GB_Medispan,R$1,rng_out_mail_ind,$B295,rng_out_ds,$C295,rng_out_sel_sp_ind,$D295,rng_out_sel_excl_ind,$E295)+
SUMIFS(rng_out_rx_pre_yr5,rng_out_sel_excl_yr_ind, [1]Tables!$HN$4,rng_out_GB_Medispan,R$1,rng_out_mail_ind,$B295,rng_out_ds,$C295,rng_out_sel_sp_ind,$D295,rng_out_sel_excl_ind,$E295)* _xlfn.XLOOKUP([1]Tables!$HN$4,'[1]RA Output'!$AY$4:$AY$5,'[1]RA Output'!BD$4:BD$5,0)  +
SUMIFS(rng_out_rx_pre_yr5,rng_out_sel_excl_yr_ind, [1]Tables!$HN$5,rng_out_GB_Medispan,R$1,rng_out_mail_ind,$B295,rng_out_ds,$C295,rng_out_sel_sp_ind,$D295,rng_out_sel_excl_ind,$E295)* _xlfn.XLOOKUP([1]Tables!$HN$5,'[1]RA Output'!$AY$4:$AY$5,'[1]RA Output'!BD$4:BD$5,0)+
IF($E$298="N", 0,
SUMIFS(rng_out_rx_pre_yr5, rng_out_GB_Medispan, R$1, rng_out_mail_ind, $B295, rng_out_ds, $C295, rng_out_sel_sp_ind, $D295, rng_out_sel_excl_ind,"N", rng_out_post_reb_ind_yr5, 0))</f>
        <v>#VALUE!</v>
      </c>
      <c r="S295" s="205" t="e">
        <f t="shared" ca="1" si="302"/>
        <v>#VALUE!</v>
      </c>
      <c r="T295" s="206" t="e">
        <f t="shared" ca="1" si="302"/>
        <v>#VALUE!</v>
      </c>
      <c r="U295" s="206" t="e">
        <f t="shared" ca="1" si="302"/>
        <v>#VALUE!</v>
      </c>
      <c r="V295" s="206" t="e">
        <f t="shared" ca="1" si="302"/>
        <v>#VALUE!</v>
      </c>
      <c r="W295" s="207" t="e">
        <f t="shared" ca="1" si="302"/>
        <v>#VALUE!</v>
      </c>
      <c r="Y295" s="109" t="s">
        <v>15</v>
      </c>
      <c r="Z295" s="208">
        <f ca="1">IFERROR(I295/[1]Tables!$AT$4, 0)</f>
        <v>0</v>
      </c>
      <c r="AA295" s="206">
        <f ca="1">IFERROR(J295/[1]Tables!$AT$4, 0)</f>
        <v>0</v>
      </c>
      <c r="AB295" s="206">
        <f ca="1">IFERROR(K295/[1]Tables!$AT$4, 0)</f>
        <v>0</v>
      </c>
      <c r="AC295" s="206">
        <f ca="1">IFERROR(L295/[1]Tables!$AT$4, 0)</f>
        <v>0</v>
      </c>
      <c r="AD295" s="209">
        <f ca="1">IFERROR(M295/[1]Tables!$AT$4, 0)</f>
        <v>0</v>
      </c>
      <c r="AE295" s="208">
        <f ca="1">IFERROR(N295/[1]Tables!$AT$4, 0)</f>
        <v>0</v>
      </c>
      <c r="AF295" s="206">
        <f ca="1">IFERROR(O295/[1]Tables!$AT$4, 0)</f>
        <v>0</v>
      </c>
      <c r="AG295" s="206">
        <f ca="1">IFERROR(P295/[1]Tables!$AT$4, 0)</f>
        <v>0</v>
      </c>
      <c r="AH295" s="206">
        <f ca="1">IFERROR(Q295/[1]Tables!$AT$4, 0)</f>
        <v>0</v>
      </c>
      <c r="AI295" s="209">
        <f ca="1">IFERROR(R295/[1]Tables!$AT$4, 0)</f>
        <v>0</v>
      </c>
      <c r="AJ295" s="208">
        <f t="shared" ca="1" si="303"/>
        <v>0</v>
      </c>
      <c r="AK295" s="206">
        <f t="shared" ca="1" si="303"/>
        <v>0</v>
      </c>
      <c r="AL295" s="206">
        <f t="shared" ca="1" si="303"/>
        <v>0</v>
      </c>
      <c r="AM295" s="206">
        <f t="shared" ca="1" si="303"/>
        <v>0</v>
      </c>
      <c r="AN295" s="209">
        <f t="shared" ca="1" si="303"/>
        <v>0</v>
      </c>
      <c r="AP295" s="110" t="s">
        <v>15</v>
      </c>
      <c r="AQ295" s="210" cm="1">
        <f t="array" aca="1" ref="AQ295" ca="1">IFERROR(IF(OR(input_Shift="No", [1]Tables!$BN$4=1), 0, ((SUMIFS(rng_out_rx_post_yr1,rng_out_sel_excl_yr_ind, "", rng_out_GB_Medispan, N$1,rng_out_mail_ind,$B295,rng_out_ds,$C295,rng_out_sel_sp_ind,$D295,rng_out_sel_excl_ind,$E295, rng_out_MSB_excl, $F295)+
SUMIFS(rng_out_rx_post_yr1,rng_out_sel_excl_yr_ind, [1]Tables!$HN$4, rng_out_GB_Medispan, N$1,rng_out_mail_ind,$B295,rng_out_ds,$C295,rng_out_sel_sp_ind,$D295,rng_out_sel_excl_ind,$E295, rng_out_MSB_excl, $F295)* _xlfn.XLOOKUP([1]Tables!$HN$4,'[1]RA Output'!$AY$4:$AY$5,'[1]RA Output'!AZ$4:AZ$5,0)  +
SUMIFS(rng_out_rx_post_yr1,rng_out_sel_excl_yr_ind, [1]Tables!$HN$5, rng_out_GB_Medispan, N$1,rng_out_mail_ind,$B295,rng_out_ds,$C295,rng_out_sel_sp_ind,$D295,rng_out_sel_excl_ind,$E295, rng_out_MSB_excl, $F295)* _xlfn.XLOOKUP([1]Tables!$HN$5,'[1]RA Output'!$AY$4:$AY$5,'[1]RA Output'!AZ$4:AZ$5,0))/[1]Tables!$AT$4)/[1]Tables!$BN$4*(1-[1]Tables!$BN$4)), 0)
+ IFERROR((SUMIFS(rng_out_rx_post_yr1,rng_out_sel_excl_yr_ind, "", rng_out_GB_Medispan, I$1,rng_out_mail_ind,$B295,rng_out_ds,$C295,rng_out_sel_sp_ind,$D295,rng_out_sel_excl_ind,$E295)+
SUMIFS(rng_out_rx_post_yr1,rng_out_sel_excl_yr_ind, [1]Tables!$HN$4, rng_out_GB_Medispan, I$1,rng_out_mail_ind,$B295,rng_out_ds,$C295,rng_out_sel_sp_ind,$D295,rng_out_sel_excl_ind,$E295)* _xlfn.XLOOKUP([1]Tables!$HN$4,'[1]RA Output'!$AY$4:$AY$5,'[1]RA Output'!AZ$4:AZ$5,0)  +
SUMIFS(rng_out_rx_post_yr1,rng_out_sel_excl_yr_ind, [1]Tables!$HN$5, rng_out_GB_Medispan, I$1,rng_out_mail_ind,$B295,rng_out_ds,$C295,rng_out_sel_sp_ind,$D295,rng_out_sel_excl_ind,$E295)* _xlfn.XLOOKUP([1]Tables!$HN$5,'[1]RA Output'!$AY$4:$AY$5,'[1]RA Output'!AZ$4:AZ$5,0))/[1]Tables!$AT$4, 0)+
IF($E$280="N", 0,
IFERROR((SUMIFS(rng_out_rx_post_yr1, rng_out_GB_Medispan, I$1, rng_out_sel_G_ind, I$1, rng_out_mail_ind, $B295, rng_out_ds, $C295, rng_out_sel_sp_ind, $D295, rng_out_sel_excl_ind,"N", rng_out_post_reb_ind_yr1, 0))/[1]Tables!$AT$4, 0))</f>
        <v>0</v>
      </c>
      <c r="AR295" s="195" cm="1">
        <f t="array" aca="1" ref="AR295" ca="1">IFERROR(IF(OR(input_Shift="No", [1]Tables!$BN$4=1), 0, ((SUMIFS(rng_out_rx_post_yr2,rng_out_sel_excl_yr_ind, "", rng_out_GB_Medispan, O$1,rng_out_mail_ind,$B295,rng_out_ds,$C295,rng_out_sel_sp_ind,$D295,rng_out_sel_excl_ind,$E295, rng_out_MSB_excl, $F295)+
SUMIFS(rng_out_rx_post_yr2,rng_out_sel_excl_yr_ind, [1]Tables!$HN$4, rng_out_GB_Medispan, O$1,rng_out_mail_ind,$B295,rng_out_ds,$C295,rng_out_sel_sp_ind,$D295,rng_out_sel_excl_ind,$E295, rng_out_MSB_excl, $F295)* _xlfn.XLOOKUP([1]Tables!$HN$4,'[1]RA Output'!$AY$4:$AY$5,'[1]RA Output'!BA$4:BA$5,0)  +
SUMIFS(rng_out_rx_post_yr2,rng_out_sel_excl_yr_ind, [1]Tables!$HN$5, rng_out_GB_Medispan, O$1,rng_out_mail_ind,$B295,rng_out_ds,$C295,rng_out_sel_sp_ind,$D295,rng_out_sel_excl_ind,$E295, rng_out_MSB_excl, $F295)* _xlfn.XLOOKUP([1]Tables!$HN$5,'[1]RA Output'!$AY$4:$AY$5,'[1]RA Output'!BA$4:BA$5,0))/[1]Tables!$AT$4)/[1]Tables!$BN$4*(1-[1]Tables!$BN$4)), 0)
+ IFERROR((SUMIFS(rng_out_rx_post_yr2,rng_out_sel_excl_yr_ind, "", rng_out_GB_Medispan, J$1,rng_out_mail_ind,$B295,rng_out_ds,$C295,rng_out_sel_sp_ind,$D295,rng_out_sel_excl_ind,$E295)+
SUMIFS(rng_out_rx_post_yr2,rng_out_sel_excl_yr_ind, [1]Tables!$HN$4, rng_out_GB_Medispan, J$1,rng_out_mail_ind,$B295,rng_out_ds,$C295,rng_out_sel_sp_ind,$D295,rng_out_sel_excl_ind,$E295)* _xlfn.XLOOKUP([1]Tables!$HN$4,'[1]RA Output'!$AY$4:$AY$5,'[1]RA Output'!BA$4:BA$5,0)  +
SUMIFS(rng_out_rx_post_yr2,rng_out_sel_excl_yr_ind, [1]Tables!$HN$5, rng_out_GB_Medispan, J$1,rng_out_mail_ind,$B295,rng_out_ds,$C295,rng_out_sel_sp_ind,$D295,rng_out_sel_excl_ind,$E295)* _xlfn.XLOOKUP([1]Tables!$HN$5,'[1]RA Output'!$AY$4:$AY$5,'[1]RA Output'!BA$4:BA$5,0))/[1]Tables!$AT$4, 0)+
IF($E$280="N", 0,
IFERROR((SUMIFS(rng_out_rx_post_yr2, rng_out_GB_Medispan, J$1, rng_out_sel_G_ind, J$1, rng_out_mail_ind, $B295, rng_out_ds, $C295, rng_out_sel_sp_ind, $D295, rng_out_sel_excl_ind,"N", rng_out_post_reb_ind_yr2, 0))/[1]Tables!$AT$4, 0))</f>
        <v>0</v>
      </c>
      <c r="AS295" s="195" cm="1">
        <f t="array" aca="1" ref="AS295" ca="1">IFERROR(IF(OR(input_Shift="No", [1]Tables!$BN$4=1), 0, ((SUMIFS(rng_out_rx_post_yr3,rng_out_sel_excl_yr_ind, "", rng_out_GB_Medispan, P$1,rng_out_mail_ind,$B295,rng_out_ds,$C295,rng_out_sel_sp_ind,$D295,rng_out_sel_excl_ind,$E295, rng_out_MSB_excl, $F295)+
SUMIFS(rng_out_rx_post_yr3,rng_out_sel_excl_yr_ind, [1]Tables!$HN$4, rng_out_GB_Medispan, P$1,rng_out_mail_ind,$B295,rng_out_ds,$C295,rng_out_sel_sp_ind,$D295,rng_out_sel_excl_ind,$E295, rng_out_MSB_excl, $F295)* _xlfn.XLOOKUP([1]Tables!$HN$4,'[1]RA Output'!$AY$4:$AY$5,'[1]RA Output'!BB$4:BB$5,0)  +
SUMIFS(rng_out_rx_post_yr3,rng_out_sel_excl_yr_ind, [1]Tables!$HN$5, rng_out_GB_Medispan, P$1,rng_out_mail_ind,$B295,rng_out_ds,$C295,rng_out_sel_sp_ind,$D295,rng_out_sel_excl_ind,$E295, rng_out_MSB_excl, $F295)* _xlfn.XLOOKUP([1]Tables!$HN$5,'[1]RA Output'!$AY$4:$AY$5,'[1]RA Output'!BB$4:BB$5,0))/[1]Tables!$AT$4)/[1]Tables!$BN$4*(1-[1]Tables!$BN$4)), 0)
+ IFERROR((SUMIFS(rng_out_rx_post_yr3,rng_out_sel_excl_yr_ind, "", rng_out_GB_Medispan, K$1,rng_out_mail_ind,$B295,rng_out_ds,$C295,rng_out_sel_sp_ind,$D295,rng_out_sel_excl_ind,$E295)+
SUMIFS(rng_out_rx_post_yr3,rng_out_sel_excl_yr_ind, [1]Tables!$HN$4, rng_out_GB_Medispan, K$1,rng_out_mail_ind,$B295,rng_out_ds,$C295,rng_out_sel_sp_ind,$D295,rng_out_sel_excl_ind,$E295)* _xlfn.XLOOKUP([1]Tables!$HN$4,'[1]RA Output'!$AY$4:$AY$5,'[1]RA Output'!BB$4:BB$5,0)  +
SUMIFS(rng_out_rx_post_yr3,rng_out_sel_excl_yr_ind, [1]Tables!$HN$5, rng_out_GB_Medispan, K$1,rng_out_mail_ind,$B295,rng_out_ds,$C295,rng_out_sel_sp_ind,$D295,rng_out_sel_excl_ind,$E295)* _xlfn.XLOOKUP([1]Tables!$HN$5,'[1]RA Output'!$AY$4:$AY$5,'[1]RA Output'!BB$4:BB$5,0))/[1]Tables!$AT$4, 0)+
IF($E$280="N", 0,
IFERROR((SUMIFS(rng_out_rx_post_yr3, rng_out_GB_Medispan, K$1, rng_out_sel_G_ind, K$1, rng_out_mail_ind, $B295, rng_out_ds, $C295, rng_out_sel_sp_ind, $D295, rng_out_sel_excl_ind,"N", rng_out_post_reb_ind_yr3, 0))/[1]Tables!$AT$4, 0))</f>
        <v>0</v>
      </c>
      <c r="AT295" s="195" cm="1">
        <f t="array" aca="1" ref="AT295" ca="1">IFERROR(IF(OR(input_Shift="No", [1]Tables!$BN$4=1), 0, ((SUMIFS(rng_out_rx_post_yr4,rng_out_sel_excl_yr_ind, "", rng_out_GB_Medispan, Q$1,rng_out_mail_ind,$B295,rng_out_ds,$C295,rng_out_sel_sp_ind,$D295,rng_out_sel_excl_ind,$E295, rng_out_MSB_excl, $F295)+
SUMIFS(rng_out_rx_post_yr4,rng_out_sel_excl_yr_ind, [1]Tables!$HN$4, rng_out_GB_Medispan, Q$1,rng_out_mail_ind,$B295,rng_out_ds,$C295,rng_out_sel_sp_ind,$D295,rng_out_sel_excl_ind,$E295, rng_out_MSB_excl, $F295)* _xlfn.XLOOKUP([1]Tables!$HN$4,'[1]RA Output'!$AY$4:$AY$5,'[1]RA Output'!BC$4:BC$5,0)  +
SUMIFS(rng_out_rx_post_yr4,rng_out_sel_excl_yr_ind, [1]Tables!$HN$5, rng_out_GB_Medispan, Q$1,rng_out_mail_ind,$B295,rng_out_ds,$C295,rng_out_sel_sp_ind,$D295,rng_out_sel_excl_ind,$E295, rng_out_MSB_excl, $F295)* _xlfn.XLOOKUP([1]Tables!$HN$5,'[1]RA Output'!$AY$4:$AY$5,'[1]RA Output'!BC$4:BC$5,0))/[1]Tables!$AT$4)/[1]Tables!$BN$4*(1-[1]Tables!$BN$4)), 0)
+ IFERROR((SUMIFS(rng_out_rx_post_yr4,rng_out_sel_excl_yr_ind, "", rng_out_GB_Medispan, L$1,rng_out_mail_ind,$B295,rng_out_ds,$C295,rng_out_sel_sp_ind,$D295,rng_out_sel_excl_ind,$E295)+
SUMIFS(rng_out_rx_post_yr4,rng_out_sel_excl_yr_ind, [1]Tables!$HN$4, rng_out_GB_Medispan, L$1,rng_out_mail_ind,$B295,rng_out_ds,$C295,rng_out_sel_sp_ind,$D295,rng_out_sel_excl_ind,$E295)* _xlfn.XLOOKUP([1]Tables!$HN$4,'[1]RA Output'!$AY$4:$AY$5,'[1]RA Output'!BC$4:BC$5,0)  +
SUMIFS(rng_out_rx_post_yr4,rng_out_sel_excl_yr_ind, [1]Tables!$HN$5, rng_out_GB_Medispan, L$1,rng_out_mail_ind,$B295,rng_out_ds,$C295,rng_out_sel_sp_ind,$D295,rng_out_sel_excl_ind,$E295)* _xlfn.XLOOKUP([1]Tables!$HN$5,'[1]RA Output'!$AY$4:$AY$5,'[1]RA Output'!BC$4:BC$5,0))/[1]Tables!$AT$4, 0)+
IF($E$280="N", 0,
IFERROR((SUMIFS(rng_out_rx_post_yr4, rng_out_GB_Medispan, L$1, rng_out_sel_G_ind, L$1, rng_out_mail_ind, $B295, rng_out_ds, $C295, rng_out_sel_sp_ind, $D295, rng_out_sel_excl_ind,"N", rng_out_post_reb_ind_yr4, 0))/[1]Tables!$AT$4, 0))</f>
        <v>0</v>
      </c>
      <c r="AU295" s="211" cm="1">
        <f t="array" aca="1" ref="AU295" ca="1">IFERROR(IF(OR(input_Shift="No", [1]Tables!$BN$4=1), 0, ((SUMIFS(rng_out_rx_post_yr5,rng_out_sel_excl_yr_ind, "", rng_out_GB_Medispan, R$1,rng_out_mail_ind,$B295,rng_out_ds,$C295,rng_out_sel_sp_ind,$D295,rng_out_sel_excl_ind,$E295, rng_out_MSB_excl, $F295)+
SUMIFS(rng_out_rx_post_yr5,rng_out_sel_excl_yr_ind, [1]Tables!$HN$4, rng_out_GB_Medispan, R$1,rng_out_mail_ind,$B295,rng_out_ds,$C295,rng_out_sel_sp_ind,$D295,rng_out_sel_excl_ind,$E295, rng_out_MSB_excl, $F295)* _xlfn.XLOOKUP([1]Tables!$HN$4,'[1]RA Output'!$AY$4:$AY$5,'[1]RA Output'!BD$4:BD$5,0)  +
SUMIFS(rng_out_rx_post_yr5,rng_out_sel_excl_yr_ind, [1]Tables!$HN$5, rng_out_GB_Medispan, R$1,rng_out_mail_ind,$B295,rng_out_ds,$C295,rng_out_sel_sp_ind,$D295,rng_out_sel_excl_ind,$E295, rng_out_MSB_excl, $F295)* _xlfn.XLOOKUP([1]Tables!$HN$5,'[1]RA Output'!$AY$4:$AY$5,'[1]RA Output'!BD$4:BD$5,0))/[1]Tables!$AT$4)/[1]Tables!$BN$4*(1-[1]Tables!$BN$4)), 0)
+ IFERROR((SUMIFS(rng_out_rx_post_yr5,rng_out_sel_excl_yr_ind, "", rng_out_GB_Medispan, M$1,rng_out_mail_ind,$B295,rng_out_ds,$C295,rng_out_sel_sp_ind,$D295,rng_out_sel_excl_ind,$E295)+
SUMIFS(rng_out_rx_post_yr5,rng_out_sel_excl_yr_ind, [1]Tables!$HN$4, rng_out_GB_Medispan, M$1,rng_out_mail_ind,$B295,rng_out_ds,$C295,rng_out_sel_sp_ind,$D295,rng_out_sel_excl_ind,$E295)* _xlfn.XLOOKUP([1]Tables!$HN$4,'[1]RA Output'!$AY$4:$AY$5,'[1]RA Output'!BD$4:BD$5,0)  +
SUMIFS(rng_out_rx_post_yr5,rng_out_sel_excl_yr_ind, [1]Tables!$HN$5, rng_out_GB_Medispan, M$1,rng_out_mail_ind,$B295,rng_out_ds,$C295,rng_out_sel_sp_ind,$D295,rng_out_sel_excl_ind,$E295)* _xlfn.XLOOKUP([1]Tables!$HN$5,'[1]RA Output'!$AY$4:$AY$5,'[1]RA Output'!BD$4:BD$5,0))/[1]Tables!$AT$4, 0)+
IF($E$280="N", 0,
IFERROR((SUMIFS(rng_out_rx_post_yr5, rng_out_GB_Medispan, M$1, rng_out_sel_G_ind, M$1, rng_out_mail_ind, $B295, rng_out_ds, $C295, rng_out_sel_sp_ind, $D295, rng_out_sel_excl_ind,"N", rng_out_post_reb_ind_yr5, 0))/[1]Tables!$AT$4, 0))</f>
        <v>0</v>
      </c>
      <c r="AV295" s="210" t="e" cm="1">
        <f t="array" aca="1" ref="AV295" ca="1">(SUMIFS(rng_out_rx_post_yr1,rng_out_sel_excl_yr_ind, "", rng_out_GB_Medispan, N$1,rng_out_mail_ind,$B295,rng_out_ds,$C295,rng_out_sel_sp_ind,$D295,rng_out_sel_excl_ind,$E295)+
SUMIFS(rng_out_rx_post_yr1,rng_out_sel_excl_yr_ind, [1]Tables!$HN$4, rng_out_GB_Medispan, N$1,rng_out_mail_ind,$B295,rng_out_ds,$C295,rng_out_sel_sp_ind,$D295,rng_out_sel_excl_ind,$E295)* _xlfn.XLOOKUP([1]Tables!$HN$4,'[1]RA Output'!$AY$4:$AY$5,'[1]RA Output'!AZ$4:AZ$5,0)  +
SUMIFS(rng_out_rx_post_yr1,rng_out_sel_excl_yr_ind, [1]Tables!$HN$5, rng_out_GB_Medispan, N$1,rng_out_mail_ind,$B295,rng_out_ds,$C295,rng_out_sel_sp_ind,$D295,rng_out_sel_excl_ind,$E295)* _xlfn.XLOOKUP([1]Tables!$HN$5,'[1]RA Output'!$AY$4:$AY$5,'[1]RA Output'!AZ$4:AZ$5,0))/[1]Tables!$AT$4+
IFERROR(IF($E$289="N", 0,
SUMIFS(rng_out_rx_post_yr1, rng_out_GB_Medispan, N$1, rng_out_mail_ind, $B295, rng_out_ds, $C295, rng_out_sel_sp_ind, $D295, rng_out_sel_excl_ind,"N", rng_out_post_reb_ind_yr1, 0)/[1]Tables!$AT$4),0)</f>
        <v>#VALUE!</v>
      </c>
      <c r="AW295" s="195" t="e" cm="1">
        <f t="array" aca="1" ref="AW295" ca="1">(SUMIFS(rng_out_rx_post_yr2,rng_out_sel_excl_yr_ind, "", rng_out_GB_Medispan, O$1,rng_out_mail_ind,$B295,rng_out_ds,$C295,rng_out_sel_sp_ind,$D295,rng_out_sel_excl_ind,$E295)+
SUMIFS(rng_out_rx_post_yr2,rng_out_sel_excl_yr_ind, [1]Tables!$HN$4, rng_out_GB_Medispan, O$1,rng_out_mail_ind,$B295,rng_out_ds,$C295,rng_out_sel_sp_ind,$D295,rng_out_sel_excl_ind,$E295)* _xlfn.XLOOKUP([1]Tables!$HN$4,'[1]RA Output'!$AY$4:$AY$5,'[1]RA Output'!BA$4:BA$5,0)  +
SUMIFS(rng_out_rx_post_yr2,rng_out_sel_excl_yr_ind, [1]Tables!$HN$5, rng_out_GB_Medispan, O$1,rng_out_mail_ind,$B295,rng_out_ds,$C295,rng_out_sel_sp_ind,$D295,rng_out_sel_excl_ind,$E295)* _xlfn.XLOOKUP([1]Tables!$HN$5,'[1]RA Output'!$AY$4:$AY$5,'[1]RA Output'!BA$4:BA$5,0))/[1]Tables!$AT$4+
IFERROR(IF($E$289="N", 0,
SUMIFS(rng_out_rx_post_yr2, rng_out_GB_Medispan, O$1, rng_out_mail_ind, $B295, rng_out_ds, $C295, rng_out_sel_sp_ind, $D295, rng_out_sel_excl_ind,"N", rng_out_post_reb_ind_yr2, 0)/[1]Tables!$AT$4),0)</f>
        <v>#VALUE!</v>
      </c>
      <c r="AX295" s="195" t="e" cm="1">
        <f t="array" aca="1" ref="AX295" ca="1">(SUMIFS(rng_out_rx_post_yr3,rng_out_sel_excl_yr_ind, "", rng_out_GB_Medispan, P$1,rng_out_mail_ind,$B295,rng_out_ds,$C295,rng_out_sel_sp_ind,$D295,rng_out_sel_excl_ind,$E295)+
SUMIFS(rng_out_rx_post_yr3,rng_out_sel_excl_yr_ind, [1]Tables!$HN$4, rng_out_GB_Medispan, P$1,rng_out_mail_ind,$B295,rng_out_ds,$C295,rng_out_sel_sp_ind,$D295,rng_out_sel_excl_ind,$E295)* _xlfn.XLOOKUP([1]Tables!$HN$4,'[1]RA Output'!$AY$4:$AY$5,'[1]RA Output'!BB$4:BB$5,0)  +
SUMIFS(rng_out_rx_post_yr3,rng_out_sel_excl_yr_ind, [1]Tables!$HN$5, rng_out_GB_Medispan, P$1,rng_out_mail_ind,$B295,rng_out_ds,$C295,rng_out_sel_sp_ind,$D295,rng_out_sel_excl_ind,$E295)* _xlfn.XLOOKUP([1]Tables!$HN$5,'[1]RA Output'!$AY$4:$AY$5,'[1]RA Output'!BB$4:BB$5,0))/[1]Tables!$AT$4+
IFERROR(IF($E$289="N", 0,
SUMIFS(rng_out_rx_post_yr3, rng_out_GB_Medispan, P$1, rng_out_mail_ind, $B295, rng_out_ds, $C295, rng_out_sel_sp_ind, $D295, rng_out_sel_excl_ind,"N", rng_out_post_reb_ind_yr3, 0)/[1]Tables!$AT$4),0)</f>
        <v>#VALUE!</v>
      </c>
      <c r="AY295" s="195" t="e" cm="1">
        <f t="array" aca="1" ref="AY295" ca="1">(SUMIFS(rng_out_rx_post_yr4,rng_out_sel_excl_yr_ind, "", rng_out_GB_Medispan, Q$1,rng_out_mail_ind,$B295,rng_out_ds,$C295,rng_out_sel_sp_ind,$D295,rng_out_sel_excl_ind,$E295)+
SUMIFS(rng_out_rx_post_yr4,rng_out_sel_excl_yr_ind, [1]Tables!$HN$4, rng_out_GB_Medispan, Q$1,rng_out_mail_ind,$B295,rng_out_ds,$C295,rng_out_sel_sp_ind,$D295,rng_out_sel_excl_ind,$E295)* _xlfn.XLOOKUP([1]Tables!$HN$4,'[1]RA Output'!$AY$4:$AY$5,'[1]RA Output'!BC$4:BC$5,0)  +
SUMIFS(rng_out_rx_post_yr4,rng_out_sel_excl_yr_ind, [1]Tables!$HN$5, rng_out_GB_Medispan, Q$1,rng_out_mail_ind,$B295,rng_out_ds,$C295,rng_out_sel_sp_ind,$D295,rng_out_sel_excl_ind,$E295)* _xlfn.XLOOKUP([1]Tables!$HN$5,'[1]RA Output'!$AY$4:$AY$5,'[1]RA Output'!BC$4:BC$5,0))/[1]Tables!$AT$4+
IFERROR(IF($E$289="N", 0,
SUMIFS(rng_out_rx_post_yr4, rng_out_GB_Medispan, Q$1, rng_out_mail_ind, $B295, rng_out_ds, $C295, rng_out_sel_sp_ind, $D295, rng_out_sel_excl_ind,"N", rng_out_post_reb_ind_yr4, 0)/[1]Tables!$AT$4),0)</f>
        <v>#VALUE!</v>
      </c>
      <c r="AZ295" s="211" t="e" cm="1">
        <f t="array" aca="1" ref="AZ295" ca="1">(SUMIFS(rng_out_rx_post_yr5,rng_out_sel_excl_yr_ind, "", rng_out_GB_Medispan, R$1,rng_out_mail_ind,$B295,rng_out_ds,$C295,rng_out_sel_sp_ind,$D295,rng_out_sel_excl_ind,$E295)+
SUMIFS(rng_out_rx_post_yr5,rng_out_sel_excl_yr_ind, [1]Tables!$HN$4, rng_out_GB_Medispan, R$1,rng_out_mail_ind,$B295,rng_out_ds,$C295,rng_out_sel_sp_ind,$D295,rng_out_sel_excl_ind,$E295)* _xlfn.XLOOKUP([1]Tables!$HN$4,'[1]RA Output'!$AY$4:$AY$5,'[1]RA Output'!BD$4:BD$5,0)  +
SUMIFS(rng_out_rx_post_yr5,rng_out_sel_excl_yr_ind, [1]Tables!$HN$5, rng_out_GB_Medispan, R$1,rng_out_mail_ind,$B295,rng_out_ds,$C295,rng_out_sel_sp_ind,$D295,rng_out_sel_excl_ind,$E295)* _xlfn.XLOOKUP([1]Tables!$HN$5,'[1]RA Output'!$AY$4:$AY$5,'[1]RA Output'!BD$4:BD$5,0))/[1]Tables!$AT$4+
IFERROR(IF($E$289="N", 0,
SUMIFS(rng_out_rx_post_yr5, rng_out_GB_Medispan, R$1, rng_out_mail_ind, $B295, rng_out_ds, $C295, rng_out_sel_sp_ind, $D295, rng_out_sel_excl_ind,"N", rng_out_post_reb_ind_yr5, 0)/[1]Tables!$AT$4),0)</f>
        <v>#VALUE!</v>
      </c>
      <c r="BA295" s="206" t="e">
        <f t="shared" ca="1" si="304"/>
        <v>#VALUE!</v>
      </c>
      <c r="BB295" s="206" t="e">
        <f t="shared" ca="1" si="304"/>
        <v>#VALUE!</v>
      </c>
      <c r="BC295" s="206" t="e">
        <f t="shared" ca="1" si="304"/>
        <v>#VALUE!</v>
      </c>
      <c r="BD295" s="206" t="e">
        <f t="shared" ca="1" si="304"/>
        <v>#VALUE!</v>
      </c>
      <c r="BE295" s="212" t="e">
        <f t="shared" ca="1" si="304"/>
        <v>#VALUE!</v>
      </c>
      <c r="BG295" s="111" t="s">
        <v>15</v>
      </c>
      <c r="BH295" s="213">
        <f t="shared" ca="1" si="305"/>
        <v>0</v>
      </c>
      <c r="BI295" s="206">
        <f t="shared" ca="1" si="305"/>
        <v>0</v>
      </c>
      <c r="BJ295" s="206">
        <f t="shared" ca="1" si="305"/>
        <v>0</v>
      </c>
      <c r="BK295" s="206">
        <f t="shared" ca="1" si="305"/>
        <v>0</v>
      </c>
      <c r="BL295" s="214">
        <f t="shared" ca="1" si="305"/>
        <v>0</v>
      </c>
      <c r="BM295" s="213" t="e">
        <f t="shared" ca="1" si="305"/>
        <v>#VALUE!</v>
      </c>
      <c r="BN295" s="206" t="e">
        <f t="shared" ca="1" si="305"/>
        <v>#VALUE!</v>
      </c>
      <c r="BO295" s="206" t="e">
        <f t="shared" ca="1" si="305"/>
        <v>#VALUE!</v>
      </c>
      <c r="BP295" s="206" t="e">
        <f t="shared" ca="1" si="305"/>
        <v>#VALUE!</v>
      </c>
      <c r="BQ295" s="214" t="e">
        <f t="shared" ca="1" si="305"/>
        <v>#VALUE!</v>
      </c>
      <c r="BR295" s="213" t="e">
        <f t="shared" ca="1" si="306"/>
        <v>#VALUE!</v>
      </c>
      <c r="BS295" s="206" t="e">
        <f t="shared" ca="1" si="306"/>
        <v>#VALUE!</v>
      </c>
      <c r="BT295" s="206" t="e">
        <f t="shared" ca="1" si="306"/>
        <v>#VALUE!</v>
      </c>
      <c r="BU295" s="206" t="e">
        <f t="shared" ca="1" si="306"/>
        <v>#VALUE!</v>
      </c>
      <c r="BV295" s="214" t="e">
        <f t="shared" ca="1" si="306"/>
        <v>#VALUE!</v>
      </c>
      <c r="BX295" s="111" t="s">
        <v>15</v>
      </c>
      <c r="BY295" s="213" t="e">
        <f t="shared" ca="1" si="307"/>
        <v>#VALUE!</v>
      </c>
      <c r="BZ295" s="206" t="e">
        <f t="shared" ca="1" si="307"/>
        <v>#VALUE!</v>
      </c>
      <c r="CA295" s="206" t="e">
        <f t="shared" ca="1" si="307"/>
        <v>#VALUE!</v>
      </c>
      <c r="CB295" s="206" t="e">
        <f t="shared" ca="1" si="307"/>
        <v>#VALUE!</v>
      </c>
      <c r="CC295" s="214" t="e">
        <f t="shared" ca="1" si="307"/>
        <v>#VALUE!</v>
      </c>
      <c r="CD295" s="213" t="e">
        <f t="shared" ca="1" si="308"/>
        <v>#VALUE!</v>
      </c>
      <c r="CE295" s="206" t="e">
        <f t="shared" ca="1" si="308"/>
        <v>#VALUE!</v>
      </c>
      <c r="CF295" s="206" t="e">
        <f t="shared" ca="1" si="308"/>
        <v>#VALUE!</v>
      </c>
      <c r="CG295" s="206" t="e">
        <f t="shared" ca="1" si="308"/>
        <v>#VALUE!</v>
      </c>
      <c r="CH295" s="214" t="e">
        <f t="shared" ca="1" si="308"/>
        <v>#VALUE!</v>
      </c>
      <c r="CI295" s="213" t="e">
        <f t="shared" ca="1" si="309"/>
        <v>#VALUE!</v>
      </c>
      <c r="CJ295" s="206" t="e">
        <f t="shared" ca="1" si="309"/>
        <v>#VALUE!</v>
      </c>
      <c r="CK295" s="206" t="e">
        <f t="shared" ca="1" si="309"/>
        <v>#VALUE!</v>
      </c>
      <c r="CL295" s="206" t="e">
        <f t="shared" ca="1" si="309"/>
        <v>#VALUE!</v>
      </c>
      <c r="CM295" s="214" t="e">
        <f t="shared" ca="1" si="309"/>
        <v>#VALUE!</v>
      </c>
      <c r="CO295" s="213" cm="1">
        <f t="array" aca="1" ref="CO295" ca="1">_xlfn.SINGLE(IFERROR(SUMIFS(rng_out_rx_base, rng_out_GB_Medispan, "G", rng_out_mail_ind, $B295, rng_out_ds, $C295, rng_out_sel_sp_ind, $D295, rng_out_sel_excl_ind,$E295)/[1]Tables!$AT$4, 0))</f>
        <v>0</v>
      </c>
      <c r="CP295" s="214" cm="1">
        <f t="array" aca="1" ref="CP295" ca="1">_xlfn.SINGLE(IFERROR(SUMIFS(rng_out_rx_base, rng_out_GB_Medispan, "B", rng_out_mail_ind, $B295, rng_out_ds, $C295, rng_out_sel_sp_ind, $D295, rng_out_sel_excl_ind,$E295)/[1]Tables!$AT$4, 0))</f>
        <v>0</v>
      </c>
      <c r="CQ295" s="220">
        <f ca="1">SUM(CO295:CP295)</f>
        <v>0</v>
      </c>
      <c r="CR295" s="213" cm="1">
        <f t="array" aca="1" ref="CR295" ca="1">_xlfn.SINGLE(IFERROR(SUMIFS(rng_out_qty_base, rng_out_GB_Medispan, "G", rng_out_mail_ind, $B295, rng_out_ds, $C295, rng_out_sel_sp_ind, $D295, rng_out_sel_excl_ind,$E295)/[1]Tables!$AT$4, 0))</f>
        <v>0</v>
      </c>
      <c r="CS295" s="206" cm="1">
        <f t="array" aca="1" ref="CS295" ca="1">_xlfn.SINGLE(IFERROR(SUMIFS(rng_out_qty_base, rng_out_GB_Medispan, "B", rng_out_mail_ind, $B295, rng_out_ds, $C295, rng_out_sel_sp_ind, $D295, rng_out_sel_excl_ind,$E295)/[1]Tables!$AT$4, 0))</f>
        <v>0</v>
      </c>
      <c r="CT295" s="221">
        <f ca="1">SUM(CR295:CS295)</f>
        <v>0</v>
      </c>
      <c r="CU295" s="213" cm="1">
        <f t="array" aca="1" ref="CU295" ca="1">_xlfn.SINGLE(IFERROR(SUMIFS(rng_out_ds_base, rng_out_GB_Medispan, "G", rng_out_mail_ind, $B295, rng_out_ds, $C295, rng_out_sel_sp_ind, $D295, rng_out_sel_excl_ind,$E295)/[1]Tables!$AT$4, 0))</f>
        <v>0</v>
      </c>
      <c r="CV295" s="214" cm="1">
        <f t="array" aca="1" ref="CV295" ca="1">_xlfn.SINGLE(IFERROR(SUMIFS(rng_out_ds_base, rng_out_GB_Medispan, "B", rng_out_mail_ind, $B295, rng_out_ds, $C295, rng_out_sel_sp_ind, $D295, rng_out_sel_excl_ind,$E295)/[1]Tables!$AT$4, 0))</f>
        <v>0</v>
      </c>
      <c r="CW295" s="220">
        <f ca="1">SUM(CU295:CV295)</f>
        <v>0</v>
      </c>
      <c r="DC295" s="213" t="e">
        <f t="shared" ca="1" si="310"/>
        <v>#VALUE!</v>
      </c>
      <c r="DD295" s="206" t="e">
        <f t="shared" ca="1" si="310"/>
        <v>#VALUE!</v>
      </c>
      <c r="DE295" s="206" t="e">
        <f t="shared" ca="1" si="310"/>
        <v>#VALUE!</v>
      </c>
      <c r="DF295" s="206" t="e">
        <f t="shared" ca="1" si="310"/>
        <v>#VALUE!</v>
      </c>
      <c r="DG295" s="214" t="e">
        <f t="shared" ca="1" si="310"/>
        <v>#VALUE!</v>
      </c>
    </row>
    <row r="296" spans="2:111" x14ac:dyDescent="0.35">
      <c r="B296" s="105" t="s">
        <v>16</v>
      </c>
      <c r="C296" s="106"/>
      <c r="D296" s="106" t="s">
        <v>12</v>
      </c>
      <c r="E296" s="107" t="s">
        <v>13</v>
      </c>
      <c r="F296" s="106">
        <v>1</v>
      </c>
      <c r="G296" s="106"/>
      <c r="H296" s="118" t="s">
        <v>7</v>
      </c>
      <c r="I296" s="203" t="e" cm="1">
        <f t="array" aca="1" ref="I296" ca="1">SUMIFS(rng_out_rx_pre_yr1,rng_out_sel_excl_yr_ind, "", rng_out_GB_Medispan,I$1,rng_out_mail_ind,$B296,rng_out_sel_sp_ind,$D296,rng_out_sel_excl_ind,$E296)+
SUMIFS(rng_out_rx_pre_yr1,rng_out_sel_excl_yr_ind, [1]Tables!$HN$4,rng_out_GB_Medispan,I$1,rng_out_mail_ind,$B296,rng_out_sel_sp_ind,$D296,rng_out_sel_excl_ind,$E296)* _xlfn.XLOOKUP([1]Tables!$HN$4,'[1]RA Output'!$AY$4:$AY$5,'[1]RA Output'!AZ$4:AZ$5,0)  +
SUMIFS(rng_out_rx_pre_yr1,rng_out_sel_excl_yr_ind, [1]Tables!$HN$5,rng_out_GB_Medispan,I$1,rng_out_mail_ind,$B296,rng_out_sel_sp_ind,$D296,rng_out_sel_excl_ind,$E296)* _xlfn.XLOOKUP([1]Tables!$HN$5,'[1]RA Output'!$AY$4:$AY$5,'[1]RA Output'!AZ$4:AZ$5,0)+
IF($E$298="N", 0,
SUMIFS(rng_out_rx_pre_yr1, rng_out_GB_Medispan, I$1, rng_out_mail_ind, $B296, rng_out_sel_sp_ind, $D296, rng_out_sel_excl_ind,"N", rng_out_post_reb_ind_yr1, 0))</f>
        <v>#VALUE!</v>
      </c>
      <c r="J296" s="195" t="e" cm="1">
        <f t="array" aca="1" ref="J296" ca="1">SUMIFS(rng_out_rx_pre_yr2,rng_out_sel_excl_yr_ind, "", rng_out_GB_Medispan,J$1,rng_out_mail_ind,$B296,rng_out_sel_sp_ind,$D296,rng_out_sel_excl_ind,$E296)+
SUMIFS(rng_out_rx_pre_yr2,rng_out_sel_excl_yr_ind, [1]Tables!$HN$4,rng_out_GB_Medispan,J$1,rng_out_mail_ind,$B296,rng_out_sel_sp_ind,$D296,rng_out_sel_excl_ind,$E296)* _xlfn.XLOOKUP([1]Tables!$HN$4,'[1]RA Output'!$AY$4:$AY$5,'[1]RA Output'!BA$4:BA$5,0)  +
SUMIFS(rng_out_rx_pre_yr2,rng_out_sel_excl_yr_ind, [1]Tables!$HN$5,rng_out_GB_Medispan,J$1,rng_out_mail_ind,$B296,rng_out_sel_sp_ind,$D296,rng_out_sel_excl_ind,$E296)* _xlfn.XLOOKUP([1]Tables!$HN$5,'[1]RA Output'!$AY$4:$AY$5,'[1]RA Output'!BA$4:BA$5,0)+
IF($E$298="N", 0,
SUMIFS(rng_out_rx_pre_yr2, rng_out_GB_Medispan, J$1, rng_out_mail_ind, $B296, rng_out_sel_sp_ind, $D296, rng_out_sel_excl_ind,"N", rng_out_post_reb_ind_yr2, 0))</f>
        <v>#VALUE!</v>
      </c>
      <c r="K296" s="195" t="e" cm="1">
        <f t="array" aca="1" ref="K296" ca="1">SUMIFS(rng_out_rx_pre_yr3,rng_out_sel_excl_yr_ind, "", rng_out_GB_Medispan,K$1,rng_out_mail_ind,$B296,rng_out_sel_sp_ind,$D296,rng_out_sel_excl_ind,$E296)+
SUMIFS(rng_out_rx_pre_yr3,rng_out_sel_excl_yr_ind, [1]Tables!$HN$4,rng_out_GB_Medispan,K$1,rng_out_mail_ind,$B296,rng_out_sel_sp_ind,$D296,rng_out_sel_excl_ind,$E296)* _xlfn.XLOOKUP([1]Tables!$HN$4,'[1]RA Output'!$AY$4:$AY$5,'[1]RA Output'!BB$4:BB$5,0)  +
SUMIFS(rng_out_rx_pre_yr3,rng_out_sel_excl_yr_ind, [1]Tables!$HN$5,rng_out_GB_Medispan,K$1,rng_out_mail_ind,$B296,rng_out_sel_sp_ind,$D296,rng_out_sel_excl_ind,$E296)* _xlfn.XLOOKUP([1]Tables!$HN$5,'[1]RA Output'!$AY$4:$AY$5,'[1]RA Output'!BB$4:BB$5,0)+
IF($E$298="N", 0,
SUMIFS(rng_out_rx_pre_yr3, rng_out_GB_Medispan, K$1, rng_out_mail_ind, $B296, rng_out_sel_sp_ind, $D296, rng_out_sel_excl_ind,"N", rng_out_post_reb_ind_yr3, 0))</f>
        <v>#VALUE!</v>
      </c>
      <c r="L296" s="195" t="e" cm="1">
        <f t="array" aca="1" ref="L296" ca="1">SUMIFS(rng_out_rx_pre_yr4,rng_out_sel_excl_yr_ind, "", rng_out_GB_Medispan,L$1,rng_out_mail_ind,$B296,rng_out_sel_sp_ind,$D296,rng_out_sel_excl_ind,$E296)+
SUMIFS(rng_out_rx_pre_yr4,rng_out_sel_excl_yr_ind, [1]Tables!$HN$4,rng_out_GB_Medispan,L$1,rng_out_mail_ind,$B296,rng_out_sel_sp_ind,$D296,rng_out_sel_excl_ind,$E296)* _xlfn.XLOOKUP([1]Tables!$HN$4,'[1]RA Output'!$AY$4:$AY$5,'[1]RA Output'!BC$4:BC$5,0)  +
SUMIFS(rng_out_rx_pre_yr4,rng_out_sel_excl_yr_ind, [1]Tables!$HN$5,rng_out_GB_Medispan,L$1,rng_out_mail_ind,$B296,rng_out_sel_sp_ind,$D296,rng_out_sel_excl_ind,$E296)* _xlfn.XLOOKUP([1]Tables!$HN$5,'[1]RA Output'!$AY$4:$AY$5,'[1]RA Output'!BC$4:BC$5,0)+
IF($E$298="N", 0,
SUMIFS(rng_out_rx_pre_yr4, rng_out_GB_Medispan, L$1, rng_out_mail_ind, $B296, rng_out_sel_sp_ind, $D296, rng_out_sel_excl_ind,"N", rng_out_post_reb_ind_yr4, 0))</f>
        <v>#VALUE!</v>
      </c>
      <c r="M296" s="204" t="e" cm="1">
        <f t="array" aca="1" ref="M296" ca="1">SUMIFS(rng_out_rx_pre_yr5,rng_out_sel_excl_yr_ind, "", rng_out_GB_Medispan,M$1,rng_out_mail_ind,$B296,rng_out_sel_sp_ind,$D296,rng_out_sel_excl_ind,$E296)+
SUMIFS(rng_out_rx_pre_yr5,rng_out_sel_excl_yr_ind, [1]Tables!$HN$4,rng_out_GB_Medispan,M$1,rng_out_mail_ind,$B296,rng_out_sel_sp_ind,$D296,rng_out_sel_excl_ind,$E296)* _xlfn.XLOOKUP([1]Tables!$HN$4,'[1]RA Output'!$AY$4:$AY$5,'[1]RA Output'!BD$4:BD$5,0)  +
SUMIFS(rng_out_rx_pre_yr5,rng_out_sel_excl_yr_ind, [1]Tables!$HN$5,rng_out_GB_Medispan,M$1,rng_out_mail_ind,$B296,rng_out_sel_sp_ind,$D296,rng_out_sel_excl_ind,$E296)* _xlfn.XLOOKUP([1]Tables!$HN$5,'[1]RA Output'!$AY$4:$AY$5,'[1]RA Output'!BD$4:BD$5,0)+
IF($E$298="N", 0,
SUMIFS(rng_out_rx_pre_yr5, rng_out_GB_Medispan, M$1, rng_out_mail_ind, $B296, rng_out_sel_sp_ind, $D296, rng_out_sel_excl_ind,"N", rng_out_post_reb_ind_yr5, 0))</f>
        <v>#VALUE!</v>
      </c>
      <c r="N296" s="203" t="e" cm="1">
        <f t="array" aca="1" ref="N296" ca="1">SUMIFS(rng_out_rx_pre_yr1,rng_out_sel_excl_yr_ind, "", rng_out_GB_Medispan,N$1,rng_out_mail_ind,$B296,rng_out_sel_sp_ind,$D296,rng_out_sel_excl_ind,$E296)+
SUMIFS(rng_out_rx_pre_yr1,rng_out_sel_excl_yr_ind, [1]Tables!$HN$4,rng_out_GB_Medispan,N$1,rng_out_mail_ind,$B296,rng_out_sel_sp_ind,$D296,rng_out_sel_excl_ind,$E296)* _xlfn.XLOOKUP([1]Tables!$HN$4,'[1]RA Output'!$AY$4:$AY$5,'[1]RA Output'!AZ$4:AZ$5,0)  +
SUMIFS(rng_out_rx_pre_yr1,rng_out_sel_excl_yr_ind, [1]Tables!$HN$5,rng_out_GB_Medispan,N$1,rng_out_mail_ind,$B296,rng_out_sel_sp_ind,$D296,rng_out_sel_excl_ind,$E296)* _xlfn.XLOOKUP([1]Tables!$HN$5,'[1]RA Output'!$AY$4:$AY$5,'[1]RA Output'!AZ$4:AZ$5,0)+
IF($E$298="N", 0,
SUMIFS(rng_out_rx_pre_yr1, rng_out_GB_Medispan, N$1, rng_out_mail_ind, $B296, rng_out_sel_sp_ind, $D296, rng_out_sel_excl_ind,"N", rng_out_post_reb_ind_yr1, 0))</f>
        <v>#VALUE!</v>
      </c>
      <c r="O296" s="195" t="e" cm="1">
        <f t="array" aca="1" ref="O296" ca="1">SUMIFS(rng_out_rx_pre_yr2,rng_out_sel_excl_yr_ind, "", rng_out_GB_Medispan,O$1,rng_out_mail_ind,$B296,rng_out_sel_sp_ind,$D296,rng_out_sel_excl_ind,$E296)+
SUMIFS(rng_out_rx_pre_yr2,rng_out_sel_excl_yr_ind, [1]Tables!$HN$4,rng_out_GB_Medispan,O$1,rng_out_mail_ind,$B296,rng_out_sel_sp_ind,$D296,rng_out_sel_excl_ind,$E296)* _xlfn.XLOOKUP([1]Tables!$HN$4,'[1]RA Output'!$AY$4:$AY$5,'[1]RA Output'!BA$4:BA$5,0)  +
SUMIFS(rng_out_rx_pre_yr2,rng_out_sel_excl_yr_ind, [1]Tables!$HN$5,rng_out_GB_Medispan,O$1,rng_out_mail_ind,$B296,rng_out_sel_sp_ind,$D296,rng_out_sel_excl_ind,$E296)* _xlfn.XLOOKUP([1]Tables!$HN$5,'[1]RA Output'!$AY$4:$AY$5,'[1]RA Output'!BA$4:BA$5,0)+
IF($E$298="N", 0,
SUMIFS(rng_out_rx_pre_yr2, rng_out_GB_Medispan, O$1, rng_out_mail_ind, $B296, rng_out_sel_sp_ind, $D296, rng_out_sel_excl_ind,"N", rng_out_post_reb_ind_yr2, 0))</f>
        <v>#VALUE!</v>
      </c>
      <c r="P296" s="195" t="e" cm="1">
        <f t="array" aca="1" ref="P296" ca="1">SUMIFS(rng_out_rx_pre_yr3,rng_out_sel_excl_yr_ind, "", rng_out_GB_Medispan,P$1,rng_out_mail_ind,$B296,rng_out_sel_sp_ind,$D296,rng_out_sel_excl_ind,$E296)+
SUMIFS(rng_out_rx_pre_yr3,rng_out_sel_excl_yr_ind, [1]Tables!$HN$4,rng_out_GB_Medispan,P$1,rng_out_mail_ind,$B296,rng_out_sel_sp_ind,$D296,rng_out_sel_excl_ind,$E296)* _xlfn.XLOOKUP([1]Tables!$HN$4,'[1]RA Output'!$AY$4:$AY$5,'[1]RA Output'!BB$4:BB$5,0)  +
SUMIFS(rng_out_rx_pre_yr3,rng_out_sel_excl_yr_ind, [1]Tables!$HN$5,rng_out_GB_Medispan,P$1,rng_out_mail_ind,$B296,rng_out_sel_sp_ind,$D296,rng_out_sel_excl_ind,$E296)* _xlfn.XLOOKUP([1]Tables!$HN$5,'[1]RA Output'!$AY$4:$AY$5,'[1]RA Output'!BB$4:BB$5,0)+
IF($E$298="N", 0,
SUMIFS(rng_out_rx_pre_yr3, rng_out_GB_Medispan, P$1, rng_out_mail_ind, $B296, rng_out_sel_sp_ind, $D296, rng_out_sel_excl_ind,"N", rng_out_post_reb_ind_yr3, 0))</f>
        <v>#VALUE!</v>
      </c>
      <c r="Q296" s="195" t="e" cm="1">
        <f t="array" aca="1" ref="Q296" ca="1">SUMIFS(rng_out_rx_pre_yr4,rng_out_sel_excl_yr_ind, "", rng_out_GB_Medispan,Q$1,rng_out_mail_ind,$B296,rng_out_sel_sp_ind,$D296,rng_out_sel_excl_ind,$E296)+
SUMIFS(rng_out_rx_pre_yr4,rng_out_sel_excl_yr_ind, [1]Tables!$HN$4,rng_out_GB_Medispan,Q$1,rng_out_mail_ind,$B296,rng_out_sel_sp_ind,$D296,rng_out_sel_excl_ind,$E296)* _xlfn.XLOOKUP([1]Tables!$HN$4,'[1]RA Output'!$AY$4:$AY$5,'[1]RA Output'!BC$4:BC$5,0)  +
SUMIFS(rng_out_rx_pre_yr4,rng_out_sel_excl_yr_ind, [1]Tables!$HN$5,rng_out_GB_Medispan,Q$1,rng_out_mail_ind,$B296,rng_out_sel_sp_ind,$D296,rng_out_sel_excl_ind,$E296)* _xlfn.XLOOKUP([1]Tables!$HN$5,'[1]RA Output'!$AY$4:$AY$5,'[1]RA Output'!BC$4:BC$5,0)+
IF($E$298="N", 0,
SUMIFS(rng_out_rx_pre_yr4, rng_out_GB_Medispan, Q$1, rng_out_mail_ind, $B296, rng_out_sel_sp_ind, $D296, rng_out_sel_excl_ind,"N", rng_out_post_reb_ind_yr4, 0))</f>
        <v>#VALUE!</v>
      </c>
      <c r="R296" s="204" t="e" cm="1">
        <f t="array" aca="1" ref="R296" ca="1">SUMIFS(rng_out_rx_pre_yr5,rng_out_sel_excl_yr_ind, "", rng_out_GB_Medispan,R$1,rng_out_mail_ind,$B296,rng_out_sel_sp_ind,$D296,rng_out_sel_excl_ind,$E296)+
SUMIFS(rng_out_rx_pre_yr5,rng_out_sel_excl_yr_ind, [1]Tables!$HN$4,rng_out_GB_Medispan,R$1,rng_out_mail_ind,$B296,rng_out_sel_sp_ind,$D296,rng_out_sel_excl_ind,$E296)* _xlfn.XLOOKUP([1]Tables!$HN$4,'[1]RA Output'!$AY$4:$AY$5,'[1]RA Output'!BD$4:BD$5,0)  +
SUMIFS(rng_out_rx_pre_yr5,rng_out_sel_excl_yr_ind, [1]Tables!$HN$5,rng_out_GB_Medispan,R$1,rng_out_mail_ind,$B296,rng_out_sel_sp_ind,$D296,rng_out_sel_excl_ind,$E296)* _xlfn.XLOOKUP([1]Tables!$HN$5,'[1]RA Output'!$AY$4:$AY$5,'[1]RA Output'!BD$4:BD$5,0)+
IF($E$298="N", 0,
SUMIFS(rng_out_rx_pre_yr5, rng_out_GB_Medispan, R$1, rng_out_mail_ind, $B296, rng_out_sel_sp_ind, $D296, rng_out_sel_excl_ind,"N", rng_out_post_reb_ind_yr5, 0))</f>
        <v>#VALUE!</v>
      </c>
      <c r="S296" s="205" t="e">
        <f t="shared" ca="1" si="302"/>
        <v>#VALUE!</v>
      </c>
      <c r="T296" s="206" t="e">
        <f t="shared" ca="1" si="302"/>
        <v>#VALUE!</v>
      </c>
      <c r="U296" s="206" t="e">
        <f t="shared" ca="1" si="302"/>
        <v>#VALUE!</v>
      </c>
      <c r="V296" s="206" t="e">
        <f t="shared" ca="1" si="302"/>
        <v>#VALUE!</v>
      </c>
      <c r="W296" s="207" t="e">
        <f t="shared" ca="1" si="302"/>
        <v>#VALUE!</v>
      </c>
      <c r="Y296" s="119" t="s">
        <v>7</v>
      </c>
      <c r="Z296" s="208">
        <f ca="1">IFERROR(I296/[1]Tables!$AT$4, 0)</f>
        <v>0</v>
      </c>
      <c r="AA296" s="206">
        <f ca="1">IFERROR(J296/[1]Tables!$AT$4, 0)</f>
        <v>0</v>
      </c>
      <c r="AB296" s="206">
        <f ca="1">IFERROR(K296/[1]Tables!$AT$4, 0)</f>
        <v>0</v>
      </c>
      <c r="AC296" s="206">
        <f ca="1">IFERROR(L296/[1]Tables!$AT$4, 0)</f>
        <v>0</v>
      </c>
      <c r="AD296" s="209">
        <f ca="1">IFERROR(M296/[1]Tables!$AT$4, 0)</f>
        <v>0</v>
      </c>
      <c r="AE296" s="208">
        <f ca="1">IFERROR(N296/[1]Tables!$AT$4, 0)</f>
        <v>0</v>
      </c>
      <c r="AF296" s="206">
        <f ca="1">IFERROR(O296/[1]Tables!$AT$4, 0)</f>
        <v>0</v>
      </c>
      <c r="AG296" s="206">
        <f ca="1">IFERROR(P296/[1]Tables!$AT$4, 0)</f>
        <v>0</v>
      </c>
      <c r="AH296" s="206">
        <f ca="1">IFERROR(Q296/[1]Tables!$AT$4, 0)</f>
        <v>0</v>
      </c>
      <c r="AI296" s="209">
        <f ca="1">IFERROR(R296/[1]Tables!$AT$4, 0)</f>
        <v>0</v>
      </c>
      <c r="AJ296" s="208">
        <f t="shared" ca="1" si="303"/>
        <v>0</v>
      </c>
      <c r="AK296" s="206">
        <f t="shared" ca="1" si="303"/>
        <v>0</v>
      </c>
      <c r="AL296" s="206">
        <f t="shared" ca="1" si="303"/>
        <v>0</v>
      </c>
      <c r="AM296" s="206">
        <f t="shared" ca="1" si="303"/>
        <v>0</v>
      </c>
      <c r="AN296" s="209">
        <f t="shared" ca="1" si="303"/>
        <v>0</v>
      </c>
      <c r="AP296" s="120" t="s">
        <v>7</v>
      </c>
      <c r="AQ296" s="210" cm="1">
        <f t="array" aca="1" ref="AQ296" ca="1">IFERROR(IF(OR(input_Shift="No", [1]Tables!$BN$4=1), 0, ((SUMIFS(rng_out_rx_post_yr1,rng_out_sel_excl_yr_ind, "", rng_out_GB_Medispan, N$1,rng_out_mail_ind,$B296,rng_out_sel_sp_ind,$D296,rng_out_sel_excl_ind,$E296, rng_out_MSB_excl, $F296)+
SUMIFS(rng_out_rx_post_yr1,rng_out_sel_excl_yr_ind, [1]Tables!$HN$4, rng_out_GB_Medispan, N$1,rng_out_mail_ind,$B296,rng_out_sel_sp_ind,$D296,rng_out_sel_excl_ind,$E296, rng_out_MSB_excl, $F296)* _xlfn.XLOOKUP([1]Tables!$HN$4,'[1]RA Output'!$AY$4:$AY$5,'[1]RA Output'!AZ$4:AZ$5,0)  +
SUMIFS(rng_out_rx_post_yr1,rng_out_sel_excl_yr_ind, [1]Tables!$HN$5, rng_out_GB_Medispan, N$1,rng_out_mail_ind,$B296,rng_out_sel_sp_ind,$D296,rng_out_sel_excl_ind,$E296, rng_out_MSB_excl, $F296)* _xlfn.XLOOKUP([1]Tables!$HN$5,'[1]RA Output'!$AY$4:$AY$5,'[1]RA Output'!AZ$4:AZ$5,0))/[1]Tables!$AT$4)/[1]Tables!$BN$4*(1-[1]Tables!$BN$4)), 0)
+ IFERROR((SUMIFS(rng_out_rx_post_yr1,rng_out_sel_excl_yr_ind, "", rng_out_GB_Medispan, I$1,rng_out_mail_ind,$B296,rng_out_sel_sp_ind,$D296,rng_out_sel_excl_ind,$E296)+
SUMIFS(rng_out_rx_post_yr1,rng_out_sel_excl_yr_ind, [1]Tables!$HN$4, rng_out_GB_Medispan, I$1,rng_out_mail_ind,$B296,rng_out_sel_sp_ind,$D296,rng_out_sel_excl_ind,$E296)* _xlfn.XLOOKUP([1]Tables!$HN$4,'[1]RA Output'!$AY$4:$AY$5,'[1]RA Output'!AZ$4:AZ$5,0)  +
SUMIFS(rng_out_rx_post_yr1,rng_out_sel_excl_yr_ind, [1]Tables!$HN$5, rng_out_GB_Medispan, I$1,rng_out_mail_ind,$B296,rng_out_sel_sp_ind,$D296,rng_out_sel_excl_ind,$E296)* _xlfn.XLOOKUP([1]Tables!$HN$5,'[1]RA Output'!$AY$4:$AY$5,'[1]RA Output'!AZ$4:AZ$5,0))/[1]Tables!$AT$4, 0)+
IF($E$280="N", 0,
IFERROR((SUMIFS(rng_out_rx_post_yr1, rng_out_GB_Medispan, I$1, rng_out_sel_G_ind, I$1, rng_out_mail_ind, $B296, rng_out_sel_sp_ind, $D296, rng_out_sel_excl_ind,"N", rng_out_post_reb_ind_yr1, 0))/[1]Tables!$AT$4, 0))</f>
        <v>0</v>
      </c>
      <c r="AR296" s="195" cm="1">
        <f t="array" aca="1" ref="AR296" ca="1">IFERROR(IF(OR(input_Shift="No", [1]Tables!$BN$4=1), 0, ((SUMIFS(rng_out_rx_post_yr2,rng_out_sel_excl_yr_ind, "", rng_out_GB_Medispan, O$1,rng_out_mail_ind,$B296,rng_out_sel_sp_ind,$D296,rng_out_sel_excl_ind,$E296, rng_out_MSB_excl, $F296)+
SUMIFS(rng_out_rx_post_yr2,rng_out_sel_excl_yr_ind, [1]Tables!$HN$4, rng_out_GB_Medispan, O$1,rng_out_mail_ind,$B296,rng_out_sel_sp_ind,$D296,rng_out_sel_excl_ind,$E296, rng_out_MSB_excl, $F296)* _xlfn.XLOOKUP([1]Tables!$HN$4,'[1]RA Output'!$AY$4:$AY$5,'[1]RA Output'!BA$4:BA$5,0)  +
SUMIFS(rng_out_rx_post_yr2,rng_out_sel_excl_yr_ind, [1]Tables!$HN$5, rng_out_GB_Medispan, O$1,rng_out_mail_ind,$B296,rng_out_sel_sp_ind,$D296,rng_out_sel_excl_ind,$E296, rng_out_MSB_excl, $F296)* _xlfn.XLOOKUP([1]Tables!$HN$5,'[1]RA Output'!$AY$4:$AY$5,'[1]RA Output'!BA$4:BA$5,0))/[1]Tables!$AT$4)/[1]Tables!$BN$4*(1-[1]Tables!$BN$4)), 0)
+ IFERROR((SUMIFS(rng_out_rx_post_yr2,rng_out_sel_excl_yr_ind, "", rng_out_GB_Medispan, J$1,rng_out_mail_ind,$B296,rng_out_sel_sp_ind,$D296,rng_out_sel_excl_ind,$E296)+
SUMIFS(rng_out_rx_post_yr2,rng_out_sel_excl_yr_ind, [1]Tables!$HN$4, rng_out_GB_Medispan, J$1,rng_out_mail_ind,$B296,rng_out_sel_sp_ind,$D296,rng_out_sel_excl_ind,$E296)* _xlfn.XLOOKUP([1]Tables!$HN$4,'[1]RA Output'!$AY$4:$AY$5,'[1]RA Output'!BA$4:BA$5,0)  +
SUMIFS(rng_out_rx_post_yr2,rng_out_sel_excl_yr_ind, [1]Tables!$HN$5, rng_out_GB_Medispan, J$1,rng_out_mail_ind,$B296,rng_out_sel_sp_ind,$D296,rng_out_sel_excl_ind,$E296)* _xlfn.XLOOKUP([1]Tables!$HN$5,'[1]RA Output'!$AY$4:$AY$5,'[1]RA Output'!BA$4:BA$5,0))/[1]Tables!$AT$4, 0)+
IF($E$280="N", 0,
IFERROR((SUMIFS(rng_out_rx_post_yr2, rng_out_GB_Medispan, J$1, rng_out_sel_G_ind, J$1, rng_out_mail_ind, $B296, rng_out_sel_sp_ind, $D296, rng_out_sel_excl_ind,"N", rng_out_post_reb_ind_yr2, 0))/[1]Tables!$AT$4, 0))</f>
        <v>0</v>
      </c>
      <c r="AS296" s="195" cm="1">
        <f t="array" aca="1" ref="AS296" ca="1">IFERROR(IF(OR(input_Shift="No", [1]Tables!$BN$4=1), 0, ((SUMIFS(rng_out_rx_post_yr3,rng_out_sel_excl_yr_ind, "", rng_out_GB_Medispan, P$1,rng_out_mail_ind,$B296,rng_out_sel_sp_ind,$D296,rng_out_sel_excl_ind,$E296, rng_out_MSB_excl, $F296)+
SUMIFS(rng_out_rx_post_yr3,rng_out_sel_excl_yr_ind, [1]Tables!$HN$4, rng_out_GB_Medispan, P$1,rng_out_mail_ind,$B296,rng_out_sel_sp_ind,$D296,rng_out_sel_excl_ind,$E296, rng_out_MSB_excl, $F296)* _xlfn.XLOOKUP([1]Tables!$HN$4,'[1]RA Output'!$AY$4:$AY$5,'[1]RA Output'!BB$4:BB$5,0)  +
SUMIFS(rng_out_rx_post_yr3,rng_out_sel_excl_yr_ind, [1]Tables!$HN$5, rng_out_GB_Medispan, P$1,rng_out_mail_ind,$B296,rng_out_sel_sp_ind,$D296,rng_out_sel_excl_ind,$E296, rng_out_MSB_excl, $F296)* _xlfn.XLOOKUP([1]Tables!$HN$5,'[1]RA Output'!$AY$4:$AY$5,'[1]RA Output'!BB$4:BB$5,0))/[1]Tables!$AT$4)/[1]Tables!$BN$4*(1-[1]Tables!$BN$4)), 0)
+ IFERROR((SUMIFS(rng_out_rx_post_yr3,rng_out_sel_excl_yr_ind, "", rng_out_GB_Medispan, K$1,rng_out_mail_ind,$B296,rng_out_sel_sp_ind,$D296,rng_out_sel_excl_ind,$E296)+
SUMIFS(rng_out_rx_post_yr3,rng_out_sel_excl_yr_ind, [1]Tables!$HN$4, rng_out_GB_Medispan, K$1,rng_out_mail_ind,$B296,rng_out_sel_sp_ind,$D296,rng_out_sel_excl_ind,$E296)* _xlfn.XLOOKUP([1]Tables!$HN$4,'[1]RA Output'!$AY$4:$AY$5,'[1]RA Output'!BB$4:BB$5,0)  +
SUMIFS(rng_out_rx_post_yr3,rng_out_sel_excl_yr_ind, [1]Tables!$HN$5, rng_out_GB_Medispan, K$1,rng_out_mail_ind,$B296,rng_out_sel_sp_ind,$D296,rng_out_sel_excl_ind,$E296)* _xlfn.XLOOKUP([1]Tables!$HN$5,'[1]RA Output'!$AY$4:$AY$5,'[1]RA Output'!BB$4:BB$5,0))/[1]Tables!$AT$4, 0)+
IF($E$280="N", 0,
IFERROR((SUMIFS(rng_out_rx_post_yr3, rng_out_GB_Medispan, K$1, rng_out_sel_G_ind, K$1, rng_out_mail_ind, $B296, rng_out_sel_sp_ind, $D296, rng_out_sel_excl_ind,"N", rng_out_post_reb_ind_yr3, 0))/[1]Tables!$AT$4, 0))</f>
        <v>0</v>
      </c>
      <c r="AT296" s="195" cm="1">
        <f t="array" aca="1" ref="AT296" ca="1">IFERROR(IF(OR(input_Shift="No", [1]Tables!$BN$4=1), 0, ((SUMIFS(rng_out_rx_post_yr4,rng_out_sel_excl_yr_ind, "", rng_out_GB_Medispan, Q$1,rng_out_mail_ind,$B296,rng_out_sel_sp_ind,$D296,rng_out_sel_excl_ind,$E296, rng_out_MSB_excl, $F296)+
SUMIFS(rng_out_rx_post_yr4,rng_out_sel_excl_yr_ind, [1]Tables!$HN$4, rng_out_GB_Medispan, Q$1,rng_out_mail_ind,$B296,rng_out_sel_sp_ind,$D296,rng_out_sel_excl_ind,$E296, rng_out_MSB_excl, $F296)* _xlfn.XLOOKUP([1]Tables!$HN$4,'[1]RA Output'!$AY$4:$AY$5,'[1]RA Output'!BC$4:BC$5,0)  +
SUMIFS(rng_out_rx_post_yr4,rng_out_sel_excl_yr_ind, [1]Tables!$HN$5, rng_out_GB_Medispan, Q$1,rng_out_mail_ind,$B296,rng_out_sel_sp_ind,$D296,rng_out_sel_excl_ind,$E296, rng_out_MSB_excl, $F296)* _xlfn.XLOOKUP([1]Tables!$HN$5,'[1]RA Output'!$AY$4:$AY$5,'[1]RA Output'!BC$4:BC$5,0))/[1]Tables!$AT$4)/[1]Tables!$BN$4*(1-[1]Tables!$BN$4)), 0)
+ IFERROR((SUMIFS(rng_out_rx_post_yr4,rng_out_sel_excl_yr_ind, "", rng_out_GB_Medispan, L$1,rng_out_mail_ind,$B296,rng_out_sel_sp_ind,$D296,rng_out_sel_excl_ind,$E296)+
SUMIFS(rng_out_rx_post_yr4,rng_out_sel_excl_yr_ind, [1]Tables!$HN$4, rng_out_GB_Medispan, L$1,rng_out_mail_ind,$B296,rng_out_sel_sp_ind,$D296,rng_out_sel_excl_ind,$E296)* _xlfn.XLOOKUP([1]Tables!$HN$4,'[1]RA Output'!$AY$4:$AY$5,'[1]RA Output'!BC$4:BC$5,0)  +
SUMIFS(rng_out_rx_post_yr4,rng_out_sel_excl_yr_ind, [1]Tables!$HN$5, rng_out_GB_Medispan, L$1,rng_out_mail_ind,$B296,rng_out_sel_sp_ind,$D296,rng_out_sel_excl_ind,$E296)* _xlfn.XLOOKUP([1]Tables!$HN$5,'[1]RA Output'!$AY$4:$AY$5,'[1]RA Output'!BC$4:BC$5,0))/[1]Tables!$AT$4, 0)+
IF($E$280="N", 0,
IFERROR((SUMIFS(rng_out_rx_post_yr4, rng_out_GB_Medispan, L$1, rng_out_sel_G_ind, L$1, rng_out_mail_ind, $B296, rng_out_sel_sp_ind, $D296, rng_out_sel_excl_ind,"N", rng_out_post_reb_ind_yr4, 0))/[1]Tables!$AT$4, 0))</f>
        <v>0</v>
      </c>
      <c r="AU296" s="211" cm="1">
        <f t="array" aca="1" ref="AU296" ca="1">IFERROR(IF(OR(input_Shift="No", [1]Tables!$BN$4=1), 0, ((SUMIFS(rng_out_rx_post_yr5,rng_out_sel_excl_yr_ind, "", rng_out_GB_Medispan, R$1,rng_out_mail_ind,$B296,rng_out_sel_sp_ind,$D296,rng_out_sel_excl_ind,$E296, rng_out_MSB_excl, $F296)+
SUMIFS(rng_out_rx_post_yr5,rng_out_sel_excl_yr_ind, [1]Tables!$HN$4, rng_out_GB_Medispan, R$1,rng_out_mail_ind,$B296,rng_out_sel_sp_ind,$D296,rng_out_sel_excl_ind,$E296, rng_out_MSB_excl, $F296)* _xlfn.XLOOKUP([1]Tables!$HN$4,'[1]RA Output'!$AY$4:$AY$5,'[1]RA Output'!BD$4:BD$5,0)  +
SUMIFS(rng_out_rx_post_yr5,rng_out_sel_excl_yr_ind, [1]Tables!$HN$5, rng_out_GB_Medispan, R$1,rng_out_mail_ind,$B296,rng_out_sel_sp_ind,$D296,rng_out_sel_excl_ind,$E296, rng_out_MSB_excl, $F296)* _xlfn.XLOOKUP([1]Tables!$HN$5,'[1]RA Output'!$AY$4:$AY$5,'[1]RA Output'!BD$4:BD$5,0))/[1]Tables!$AT$4)/[1]Tables!$BN$4*(1-[1]Tables!$BN$4)), 0)
+ IFERROR((SUMIFS(rng_out_rx_post_yr5,rng_out_sel_excl_yr_ind, "", rng_out_GB_Medispan, M$1,rng_out_mail_ind,$B296,rng_out_sel_sp_ind,$D296,rng_out_sel_excl_ind,$E296)+
SUMIFS(rng_out_rx_post_yr5,rng_out_sel_excl_yr_ind, [1]Tables!$HN$4, rng_out_GB_Medispan, M$1,rng_out_mail_ind,$B296,rng_out_sel_sp_ind,$D296,rng_out_sel_excl_ind,$E296)* _xlfn.XLOOKUP([1]Tables!$HN$4,'[1]RA Output'!$AY$4:$AY$5,'[1]RA Output'!BD$4:BD$5,0)  +
SUMIFS(rng_out_rx_post_yr5,rng_out_sel_excl_yr_ind, [1]Tables!$HN$5, rng_out_GB_Medispan, M$1,rng_out_mail_ind,$B296,rng_out_sel_sp_ind,$D296,rng_out_sel_excl_ind,$E296)* _xlfn.XLOOKUP([1]Tables!$HN$5,'[1]RA Output'!$AY$4:$AY$5,'[1]RA Output'!BD$4:BD$5,0))/[1]Tables!$AT$4, 0)+
IF($E$280="N", 0,
IFERROR((SUMIFS(rng_out_rx_post_yr5, rng_out_GB_Medispan, M$1, rng_out_sel_G_ind, M$1, rng_out_mail_ind, $B296, rng_out_sel_sp_ind, $D296, rng_out_sel_excl_ind,"N", rng_out_post_reb_ind_yr5, 0))/[1]Tables!$AT$4, 0))</f>
        <v>0</v>
      </c>
      <c r="AV296" s="210" t="e" cm="1">
        <f t="array" aca="1" ref="AV296" ca="1">(SUMIFS(rng_out_rx_post_yr1,rng_out_sel_excl_yr_ind, "", rng_out_GB_Medispan, N$1,rng_out_mail_ind,$B296,rng_out_sel_sp_ind,$D296,rng_out_sel_excl_ind,$E296)+
SUMIFS(rng_out_rx_post_yr1,rng_out_sel_excl_yr_ind, [1]Tables!$HN$4, rng_out_GB_Medispan, N$1,rng_out_mail_ind,$B296,rng_out_sel_sp_ind,$D296,rng_out_sel_excl_ind,$E296)* _xlfn.XLOOKUP([1]Tables!$HN$4,'[1]RA Output'!$AY$4:$AY$5,'[1]RA Output'!AZ$4:AZ$5,0)  +
SUMIFS(rng_out_rx_post_yr1,rng_out_sel_excl_yr_ind, [1]Tables!$HN$5, rng_out_GB_Medispan, N$1,rng_out_mail_ind,$B296,rng_out_sel_sp_ind,$D296,rng_out_sel_excl_ind,$E296)* _xlfn.XLOOKUP([1]Tables!$HN$5,'[1]RA Output'!$AY$4:$AY$5,'[1]RA Output'!AZ$4:AZ$5,0))/[1]Tables!$AT$4+
IFERROR(IF($E$289="N", 0,
SUMIFS(rng_out_rx_post_yr1, rng_out_GB_Medispan, N$1, rng_out_mail_ind, $B296, rng_out_sel_sp_ind, $D296, rng_out_sel_excl_ind,"N", rng_out_post_reb_ind_yr1, 0)/[1]Tables!$AT$4),0)</f>
        <v>#VALUE!</v>
      </c>
      <c r="AW296" s="195" t="e" cm="1">
        <f t="array" aca="1" ref="AW296" ca="1">(SUMIFS(rng_out_rx_post_yr2,rng_out_sel_excl_yr_ind, "", rng_out_GB_Medispan, O$1,rng_out_mail_ind,$B296,rng_out_sel_sp_ind,$D296,rng_out_sel_excl_ind,$E296)+
SUMIFS(rng_out_rx_post_yr2,rng_out_sel_excl_yr_ind, [1]Tables!$HN$4, rng_out_GB_Medispan, O$1,rng_out_mail_ind,$B296,rng_out_sel_sp_ind,$D296,rng_out_sel_excl_ind,$E296)* _xlfn.XLOOKUP([1]Tables!$HN$4,'[1]RA Output'!$AY$4:$AY$5,'[1]RA Output'!BA$4:BA$5,0)  +
SUMIFS(rng_out_rx_post_yr2,rng_out_sel_excl_yr_ind, [1]Tables!$HN$5, rng_out_GB_Medispan, O$1,rng_out_mail_ind,$B296,rng_out_sel_sp_ind,$D296,rng_out_sel_excl_ind,$E296)* _xlfn.XLOOKUP([1]Tables!$HN$5,'[1]RA Output'!$AY$4:$AY$5,'[1]RA Output'!BA$4:BA$5,0))/[1]Tables!$AT$4+
IFERROR(IF($E$289="N", 0,
SUMIFS(rng_out_rx_post_yr2, rng_out_GB_Medispan, O$1, rng_out_mail_ind, $B296, rng_out_sel_sp_ind, $D296, rng_out_sel_excl_ind,"N", rng_out_post_reb_ind_yr2, 0)/[1]Tables!$AT$4),0)</f>
        <v>#VALUE!</v>
      </c>
      <c r="AX296" s="195" t="e" cm="1">
        <f t="array" aca="1" ref="AX296" ca="1">(SUMIFS(rng_out_rx_post_yr3,rng_out_sel_excl_yr_ind, "", rng_out_GB_Medispan, P$1,rng_out_mail_ind,$B296,rng_out_sel_sp_ind,$D296,rng_out_sel_excl_ind,$E296)+
SUMIFS(rng_out_rx_post_yr3,rng_out_sel_excl_yr_ind, [1]Tables!$HN$4, rng_out_GB_Medispan, P$1,rng_out_mail_ind,$B296,rng_out_sel_sp_ind,$D296,rng_out_sel_excl_ind,$E296)* _xlfn.XLOOKUP([1]Tables!$HN$4,'[1]RA Output'!$AY$4:$AY$5,'[1]RA Output'!BB$4:BB$5,0)  +
SUMIFS(rng_out_rx_post_yr3,rng_out_sel_excl_yr_ind, [1]Tables!$HN$5, rng_out_GB_Medispan, P$1,rng_out_mail_ind,$B296,rng_out_sel_sp_ind,$D296,rng_out_sel_excl_ind,$E296)* _xlfn.XLOOKUP([1]Tables!$HN$5,'[1]RA Output'!$AY$4:$AY$5,'[1]RA Output'!BB$4:BB$5,0))/[1]Tables!$AT$4+
IFERROR(IF($E$289="N", 0,
SUMIFS(rng_out_rx_post_yr3, rng_out_GB_Medispan, P$1, rng_out_mail_ind, $B296, rng_out_sel_sp_ind, $D296, rng_out_sel_excl_ind,"N", rng_out_post_reb_ind_yr3, 0)/[1]Tables!$AT$4),0)</f>
        <v>#VALUE!</v>
      </c>
      <c r="AY296" s="195" t="e" cm="1">
        <f t="array" aca="1" ref="AY296" ca="1">(SUMIFS(rng_out_rx_post_yr4,rng_out_sel_excl_yr_ind, "", rng_out_GB_Medispan, Q$1,rng_out_mail_ind,$B296,rng_out_sel_sp_ind,$D296,rng_out_sel_excl_ind,$E296)+
SUMIFS(rng_out_rx_post_yr4,rng_out_sel_excl_yr_ind, [1]Tables!$HN$4, rng_out_GB_Medispan, Q$1,rng_out_mail_ind,$B296,rng_out_sel_sp_ind,$D296,rng_out_sel_excl_ind,$E296)* _xlfn.XLOOKUP([1]Tables!$HN$4,'[1]RA Output'!$AY$4:$AY$5,'[1]RA Output'!BC$4:BC$5,0)  +
SUMIFS(rng_out_rx_post_yr4,rng_out_sel_excl_yr_ind, [1]Tables!$HN$5, rng_out_GB_Medispan, Q$1,rng_out_mail_ind,$B296,rng_out_sel_sp_ind,$D296,rng_out_sel_excl_ind,$E296)* _xlfn.XLOOKUP([1]Tables!$HN$5,'[1]RA Output'!$AY$4:$AY$5,'[1]RA Output'!BC$4:BC$5,0))/[1]Tables!$AT$4+
IFERROR(IF($E$289="N", 0,
SUMIFS(rng_out_rx_post_yr4, rng_out_GB_Medispan, Q$1, rng_out_mail_ind, $B296, rng_out_sel_sp_ind, $D296, rng_out_sel_excl_ind,"N", rng_out_post_reb_ind_yr4, 0)/[1]Tables!$AT$4),0)</f>
        <v>#VALUE!</v>
      </c>
      <c r="AZ296" s="211" t="e" cm="1">
        <f t="array" aca="1" ref="AZ296" ca="1">(SUMIFS(rng_out_rx_post_yr5,rng_out_sel_excl_yr_ind, "", rng_out_GB_Medispan, R$1,rng_out_mail_ind,$B296,rng_out_sel_sp_ind,$D296,rng_out_sel_excl_ind,$E296)+
SUMIFS(rng_out_rx_post_yr5,rng_out_sel_excl_yr_ind, [1]Tables!$HN$4, rng_out_GB_Medispan, R$1,rng_out_mail_ind,$B296,rng_out_sel_sp_ind,$D296,rng_out_sel_excl_ind,$E296)* _xlfn.XLOOKUP([1]Tables!$HN$4,'[1]RA Output'!$AY$4:$AY$5,'[1]RA Output'!BD$4:BD$5,0)  +
SUMIFS(rng_out_rx_post_yr5,rng_out_sel_excl_yr_ind, [1]Tables!$HN$5, rng_out_GB_Medispan, R$1,rng_out_mail_ind,$B296,rng_out_sel_sp_ind,$D296,rng_out_sel_excl_ind,$E296)* _xlfn.XLOOKUP([1]Tables!$HN$5,'[1]RA Output'!$AY$4:$AY$5,'[1]RA Output'!BD$4:BD$5,0))/[1]Tables!$AT$4+
IFERROR(IF($E$289="N", 0,
SUMIFS(rng_out_rx_post_yr5, rng_out_GB_Medispan, R$1, rng_out_mail_ind, $B296, rng_out_sel_sp_ind, $D296, rng_out_sel_excl_ind,"N", rng_out_post_reb_ind_yr5, 0)/[1]Tables!$AT$4),0)</f>
        <v>#VALUE!</v>
      </c>
      <c r="BA296" s="206" t="e">
        <f t="shared" ca="1" si="304"/>
        <v>#VALUE!</v>
      </c>
      <c r="BB296" s="206" t="e">
        <f t="shared" ca="1" si="304"/>
        <v>#VALUE!</v>
      </c>
      <c r="BC296" s="206" t="e">
        <f t="shared" ca="1" si="304"/>
        <v>#VALUE!</v>
      </c>
      <c r="BD296" s="206" t="e">
        <f t="shared" ca="1" si="304"/>
        <v>#VALUE!</v>
      </c>
      <c r="BE296" s="212" t="e">
        <f t="shared" ca="1" si="304"/>
        <v>#VALUE!</v>
      </c>
      <c r="BG296" s="121" t="s">
        <v>7</v>
      </c>
      <c r="BH296" s="213">
        <f t="shared" ca="1" si="305"/>
        <v>0</v>
      </c>
      <c r="BI296" s="206">
        <f t="shared" ca="1" si="305"/>
        <v>0</v>
      </c>
      <c r="BJ296" s="206">
        <f t="shared" ca="1" si="305"/>
        <v>0</v>
      </c>
      <c r="BK296" s="206">
        <f t="shared" ca="1" si="305"/>
        <v>0</v>
      </c>
      <c r="BL296" s="214">
        <f t="shared" ca="1" si="305"/>
        <v>0</v>
      </c>
      <c r="BM296" s="213" t="e">
        <f t="shared" ca="1" si="305"/>
        <v>#VALUE!</v>
      </c>
      <c r="BN296" s="206" t="e">
        <f t="shared" ca="1" si="305"/>
        <v>#VALUE!</v>
      </c>
      <c r="BO296" s="206" t="e">
        <f t="shared" ca="1" si="305"/>
        <v>#VALUE!</v>
      </c>
      <c r="BP296" s="206" t="e">
        <f t="shared" ca="1" si="305"/>
        <v>#VALUE!</v>
      </c>
      <c r="BQ296" s="214" t="e">
        <f t="shared" ca="1" si="305"/>
        <v>#VALUE!</v>
      </c>
      <c r="BR296" s="213" t="e">
        <f t="shared" ca="1" si="306"/>
        <v>#VALUE!</v>
      </c>
      <c r="BS296" s="206" t="e">
        <f t="shared" ca="1" si="306"/>
        <v>#VALUE!</v>
      </c>
      <c r="BT296" s="206" t="e">
        <f t="shared" ca="1" si="306"/>
        <v>#VALUE!</v>
      </c>
      <c r="BU296" s="206" t="e">
        <f t="shared" ca="1" si="306"/>
        <v>#VALUE!</v>
      </c>
      <c r="BV296" s="214" t="e">
        <f t="shared" ca="1" si="306"/>
        <v>#VALUE!</v>
      </c>
      <c r="BX296" s="121" t="s">
        <v>7</v>
      </c>
      <c r="BY296" s="213" t="e">
        <f t="shared" ca="1" si="307"/>
        <v>#VALUE!</v>
      </c>
      <c r="BZ296" s="206" t="e">
        <f t="shared" ca="1" si="307"/>
        <v>#VALUE!</v>
      </c>
      <c r="CA296" s="206" t="e">
        <f t="shared" ca="1" si="307"/>
        <v>#VALUE!</v>
      </c>
      <c r="CB296" s="206" t="e">
        <f t="shared" ca="1" si="307"/>
        <v>#VALUE!</v>
      </c>
      <c r="CC296" s="214" t="e">
        <f t="shared" ca="1" si="307"/>
        <v>#VALUE!</v>
      </c>
      <c r="CD296" s="213" t="e">
        <f t="shared" ca="1" si="308"/>
        <v>#VALUE!</v>
      </c>
      <c r="CE296" s="206" t="e">
        <f t="shared" ca="1" si="308"/>
        <v>#VALUE!</v>
      </c>
      <c r="CF296" s="206" t="e">
        <f t="shared" ca="1" si="308"/>
        <v>#VALUE!</v>
      </c>
      <c r="CG296" s="206" t="e">
        <f t="shared" ca="1" si="308"/>
        <v>#VALUE!</v>
      </c>
      <c r="CH296" s="214" t="e">
        <f t="shared" ca="1" si="308"/>
        <v>#VALUE!</v>
      </c>
      <c r="CI296" s="213" t="e">
        <f t="shared" ca="1" si="309"/>
        <v>#VALUE!</v>
      </c>
      <c r="CJ296" s="206" t="e">
        <f t="shared" ca="1" si="309"/>
        <v>#VALUE!</v>
      </c>
      <c r="CK296" s="206" t="e">
        <f t="shared" ca="1" si="309"/>
        <v>#VALUE!</v>
      </c>
      <c r="CL296" s="206" t="e">
        <f t="shared" ca="1" si="309"/>
        <v>#VALUE!</v>
      </c>
      <c r="CM296" s="214" t="e">
        <f t="shared" ca="1" si="309"/>
        <v>#VALUE!</v>
      </c>
      <c r="CO296" s="213" cm="1">
        <f t="array" aca="1" ref="CO296" ca="1">_xlfn.SINGLE(IFERROR(SUMIFS(rng_out_rx_base, rng_out_GB_Medispan, "G", rng_out_mail_ind, $B296, rng_out_sel_sp_ind, $D296, rng_out_sel_excl_ind,$E296)/[1]Tables!$AT$4, 0))</f>
        <v>0</v>
      </c>
      <c r="CP296" s="214" cm="1">
        <f t="array" aca="1" ref="CP296" ca="1">_xlfn.SINGLE(IFERROR(SUMIFS(rng_out_rx_base, rng_out_GB_Medispan, "B", rng_out_mail_ind, $B296, rng_out_sel_sp_ind, $D296, rng_out_sel_excl_ind,$E296)/[1]Tables!$AT$4, 0))</f>
        <v>0</v>
      </c>
      <c r="CQ296" s="220">
        <f ca="1">SUM(CO296:CP296)</f>
        <v>0</v>
      </c>
      <c r="CR296" s="213" cm="1">
        <f t="array" aca="1" ref="CR296" ca="1">_xlfn.SINGLE(IFERROR(SUMIFS(rng_out_qty_base, rng_out_GB_Medispan, "G", rng_out_mail_ind, $B296, rng_out_sel_sp_ind, $D296, rng_out_sel_excl_ind,$E296)/[1]Tables!$AT$4, 0))</f>
        <v>0</v>
      </c>
      <c r="CS296" s="206" cm="1">
        <f t="array" aca="1" ref="CS296" ca="1">_xlfn.SINGLE(IFERROR(SUMIFS(rng_out_qty_base, rng_out_GB_Medispan, "B", rng_out_mail_ind, $B296, rng_out_sel_sp_ind, $D296, rng_out_sel_excl_ind,$E296)/[1]Tables!$AT$4, 0))</f>
        <v>0</v>
      </c>
      <c r="CT296" s="221">
        <f ca="1">SUM(CR296:CS296)</f>
        <v>0</v>
      </c>
      <c r="CU296" s="213" cm="1">
        <f t="array" aca="1" ref="CU296" ca="1">_xlfn.SINGLE(IFERROR(SUMIFS(rng_out_ds_base, rng_out_GB_Medispan, "G", rng_out_mail_ind, $B296, rng_out_sel_sp_ind, $D296, rng_out_sel_excl_ind,$E296)/[1]Tables!$AT$4, 0))</f>
        <v>0</v>
      </c>
      <c r="CV296" s="214" cm="1">
        <f t="array" aca="1" ref="CV296" ca="1">_xlfn.SINGLE(IFERROR(SUMIFS(rng_out_ds_base, rng_out_GB_Medispan, "B", rng_out_mail_ind, $B296, rng_out_sel_sp_ind, $D296, rng_out_sel_excl_ind,$E296)/[1]Tables!$AT$4, 0))</f>
        <v>0</v>
      </c>
      <c r="CW296" s="220">
        <f ca="1">SUM(CU296:CV296)</f>
        <v>0</v>
      </c>
      <c r="DC296" s="213" t="e">
        <f t="shared" ca="1" si="310"/>
        <v>#VALUE!</v>
      </c>
      <c r="DD296" s="206" t="e">
        <f t="shared" ca="1" si="310"/>
        <v>#VALUE!</v>
      </c>
      <c r="DE296" s="206" t="e">
        <f t="shared" ca="1" si="310"/>
        <v>#VALUE!</v>
      </c>
      <c r="DF296" s="206" t="e">
        <f t="shared" ca="1" si="310"/>
        <v>#VALUE!</v>
      </c>
      <c r="DG296" s="214" t="e">
        <f t="shared" ca="1" si="310"/>
        <v>#VALUE!</v>
      </c>
    </row>
    <row r="297" spans="2:111" ht="15" thickBot="1" x14ac:dyDescent="0.4">
      <c r="B297" s="122"/>
      <c r="C297" s="123"/>
      <c r="D297" s="123" t="s">
        <v>13</v>
      </c>
      <c r="E297" s="124" t="s">
        <v>13</v>
      </c>
      <c r="F297" s="106">
        <v>1</v>
      </c>
      <c r="G297" s="106"/>
      <c r="H297" s="118" t="s">
        <v>17</v>
      </c>
      <c r="I297" s="203" t="e" cm="1">
        <f t="array" aca="1" ref="I297" ca="1">SUMIFS(rng_out_rx_pre_yr1,rng_out_sel_excl_yr_ind, "", rng_out_GB_Medispan,I$1,rng_out_sel_sp_ind,$D297,rng_out_sel_excl_ind,$E297)+
SUMIFS(rng_out_rx_pre_yr1,rng_out_sel_excl_yr_ind, [1]Tables!$HN$4,rng_out_GB_Medispan,I$1,rng_out_sel_sp_ind,$D297,rng_out_sel_excl_ind,$E297)* _xlfn.XLOOKUP([1]Tables!$HN$4,'[1]RA Output'!$AY$4:$AY$5,'[1]RA Output'!AZ$4:AZ$5,0)  +
SUMIFS(rng_out_rx_pre_yr1,rng_out_sel_excl_yr_ind, [1]Tables!$HN$5,rng_out_GB_Medispan,I$1,rng_out_sel_sp_ind,$D297,rng_out_sel_excl_ind,$E297)* _xlfn.XLOOKUP([1]Tables!$HN$5,'[1]RA Output'!$AY$4:$AY$5,'[1]RA Output'!AZ$4:AZ$5,0)+
IF($E$298="N", 0,
SUMIFS(rng_out_rx_pre_yr1, rng_out_GB_Medispan, I$1, rng_out_sel_sp_ind, $D297, rng_out_sel_excl_ind,"N", rng_out_post_reb_ind_yr1, 0))</f>
        <v>#VALUE!</v>
      </c>
      <c r="J297" s="195" t="e" cm="1">
        <f t="array" aca="1" ref="J297" ca="1">SUMIFS(rng_out_rx_pre_yr2,rng_out_sel_excl_yr_ind, "", rng_out_GB_Medispan,J$1,rng_out_sel_sp_ind,$D297,rng_out_sel_excl_ind,$E297)+
SUMIFS(rng_out_rx_pre_yr2,rng_out_sel_excl_yr_ind, [1]Tables!$HN$4,rng_out_GB_Medispan,J$1,rng_out_sel_sp_ind,$D297,rng_out_sel_excl_ind,$E297)* _xlfn.XLOOKUP([1]Tables!$HN$4,'[1]RA Output'!$AY$4:$AY$5,'[1]RA Output'!BA$4:BA$5,0)  +
SUMIFS(rng_out_rx_pre_yr2,rng_out_sel_excl_yr_ind, [1]Tables!$HN$5,rng_out_GB_Medispan,J$1,rng_out_sel_sp_ind,$D297,rng_out_sel_excl_ind,$E297)* _xlfn.XLOOKUP([1]Tables!$HN$5,'[1]RA Output'!$AY$4:$AY$5,'[1]RA Output'!BA$4:BA$5,0)+
IF($E$298="N", 0,
SUMIFS(rng_out_rx_pre_yr2, rng_out_GB_Medispan, J$1, rng_out_sel_sp_ind, $D297, rng_out_sel_excl_ind,"N", rng_out_post_reb_ind_yr2, 0))</f>
        <v>#VALUE!</v>
      </c>
      <c r="K297" s="195" t="e" cm="1">
        <f t="array" aca="1" ref="K297" ca="1">SUMIFS(rng_out_rx_pre_yr3,rng_out_sel_excl_yr_ind, "", rng_out_GB_Medispan,K$1,rng_out_sel_sp_ind,$D297,rng_out_sel_excl_ind,$E297)+
SUMIFS(rng_out_rx_pre_yr3,rng_out_sel_excl_yr_ind, [1]Tables!$HN$4,rng_out_GB_Medispan,K$1,rng_out_sel_sp_ind,$D297,rng_out_sel_excl_ind,$E297)* _xlfn.XLOOKUP([1]Tables!$HN$4,'[1]RA Output'!$AY$4:$AY$5,'[1]RA Output'!BB$4:BB$5,0)  +
SUMIFS(rng_out_rx_pre_yr3,rng_out_sel_excl_yr_ind, [1]Tables!$HN$5,rng_out_GB_Medispan,K$1,rng_out_sel_sp_ind,$D297,rng_out_sel_excl_ind,$E297)* _xlfn.XLOOKUP([1]Tables!$HN$5,'[1]RA Output'!$AY$4:$AY$5,'[1]RA Output'!BB$4:BB$5,0)+
IF($E$298="N", 0,
SUMIFS(rng_out_rx_pre_yr3, rng_out_GB_Medispan, K$1, rng_out_sel_sp_ind, $D297, rng_out_sel_excl_ind,"N", rng_out_post_reb_ind_yr3, 0))</f>
        <v>#VALUE!</v>
      </c>
      <c r="L297" s="195" t="e" cm="1">
        <f t="array" aca="1" ref="L297" ca="1">SUMIFS(rng_out_rx_pre_yr4,rng_out_sel_excl_yr_ind, "", rng_out_GB_Medispan,L$1,rng_out_sel_sp_ind,$D297,rng_out_sel_excl_ind,$E297)+
SUMIFS(rng_out_rx_pre_yr4,rng_out_sel_excl_yr_ind, [1]Tables!$HN$4,rng_out_GB_Medispan,L$1,rng_out_sel_sp_ind,$D297,rng_out_sel_excl_ind,$E297)* _xlfn.XLOOKUP([1]Tables!$HN$4,'[1]RA Output'!$AY$4:$AY$5,'[1]RA Output'!BC$4:BC$5,0)  +
SUMIFS(rng_out_rx_pre_yr4,rng_out_sel_excl_yr_ind, [1]Tables!$HN$5,rng_out_GB_Medispan,L$1,rng_out_sel_sp_ind,$D297,rng_out_sel_excl_ind,$E297)* _xlfn.XLOOKUP([1]Tables!$HN$5,'[1]RA Output'!$AY$4:$AY$5,'[1]RA Output'!BC$4:BC$5,0)+
IF($E$298="N", 0,
SUMIFS(rng_out_rx_pre_yr4, rng_out_GB_Medispan, L$1, rng_out_sel_sp_ind, $D297, rng_out_sel_excl_ind,"N", rng_out_post_reb_ind_yr4, 0))</f>
        <v>#VALUE!</v>
      </c>
      <c r="M297" s="222" t="e" cm="1">
        <f t="array" aca="1" ref="M297" ca="1">SUMIFS(rng_out_rx_pre_yr5,rng_out_sel_excl_yr_ind, "", rng_out_GB_Medispan,M$1,rng_out_sel_sp_ind,$D297,rng_out_sel_excl_ind,$E297)+
SUMIFS(rng_out_rx_pre_yr5,rng_out_sel_excl_yr_ind, [1]Tables!$HN$4,rng_out_GB_Medispan,M$1,rng_out_sel_sp_ind,$D297,rng_out_sel_excl_ind,$E297)* _xlfn.XLOOKUP([1]Tables!$HN$4,'[1]RA Output'!$AY$4:$AY$5,'[1]RA Output'!BD$4:BD$5,0)  +
SUMIFS(rng_out_rx_pre_yr5,rng_out_sel_excl_yr_ind, [1]Tables!$HN$5,rng_out_GB_Medispan,M$1,rng_out_sel_sp_ind,$D297,rng_out_sel_excl_ind,$E297)* _xlfn.XLOOKUP([1]Tables!$HN$5,'[1]RA Output'!$AY$4:$AY$5,'[1]RA Output'!BD$4:BD$5,0)+
IF($E$298="N", 0,
SUMIFS(rng_out_rx_pre_yr5, rng_out_GB_Medispan, M$1, rng_out_sel_sp_ind, $D297, rng_out_sel_excl_ind,"N", rng_out_post_reb_ind_yr5, 0))</f>
        <v>#VALUE!</v>
      </c>
      <c r="N297" s="203" t="e" cm="1">
        <f t="array" aca="1" ref="N297" ca="1">SUMIFS(rng_out_rx_pre_yr1,rng_out_sel_excl_yr_ind, "", rng_out_GB_Medispan,N$1,rng_out_sel_sp_ind,$D297,rng_out_sel_excl_ind,$E297)+
SUMIFS(rng_out_rx_pre_yr1,rng_out_sel_excl_yr_ind, [1]Tables!$HN$4,rng_out_GB_Medispan,N$1,rng_out_sel_sp_ind,$D297,rng_out_sel_excl_ind,$E297)* _xlfn.XLOOKUP([1]Tables!$HN$4,'[1]RA Output'!$AY$4:$AY$5,'[1]RA Output'!AZ$4:AZ$5,0)  +
SUMIFS(rng_out_rx_pre_yr1,rng_out_sel_excl_yr_ind, [1]Tables!$HN$5,rng_out_GB_Medispan,N$1,rng_out_sel_sp_ind,$D297,rng_out_sel_excl_ind,$E297)* _xlfn.XLOOKUP([1]Tables!$HN$5,'[1]RA Output'!$AY$4:$AY$5,'[1]RA Output'!AZ$4:AZ$5,0)+
IF($E$298="N", 0,
SUMIFS(rng_out_rx_pre_yr1, rng_out_GB_Medispan, N$1, rng_out_sel_sp_ind, $D297, rng_out_sel_excl_ind,"N", rng_out_post_reb_ind_yr1, 0))</f>
        <v>#VALUE!</v>
      </c>
      <c r="O297" s="195" t="e" cm="1">
        <f t="array" aca="1" ref="O297" ca="1">SUMIFS(rng_out_rx_pre_yr2,rng_out_sel_excl_yr_ind, "", rng_out_GB_Medispan,O$1,rng_out_sel_sp_ind,$D297,rng_out_sel_excl_ind,$E297)+
SUMIFS(rng_out_rx_pre_yr2,rng_out_sel_excl_yr_ind, [1]Tables!$HN$4,rng_out_GB_Medispan,O$1,rng_out_sel_sp_ind,$D297,rng_out_sel_excl_ind,$E297)* _xlfn.XLOOKUP([1]Tables!$HN$4,'[1]RA Output'!$AY$4:$AY$5,'[1]RA Output'!BA$4:BA$5,0)  +
SUMIFS(rng_out_rx_pre_yr2,rng_out_sel_excl_yr_ind, [1]Tables!$HN$5,rng_out_GB_Medispan,O$1,rng_out_sel_sp_ind,$D297,rng_out_sel_excl_ind,$E297)* _xlfn.XLOOKUP([1]Tables!$HN$5,'[1]RA Output'!$AY$4:$AY$5,'[1]RA Output'!BA$4:BA$5,0)+
IF($E$298="N", 0,
SUMIFS(rng_out_rx_pre_yr2, rng_out_GB_Medispan, O$1, rng_out_sel_sp_ind, $D297, rng_out_sel_excl_ind,"N", rng_out_post_reb_ind_yr2, 0))</f>
        <v>#VALUE!</v>
      </c>
      <c r="P297" s="195" t="e" cm="1">
        <f t="array" aca="1" ref="P297" ca="1">SUMIFS(rng_out_rx_pre_yr3,rng_out_sel_excl_yr_ind, "", rng_out_GB_Medispan,P$1,rng_out_sel_sp_ind,$D297,rng_out_sel_excl_ind,$E297)+
SUMIFS(rng_out_rx_pre_yr3,rng_out_sel_excl_yr_ind, [1]Tables!$HN$4,rng_out_GB_Medispan,P$1,rng_out_sel_sp_ind,$D297,rng_out_sel_excl_ind,$E297)* _xlfn.XLOOKUP([1]Tables!$HN$4,'[1]RA Output'!$AY$4:$AY$5,'[1]RA Output'!BB$4:BB$5,0)  +
SUMIFS(rng_out_rx_pre_yr3,rng_out_sel_excl_yr_ind, [1]Tables!$HN$5,rng_out_GB_Medispan,P$1,rng_out_sel_sp_ind,$D297,rng_out_sel_excl_ind,$E297)* _xlfn.XLOOKUP([1]Tables!$HN$5,'[1]RA Output'!$AY$4:$AY$5,'[1]RA Output'!BB$4:BB$5,0)+
IF($E$298="N", 0,
SUMIFS(rng_out_rx_pre_yr3, rng_out_GB_Medispan, P$1, rng_out_sel_sp_ind, $D297, rng_out_sel_excl_ind,"N", rng_out_post_reb_ind_yr3, 0))</f>
        <v>#VALUE!</v>
      </c>
      <c r="Q297" s="195" t="e" cm="1">
        <f t="array" aca="1" ref="Q297" ca="1">SUMIFS(rng_out_rx_pre_yr4,rng_out_sel_excl_yr_ind, "", rng_out_GB_Medispan,Q$1,rng_out_sel_sp_ind,$D297,rng_out_sel_excl_ind,$E297)+
SUMIFS(rng_out_rx_pre_yr4,rng_out_sel_excl_yr_ind, [1]Tables!$HN$4,rng_out_GB_Medispan,Q$1,rng_out_sel_sp_ind,$D297,rng_out_sel_excl_ind,$E297)* _xlfn.XLOOKUP([1]Tables!$HN$4,'[1]RA Output'!$AY$4:$AY$5,'[1]RA Output'!BC$4:BC$5,0)  +
SUMIFS(rng_out_rx_pre_yr4,rng_out_sel_excl_yr_ind, [1]Tables!$HN$5,rng_out_GB_Medispan,Q$1,rng_out_sel_sp_ind,$D297,rng_out_sel_excl_ind,$E297)* _xlfn.XLOOKUP([1]Tables!$HN$5,'[1]RA Output'!$AY$4:$AY$5,'[1]RA Output'!BC$4:BC$5,0)+
IF($E$298="N", 0,
SUMIFS(rng_out_rx_pre_yr4, rng_out_GB_Medispan, Q$1, rng_out_sel_sp_ind, $D297, rng_out_sel_excl_ind,"N", rng_out_post_reb_ind_yr4, 0))</f>
        <v>#VALUE!</v>
      </c>
      <c r="R297" s="222" t="e" cm="1">
        <f t="array" aca="1" ref="R297" ca="1">SUMIFS(rng_out_rx_pre_yr5,rng_out_sel_excl_yr_ind, "", rng_out_GB_Medispan,R$1,rng_out_sel_sp_ind,$D297,rng_out_sel_excl_ind,$E297)+
SUMIFS(rng_out_rx_pre_yr5,rng_out_sel_excl_yr_ind, [1]Tables!$HN$4,rng_out_GB_Medispan,R$1,rng_out_sel_sp_ind,$D297,rng_out_sel_excl_ind,$E297)* _xlfn.XLOOKUP([1]Tables!$HN$4,'[1]RA Output'!$AY$4:$AY$5,'[1]RA Output'!BD$4:BD$5,0)  +
SUMIFS(rng_out_rx_pre_yr5,rng_out_sel_excl_yr_ind, [1]Tables!$HN$5,rng_out_GB_Medispan,R$1,rng_out_sel_sp_ind,$D297,rng_out_sel_excl_ind,$E297)* _xlfn.XLOOKUP([1]Tables!$HN$5,'[1]RA Output'!$AY$4:$AY$5,'[1]RA Output'!BD$4:BD$5,0)+
IF($E$298="N", 0,
SUMIFS(rng_out_rx_pre_yr5, rng_out_GB_Medispan, R$1, rng_out_sel_sp_ind, $D297, rng_out_sel_excl_ind,"N", rng_out_post_reb_ind_yr5, 0))</f>
        <v>#VALUE!</v>
      </c>
      <c r="S297" s="206" t="e">
        <f t="shared" ca="1" si="302"/>
        <v>#VALUE!</v>
      </c>
      <c r="T297" s="206" t="e">
        <f t="shared" ca="1" si="302"/>
        <v>#VALUE!</v>
      </c>
      <c r="U297" s="206" t="e">
        <f t="shared" ca="1" si="302"/>
        <v>#VALUE!</v>
      </c>
      <c r="V297" s="206" t="e">
        <f t="shared" ca="1" si="302"/>
        <v>#VALUE!</v>
      </c>
      <c r="W297" s="207" t="e">
        <f t="shared" ca="1" si="302"/>
        <v>#VALUE!</v>
      </c>
      <c r="Y297" s="119" t="s">
        <v>17</v>
      </c>
      <c r="Z297" s="223">
        <f ca="1">IFERROR(I297/[1]Tables!$AT$4, 0)</f>
        <v>0</v>
      </c>
      <c r="AA297" s="224">
        <f ca="1">IFERROR(J297/[1]Tables!$AT$4, 0)</f>
        <v>0</v>
      </c>
      <c r="AB297" s="224">
        <f ca="1">IFERROR(K297/[1]Tables!$AT$4, 0)</f>
        <v>0</v>
      </c>
      <c r="AC297" s="224">
        <f ca="1">IFERROR(L297/[1]Tables!$AT$4, 0)</f>
        <v>0</v>
      </c>
      <c r="AD297" s="225">
        <f ca="1">IFERROR(M297/[1]Tables!$AT$4, 0)</f>
        <v>0</v>
      </c>
      <c r="AE297" s="223">
        <f ca="1">IFERROR(N297/[1]Tables!$AT$4, 0)</f>
        <v>0</v>
      </c>
      <c r="AF297" s="224">
        <f ca="1">IFERROR(O297/[1]Tables!$AT$4, 0)</f>
        <v>0</v>
      </c>
      <c r="AG297" s="224">
        <f ca="1">IFERROR(P297/[1]Tables!$AT$4, 0)</f>
        <v>0</v>
      </c>
      <c r="AH297" s="224">
        <f ca="1">IFERROR(Q297/[1]Tables!$AT$4, 0)</f>
        <v>0</v>
      </c>
      <c r="AI297" s="225">
        <f ca="1">IFERROR(R297/[1]Tables!$AT$4, 0)</f>
        <v>0</v>
      </c>
      <c r="AJ297" s="224">
        <f t="shared" ca="1" si="303"/>
        <v>0</v>
      </c>
      <c r="AK297" s="224">
        <f t="shared" ca="1" si="303"/>
        <v>0</v>
      </c>
      <c r="AL297" s="224">
        <f t="shared" ca="1" si="303"/>
        <v>0</v>
      </c>
      <c r="AM297" s="224">
        <f t="shared" ca="1" si="303"/>
        <v>0</v>
      </c>
      <c r="AN297" s="225">
        <f t="shared" ca="1" si="303"/>
        <v>0</v>
      </c>
      <c r="AP297" s="120" t="s">
        <v>17</v>
      </c>
      <c r="AQ297" s="226" cm="1">
        <f t="array" aca="1" ref="AQ297" ca="1">IFERROR(IF(OR(input_Shift="No", [1]Tables!$BN$4=1), 0, ((SUMIFS(rng_out_rx_post_yr1,rng_out_sel_excl_yr_ind, "", rng_out_GB_Medispan, N$1,rng_out_sel_sp_ind,$D297,rng_out_sel_excl_ind,$E297, rng_out_MSB_excl, $F297)+
SUMIFS(rng_out_rx_post_yr1,rng_out_sel_excl_yr_ind, [1]Tables!$HN$4, rng_out_GB_Medispan, N$1,rng_out_sel_sp_ind,$D297,rng_out_sel_excl_ind,$E297, rng_out_MSB_excl, $F297)* _xlfn.XLOOKUP([1]Tables!$HN$4,'[1]RA Output'!$AY$4:$AY$5,'[1]RA Output'!AZ$4:AZ$5,0)  +
SUMIFS(rng_out_rx_post_yr1,rng_out_sel_excl_yr_ind, [1]Tables!$HN$5, rng_out_GB_Medispan, N$1,rng_out_sel_sp_ind,$D297,rng_out_sel_excl_ind,$E297, rng_out_MSB_excl, $F297)* _xlfn.XLOOKUP([1]Tables!$HN$5,'[1]RA Output'!$AY$4:$AY$5,'[1]RA Output'!AZ$4:AZ$5,0))/[1]Tables!$AT$4)/[1]Tables!$BN$4*(1-[1]Tables!$BN$4)), 0)
+ IFERROR((SUMIFS(rng_out_rx_post_yr1,rng_out_sel_excl_yr_ind, "", rng_out_GB_Medispan, I$1,rng_out_sel_sp_ind,$D297,rng_out_sel_excl_ind,$E297)+
SUMIFS(rng_out_rx_post_yr1,rng_out_sel_excl_yr_ind, [1]Tables!$HN$4, rng_out_GB_Medispan, I$1,rng_out_sel_sp_ind,$D297,rng_out_sel_excl_ind,$E297)* _xlfn.XLOOKUP([1]Tables!$HN$4,'[1]RA Output'!$AY$4:$AY$5,'[1]RA Output'!AZ$4:AZ$5,0)  +
SUMIFS(rng_out_rx_post_yr1,rng_out_sel_excl_yr_ind, [1]Tables!$HN$5, rng_out_GB_Medispan, I$1,rng_out_sel_sp_ind,$D297,rng_out_sel_excl_ind,$E297)* _xlfn.XLOOKUP([1]Tables!$HN$5,'[1]RA Output'!$AY$4:$AY$5,'[1]RA Output'!AZ$4:AZ$5,0))/[1]Tables!$AT$4, 0)+
IF($E$280="N", 0,
IFERROR((SUMIFS(rng_out_rx_post_yr1, rng_out_GB_Medispan, I$1, rng_out_sel_G_ind, I$1, rng_out_sel_sp_ind, $D297, rng_out_sel_excl_ind,"N", rng_out_post_reb_ind_yr1, 0))/[1]Tables!$AT$4, 0))</f>
        <v>0</v>
      </c>
      <c r="AR297" s="227" cm="1">
        <f t="array" aca="1" ref="AR297" ca="1">IFERROR(IF(OR(input_Shift="No", [1]Tables!$BN$4=1), 0, ((SUMIFS(rng_out_rx_post_yr2,rng_out_sel_excl_yr_ind, "", rng_out_GB_Medispan, O$1,rng_out_sel_sp_ind,$D297,rng_out_sel_excl_ind,$E297, rng_out_MSB_excl, $F297)+
SUMIFS(rng_out_rx_post_yr2,rng_out_sel_excl_yr_ind, [1]Tables!$HN$4, rng_out_GB_Medispan, O$1,rng_out_sel_sp_ind,$D297,rng_out_sel_excl_ind,$E297, rng_out_MSB_excl, $F297)* _xlfn.XLOOKUP([1]Tables!$HN$4,'[1]RA Output'!$AY$4:$AY$5,'[1]RA Output'!BA$4:BA$5,0)  +
SUMIFS(rng_out_rx_post_yr2,rng_out_sel_excl_yr_ind, [1]Tables!$HN$5, rng_out_GB_Medispan, O$1,rng_out_sel_sp_ind,$D297,rng_out_sel_excl_ind,$E297, rng_out_MSB_excl, $F297)* _xlfn.XLOOKUP([1]Tables!$HN$5,'[1]RA Output'!$AY$4:$AY$5,'[1]RA Output'!BA$4:BA$5,0))/[1]Tables!$AT$4)/[1]Tables!$BN$4*(1-[1]Tables!$BN$4)), 0)
+ IFERROR((SUMIFS(rng_out_rx_post_yr2,rng_out_sel_excl_yr_ind, "", rng_out_GB_Medispan, J$1,rng_out_sel_sp_ind,$D297,rng_out_sel_excl_ind,$E297)+
SUMIFS(rng_out_rx_post_yr2,rng_out_sel_excl_yr_ind, [1]Tables!$HN$4, rng_out_GB_Medispan, J$1,rng_out_sel_sp_ind,$D297,rng_out_sel_excl_ind,$E297)* _xlfn.XLOOKUP([1]Tables!$HN$4,'[1]RA Output'!$AY$4:$AY$5,'[1]RA Output'!BA$4:BA$5,0)  +
SUMIFS(rng_out_rx_post_yr2,rng_out_sel_excl_yr_ind, [1]Tables!$HN$5, rng_out_GB_Medispan, J$1,rng_out_sel_sp_ind,$D297,rng_out_sel_excl_ind,$E297)* _xlfn.XLOOKUP([1]Tables!$HN$5,'[1]RA Output'!$AY$4:$AY$5,'[1]RA Output'!BA$4:BA$5,0))/[1]Tables!$AT$4, 0)+
IF($E$280="N", 0,
IFERROR((SUMIFS(rng_out_rx_post_yr2, rng_out_GB_Medispan, J$1, rng_out_sel_G_ind, J$1, rng_out_sel_sp_ind, $D297, rng_out_sel_excl_ind,"N", rng_out_post_reb_ind_yr2, 0))/[1]Tables!$AT$4, 0))</f>
        <v>0</v>
      </c>
      <c r="AS297" s="227" cm="1">
        <f t="array" aca="1" ref="AS297" ca="1">IFERROR(IF(OR(input_Shift="No", [1]Tables!$BN$4=1), 0, ((SUMIFS(rng_out_rx_post_yr3,rng_out_sel_excl_yr_ind, "", rng_out_GB_Medispan, P$1,rng_out_sel_sp_ind,$D297,rng_out_sel_excl_ind,$E297, rng_out_MSB_excl, $F297)+
SUMIFS(rng_out_rx_post_yr3,rng_out_sel_excl_yr_ind, [1]Tables!$HN$4, rng_out_GB_Medispan, P$1,rng_out_sel_sp_ind,$D297,rng_out_sel_excl_ind,$E297, rng_out_MSB_excl, $F297)* _xlfn.XLOOKUP([1]Tables!$HN$4,'[1]RA Output'!$AY$4:$AY$5,'[1]RA Output'!BB$4:BB$5,0)  +
SUMIFS(rng_out_rx_post_yr3,rng_out_sel_excl_yr_ind, [1]Tables!$HN$5, rng_out_GB_Medispan, P$1,rng_out_sel_sp_ind,$D297,rng_out_sel_excl_ind,$E297, rng_out_MSB_excl, $F297)* _xlfn.XLOOKUP([1]Tables!$HN$5,'[1]RA Output'!$AY$4:$AY$5,'[1]RA Output'!BB$4:BB$5,0))/[1]Tables!$AT$4)/[1]Tables!$BN$4*(1-[1]Tables!$BN$4)), 0)
+ IFERROR((SUMIFS(rng_out_rx_post_yr3,rng_out_sel_excl_yr_ind, "", rng_out_GB_Medispan, K$1,rng_out_sel_sp_ind,$D297,rng_out_sel_excl_ind,$E297)+
SUMIFS(rng_out_rx_post_yr3,rng_out_sel_excl_yr_ind, [1]Tables!$HN$4, rng_out_GB_Medispan, K$1,rng_out_sel_sp_ind,$D297,rng_out_sel_excl_ind,$E297)* _xlfn.XLOOKUP([1]Tables!$HN$4,'[1]RA Output'!$AY$4:$AY$5,'[1]RA Output'!BB$4:BB$5,0)  +
SUMIFS(rng_out_rx_post_yr3,rng_out_sel_excl_yr_ind, [1]Tables!$HN$5, rng_out_GB_Medispan, K$1,rng_out_sel_sp_ind,$D297,rng_out_sel_excl_ind,$E297)* _xlfn.XLOOKUP([1]Tables!$HN$5,'[1]RA Output'!$AY$4:$AY$5,'[1]RA Output'!BB$4:BB$5,0))/[1]Tables!$AT$4, 0)+
IF($E$280="N", 0,
IFERROR((SUMIFS(rng_out_rx_post_yr3, rng_out_GB_Medispan, K$1, rng_out_sel_G_ind, K$1, rng_out_sel_sp_ind, $D297, rng_out_sel_excl_ind,"N", rng_out_post_reb_ind_yr3, 0))/[1]Tables!$AT$4, 0))</f>
        <v>0</v>
      </c>
      <c r="AT297" s="227" cm="1">
        <f t="array" aca="1" ref="AT297" ca="1">IFERROR(IF(OR(input_Shift="No", [1]Tables!$BN$4=1), 0, ((SUMIFS(rng_out_rx_post_yr4,rng_out_sel_excl_yr_ind, "", rng_out_GB_Medispan, Q$1,rng_out_sel_sp_ind,$D297,rng_out_sel_excl_ind,$E297, rng_out_MSB_excl, $F297)+
SUMIFS(rng_out_rx_post_yr4,rng_out_sel_excl_yr_ind, [1]Tables!$HN$4, rng_out_GB_Medispan, Q$1,rng_out_sel_sp_ind,$D297,rng_out_sel_excl_ind,$E297, rng_out_MSB_excl, $F297)* _xlfn.XLOOKUP([1]Tables!$HN$4,'[1]RA Output'!$AY$4:$AY$5,'[1]RA Output'!BC$4:BC$5,0)  +
SUMIFS(rng_out_rx_post_yr4,rng_out_sel_excl_yr_ind, [1]Tables!$HN$5, rng_out_GB_Medispan, Q$1,rng_out_sel_sp_ind,$D297,rng_out_sel_excl_ind,$E297, rng_out_MSB_excl, $F297)* _xlfn.XLOOKUP([1]Tables!$HN$5,'[1]RA Output'!$AY$4:$AY$5,'[1]RA Output'!BC$4:BC$5,0))/[1]Tables!$AT$4)/[1]Tables!$BN$4*(1-[1]Tables!$BN$4)), 0)
+ IFERROR((SUMIFS(rng_out_rx_post_yr4,rng_out_sel_excl_yr_ind, "", rng_out_GB_Medispan, L$1,rng_out_sel_sp_ind,$D297,rng_out_sel_excl_ind,$E297)+
SUMIFS(rng_out_rx_post_yr4,rng_out_sel_excl_yr_ind, [1]Tables!$HN$4, rng_out_GB_Medispan, L$1,rng_out_sel_sp_ind,$D297,rng_out_sel_excl_ind,$E297)* _xlfn.XLOOKUP([1]Tables!$HN$4,'[1]RA Output'!$AY$4:$AY$5,'[1]RA Output'!BC$4:BC$5,0)  +
SUMIFS(rng_out_rx_post_yr4,rng_out_sel_excl_yr_ind, [1]Tables!$HN$5, rng_out_GB_Medispan, L$1,rng_out_sel_sp_ind,$D297,rng_out_sel_excl_ind,$E297)* _xlfn.XLOOKUP([1]Tables!$HN$5,'[1]RA Output'!$AY$4:$AY$5,'[1]RA Output'!BC$4:BC$5,0))/[1]Tables!$AT$4, 0)+
IF($E$280="N", 0,
IFERROR((SUMIFS(rng_out_rx_post_yr4, rng_out_GB_Medispan, L$1, rng_out_sel_G_ind, L$1, rng_out_sel_sp_ind, $D297, rng_out_sel_excl_ind,"N", rng_out_post_reb_ind_yr4, 0))/[1]Tables!$AT$4, 0))</f>
        <v>0</v>
      </c>
      <c r="AU297" s="228" cm="1">
        <f t="array" aca="1" ref="AU297" ca="1">IFERROR(IF(OR(input_Shift="No", [1]Tables!$BN$4=1), 0, ((SUMIFS(rng_out_rx_post_yr5,rng_out_sel_excl_yr_ind, "", rng_out_GB_Medispan, R$1,rng_out_sel_sp_ind,$D297,rng_out_sel_excl_ind,$E297, rng_out_MSB_excl, $F297)+
SUMIFS(rng_out_rx_post_yr5,rng_out_sel_excl_yr_ind, [1]Tables!$HN$4, rng_out_GB_Medispan, R$1,rng_out_sel_sp_ind,$D297,rng_out_sel_excl_ind,$E297, rng_out_MSB_excl, $F297)* _xlfn.XLOOKUP([1]Tables!$HN$4,'[1]RA Output'!$AY$4:$AY$5,'[1]RA Output'!BD$4:BD$5,0)  +
SUMIFS(rng_out_rx_post_yr5,rng_out_sel_excl_yr_ind, [1]Tables!$HN$5, rng_out_GB_Medispan, R$1,rng_out_sel_sp_ind,$D297,rng_out_sel_excl_ind,$E297, rng_out_MSB_excl, $F297)* _xlfn.XLOOKUP([1]Tables!$HN$5,'[1]RA Output'!$AY$4:$AY$5,'[1]RA Output'!BD$4:BD$5,0))/[1]Tables!$AT$4)/[1]Tables!$BN$4*(1-[1]Tables!$BN$4)), 0)
+ IFERROR((SUMIFS(rng_out_rx_post_yr5,rng_out_sel_excl_yr_ind, "", rng_out_GB_Medispan, M$1,rng_out_sel_sp_ind,$D297,rng_out_sel_excl_ind,$E297)+
SUMIFS(rng_out_rx_post_yr5,rng_out_sel_excl_yr_ind, [1]Tables!$HN$4, rng_out_GB_Medispan, M$1,rng_out_sel_sp_ind,$D297,rng_out_sel_excl_ind,$E297)* _xlfn.XLOOKUP([1]Tables!$HN$4,'[1]RA Output'!$AY$4:$AY$5,'[1]RA Output'!BD$4:BD$5,0)  +
SUMIFS(rng_out_rx_post_yr5,rng_out_sel_excl_yr_ind, [1]Tables!$HN$5, rng_out_GB_Medispan, M$1,rng_out_sel_sp_ind,$D297,rng_out_sel_excl_ind,$E297)* _xlfn.XLOOKUP([1]Tables!$HN$5,'[1]RA Output'!$AY$4:$AY$5,'[1]RA Output'!BD$4:BD$5,0))/[1]Tables!$AT$4, 0)+
IF($E$280="N", 0,
IFERROR((SUMIFS(rng_out_rx_post_yr5, rng_out_GB_Medispan, M$1, rng_out_sel_G_ind, M$1, rng_out_sel_sp_ind, $D297, rng_out_sel_excl_ind,"N", rng_out_post_reb_ind_yr5, 0))/[1]Tables!$AT$4, 0))</f>
        <v>0</v>
      </c>
      <c r="AV297" s="226" t="e" cm="1">
        <f t="array" aca="1" ref="AV297" ca="1">(SUMIFS(rng_out_rx_post_yr1,rng_out_sel_excl_yr_ind, "", rng_out_GB_Medispan, N$1,rng_out_sel_sp_ind,$D297,rng_out_sel_excl_ind,$E297)+
SUMIFS(rng_out_rx_post_yr1,rng_out_sel_excl_yr_ind, [1]Tables!$HN$4, rng_out_GB_Medispan, N$1,rng_out_sel_sp_ind,$D297,rng_out_sel_excl_ind,$E297)* _xlfn.XLOOKUP([1]Tables!$HN$4,'[1]RA Output'!$AY$4:$AY$5,'[1]RA Output'!AZ$4:AZ$5,0)  +
SUMIFS(rng_out_rx_post_yr1,rng_out_sel_excl_yr_ind, [1]Tables!$HN$5, rng_out_GB_Medispan, N$1,rng_out_sel_sp_ind,$D297,rng_out_sel_excl_ind,$E297)* _xlfn.XLOOKUP([1]Tables!$HN$5,'[1]RA Output'!$AY$4:$AY$5,'[1]RA Output'!AZ$4:AZ$5,0))/[1]Tables!$AT$4+
IFERROR(IF($E$289="N", 0,
SUMIFS(rng_out_rx_post_yr1, rng_out_GB_Medispan, N$1, rng_out_sel_sp_ind, $D297, rng_out_sel_excl_ind,"N", rng_out_post_reb_ind_yr1, 0)/[1]Tables!$AT$4),0)</f>
        <v>#VALUE!</v>
      </c>
      <c r="AW297" s="227" t="e" cm="1">
        <f t="array" aca="1" ref="AW297" ca="1">(SUMIFS(rng_out_rx_post_yr2,rng_out_sel_excl_yr_ind, "", rng_out_GB_Medispan, O$1,rng_out_sel_sp_ind,$D297,rng_out_sel_excl_ind,$E297)+
SUMIFS(rng_out_rx_post_yr2,rng_out_sel_excl_yr_ind, [1]Tables!$HN$4, rng_out_GB_Medispan, O$1,rng_out_sel_sp_ind,$D297,rng_out_sel_excl_ind,$E297)* _xlfn.XLOOKUP([1]Tables!$HN$4,'[1]RA Output'!$AY$4:$AY$5,'[1]RA Output'!BA$4:BA$5,0)  +
SUMIFS(rng_out_rx_post_yr2,rng_out_sel_excl_yr_ind, [1]Tables!$HN$5, rng_out_GB_Medispan, O$1,rng_out_sel_sp_ind,$D297,rng_out_sel_excl_ind,$E297)* _xlfn.XLOOKUP([1]Tables!$HN$5,'[1]RA Output'!$AY$4:$AY$5,'[1]RA Output'!BA$4:BA$5,0))/[1]Tables!$AT$4+
IFERROR(IF($E$289="N", 0,
SUMIFS(rng_out_rx_post_yr2, rng_out_GB_Medispan, O$1, rng_out_sel_sp_ind, $D297, rng_out_sel_excl_ind,"N", rng_out_post_reb_ind_yr2, 0)/[1]Tables!$AT$4),0)</f>
        <v>#VALUE!</v>
      </c>
      <c r="AX297" s="227" t="e" cm="1">
        <f t="array" aca="1" ref="AX297" ca="1">(SUMIFS(rng_out_rx_post_yr3,rng_out_sel_excl_yr_ind, "", rng_out_GB_Medispan, P$1,rng_out_sel_sp_ind,$D297,rng_out_sel_excl_ind,$E297)+
SUMIFS(rng_out_rx_post_yr3,rng_out_sel_excl_yr_ind, [1]Tables!$HN$4, rng_out_GB_Medispan, P$1,rng_out_sel_sp_ind,$D297,rng_out_sel_excl_ind,$E297)* _xlfn.XLOOKUP([1]Tables!$HN$4,'[1]RA Output'!$AY$4:$AY$5,'[1]RA Output'!BB$4:BB$5,0)  +
SUMIFS(rng_out_rx_post_yr3,rng_out_sel_excl_yr_ind, [1]Tables!$HN$5, rng_out_GB_Medispan, P$1,rng_out_sel_sp_ind,$D297,rng_out_sel_excl_ind,$E297)* _xlfn.XLOOKUP([1]Tables!$HN$5,'[1]RA Output'!$AY$4:$AY$5,'[1]RA Output'!BB$4:BB$5,0))/[1]Tables!$AT$4+
IFERROR(IF($E$289="N", 0,
SUMIFS(rng_out_rx_post_yr3, rng_out_GB_Medispan, P$1, rng_out_sel_sp_ind, $D297, rng_out_sel_excl_ind,"N", rng_out_post_reb_ind_yr3, 0)/[1]Tables!$AT$4),0)</f>
        <v>#VALUE!</v>
      </c>
      <c r="AY297" s="227" t="e" cm="1">
        <f t="array" aca="1" ref="AY297" ca="1">(SUMIFS(rng_out_rx_post_yr4,rng_out_sel_excl_yr_ind, "", rng_out_GB_Medispan, Q$1,rng_out_sel_sp_ind,$D297,rng_out_sel_excl_ind,$E297)+
SUMIFS(rng_out_rx_post_yr4,rng_out_sel_excl_yr_ind, [1]Tables!$HN$4, rng_out_GB_Medispan, Q$1,rng_out_sel_sp_ind,$D297,rng_out_sel_excl_ind,$E297)* _xlfn.XLOOKUP([1]Tables!$HN$4,'[1]RA Output'!$AY$4:$AY$5,'[1]RA Output'!BC$4:BC$5,0)  +
SUMIFS(rng_out_rx_post_yr4,rng_out_sel_excl_yr_ind, [1]Tables!$HN$5, rng_out_GB_Medispan, Q$1,rng_out_sel_sp_ind,$D297,rng_out_sel_excl_ind,$E297)* _xlfn.XLOOKUP([1]Tables!$HN$5,'[1]RA Output'!$AY$4:$AY$5,'[1]RA Output'!BC$4:BC$5,0))/[1]Tables!$AT$4+
IFERROR(IF($E$289="N", 0,
SUMIFS(rng_out_rx_post_yr4, rng_out_GB_Medispan, Q$1, rng_out_sel_sp_ind, $D297, rng_out_sel_excl_ind,"N", rng_out_post_reb_ind_yr4, 0)/[1]Tables!$AT$4),0)</f>
        <v>#VALUE!</v>
      </c>
      <c r="AZ297" s="228" t="e" cm="1">
        <f t="array" aca="1" ref="AZ297" ca="1">(SUMIFS(rng_out_rx_post_yr5,rng_out_sel_excl_yr_ind, "", rng_out_GB_Medispan, R$1,rng_out_sel_sp_ind,$D297,rng_out_sel_excl_ind,$E297)+
SUMIFS(rng_out_rx_post_yr5,rng_out_sel_excl_yr_ind, [1]Tables!$HN$4, rng_out_GB_Medispan, R$1,rng_out_sel_sp_ind,$D297,rng_out_sel_excl_ind,$E297)* _xlfn.XLOOKUP([1]Tables!$HN$4,'[1]RA Output'!$AY$4:$AY$5,'[1]RA Output'!BD$4:BD$5,0)  +
SUMIFS(rng_out_rx_post_yr5,rng_out_sel_excl_yr_ind, [1]Tables!$HN$5, rng_out_GB_Medispan, R$1,rng_out_sel_sp_ind,$D297,rng_out_sel_excl_ind,$E297)* _xlfn.XLOOKUP([1]Tables!$HN$5,'[1]RA Output'!$AY$4:$AY$5,'[1]RA Output'!BD$4:BD$5,0))/[1]Tables!$AT$4+
IFERROR(IF($E$289="N", 0,
SUMIFS(rng_out_rx_post_yr5, rng_out_GB_Medispan, R$1, rng_out_sel_sp_ind, $D297, rng_out_sel_excl_ind,"N", rng_out_post_reb_ind_yr5, 0)/[1]Tables!$AT$4),0)</f>
        <v>#VALUE!</v>
      </c>
      <c r="BA297" s="229" t="e">
        <f t="shared" ca="1" si="304"/>
        <v>#VALUE!</v>
      </c>
      <c r="BB297" s="229" t="e">
        <f t="shared" ca="1" si="304"/>
        <v>#VALUE!</v>
      </c>
      <c r="BC297" s="229" t="e">
        <f t="shared" ca="1" si="304"/>
        <v>#VALUE!</v>
      </c>
      <c r="BD297" s="229" t="e">
        <f t="shared" ca="1" si="304"/>
        <v>#VALUE!</v>
      </c>
      <c r="BE297" s="230" t="e">
        <f t="shared" ca="1" si="304"/>
        <v>#VALUE!</v>
      </c>
      <c r="BG297" s="121" t="s">
        <v>17</v>
      </c>
      <c r="BH297" s="231">
        <f t="shared" ca="1" si="305"/>
        <v>0</v>
      </c>
      <c r="BI297" s="232">
        <f t="shared" ca="1" si="305"/>
        <v>0</v>
      </c>
      <c r="BJ297" s="232">
        <f t="shared" ca="1" si="305"/>
        <v>0</v>
      </c>
      <c r="BK297" s="232">
        <f t="shared" ca="1" si="305"/>
        <v>0</v>
      </c>
      <c r="BL297" s="233">
        <f t="shared" ca="1" si="305"/>
        <v>0</v>
      </c>
      <c r="BM297" s="231" t="e">
        <f t="shared" ca="1" si="305"/>
        <v>#VALUE!</v>
      </c>
      <c r="BN297" s="232" t="e">
        <f t="shared" ca="1" si="305"/>
        <v>#VALUE!</v>
      </c>
      <c r="BO297" s="232" t="e">
        <f t="shared" ca="1" si="305"/>
        <v>#VALUE!</v>
      </c>
      <c r="BP297" s="232" t="e">
        <f t="shared" ca="1" si="305"/>
        <v>#VALUE!</v>
      </c>
      <c r="BQ297" s="233" t="e">
        <f t="shared" ca="1" si="305"/>
        <v>#VALUE!</v>
      </c>
      <c r="BR297" s="232" t="e">
        <f t="shared" ca="1" si="306"/>
        <v>#VALUE!</v>
      </c>
      <c r="BS297" s="232" t="e">
        <f t="shared" ca="1" si="306"/>
        <v>#VALUE!</v>
      </c>
      <c r="BT297" s="232" t="e">
        <f t="shared" ca="1" si="306"/>
        <v>#VALUE!</v>
      </c>
      <c r="BU297" s="232" t="e">
        <f t="shared" ca="1" si="306"/>
        <v>#VALUE!</v>
      </c>
      <c r="BV297" s="233" t="e">
        <f t="shared" ca="1" si="306"/>
        <v>#VALUE!</v>
      </c>
      <c r="BX297" s="121" t="s">
        <v>17</v>
      </c>
      <c r="BY297" s="231" t="e">
        <f t="shared" ca="1" si="307"/>
        <v>#VALUE!</v>
      </c>
      <c r="BZ297" s="232" t="e">
        <f t="shared" ca="1" si="307"/>
        <v>#VALUE!</v>
      </c>
      <c r="CA297" s="232" t="e">
        <f t="shared" ca="1" si="307"/>
        <v>#VALUE!</v>
      </c>
      <c r="CB297" s="232" t="e">
        <f t="shared" ca="1" si="307"/>
        <v>#VALUE!</v>
      </c>
      <c r="CC297" s="233" t="e">
        <f t="shared" ca="1" si="307"/>
        <v>#VALUE!</v>
      </c>
      <c r="CD297" s="231" t="e">
        <f t="shared" ca="1" si="308"/>
        <v>#VALUE!</v>
      </c>
      <c r="CE297" s="232" t="e">
        <f t="shared" ca="1" si="308"/>
        <v>#VALUE!</v>
      </c>
      <c r="CF297" s="232" t="e">
        <f t="shared" ca="1" si="308"/>
        <v>#VALUE!</v>
      </c>
      <c r="CG297" s="232" t="e">
        <f t="shared" ca="1" si="308"/>
        <v>#VALUE!</v>
      </c>
      <c r="CH297" s="233" t="e">
        <f t="shared" ca="1" si="308"/>
        <v>#VALUE!</v>
      </c>
      <c r="CI297" s="232" t="e">
        <f t="shared" ca="1" si="309"/>
        <v>#VALUE!</v>
      </c>
      <c r="CJ297" s="232" t="e">
        <f t="shared" ca="1" si="309"/>
        <v>#VALUE!</v>
      </c>
      <c r="CK297" s="232" t="e">
        <f t="shared" ca="1" si="309"/>
        <v>#VALUE!</v>
      </c>
      <c r="CL297" s="232" t="e">
        <f t="shared" ca="1" si="309"/>
        <v>#VALUE!</v>
      </c>
      <c r="CM297" s="233" t="e">
        <f t="shared" ca="1" si="309"/>
        <v>#VALUE!</v>
      </c>
      <c r="CO297" s="231" cm="1">
        <f t="array" aca="1" ref="CO297" ca="1">_xlfn.SINGLE(IFERROR(SUMIFS(rng_out_rx_base, rng_out_GB_Medispan, "G",rng_out_sel_sp_ind, $D297, rng_out_sel_excl_ind,$E297)/[1]Tables!$AT$4, 0))</f>
        <v>0</v>
      </c>
      <c r="CP297" s="233" cm="1">
        <f t="array" aca="1" ref="CP297" ca="1">_xlfn.SINGLE(IFERROR(SUMIFS(rng_out_rx_base, rng_out_GB_Medispan, "B",rng_out_sel_sp_ind, $D297, rng_out_sel_excl_ind,$E297)/[1]Tables!$AT$4, 0))</f>
        <v>0</v>
      </c>
      <c r="CQ297" s="234">
        <f ca="1">SUM(CO297:CP297)</f>
        <v>0</v>
      </c>
      <c r="CR297" s="231" cm="1">
        <f t="array" aca="1" ref="CR297" ca="1">_xlfn.SINGLE(IFERROR(SUMIFS(rng_out_qty_base, rng_out_GB_Medispan, "G", rng_out_sel_sp_ind, $D297, rng_out_sel_excl_ind,$E297)/[1]Tables!$AT$4, 0))</f>
        <v>0</v>
      </c>
      <c r="CS297" s="232" cm="1">
        <f t="array" aca="1" ref="CS297" ca="1">_xlfn.SINGLE(IFERROR(SUMIFS(rng_out_qty_base, rng_out_GB_Medispan, "B", rng_out_sel_sp_ind, $D297, rng_out_sel_excl_ind,$E297)/[1]Tables!$AT$4, 0))</f>
        <v>0</v>
      </c>
      <c r="CT297" s="235">
        <f ca="1">SUM(CR297:CS297)</f>
        <v>0</v>
      </c>
      <c r="CU297" s="231" cm="1">
        <f t="array" aca="1" ref="CU297" ca="1">_xlfn.SINGLE(IFERROR(SUMIFS(rng_out_ds_base, rng_out_GB_Medispan, "G", rng_out_sel_sp_ind, $D297, rng_out_sel_excl_ind,$E297)/[1]Tables!$AT$4, 0))</f>
        <v>0</v>
      </c>
      <c r="CV297" s="233" cm="1">
        <f t="array" aca="1" ref="CV297" ca="1">_xlfn.SINGLE(IFERROR(SUMIFS(rng_out_ds_base, rng_out_GB_Medispan, "B", rng_out_sel_sp_ind, $D297, rng_out_sel_excl_ind,$E297)/[1]Tables!$AT$4, 0))</f>
        <v>0</v>
      </c>
      <c r="CW297" s="234">
        <f ca="1">SUM(CU297:CV297)</f>
        <v>0</v>
      </c>
      <c r="DC297" s="231" t="e">
        <f t="shared" ca="1" si="310"/>
        <v>#VALUE!</v>
      </c>
      <c r="DD297" s="232" t="e">
        <f t="shared" ca="1" si="310"/>
        <v>#VALUE!</v>
      </c>
      <c r="DE297" s="232" t="e">
        <f t="shared" ca="1" si="310"/>
        <v>#VALUE!</v>
      </c>
      <c r="DF297" s="232" t="e">
        <f t="shared" ca="1" si="310"/>
        <v>#VALUE!</v>
      </c>
      <c r="DG297" s="233" t="e">
        <f t="shared" ca="1" si="310"/>
        <v>#VALUE!</v>
      </c>
    </row>
    <row r="298" spans="2:111" ht="15" thickBot="1" x14ac:dyDescent="0.4">
      <c r="B298" s="106"/>
      <c r="C298" s="236"/>
      <c r="D298" s="236" t="s">
        <v>29</v>
      </c>
      <c r="E298" s="237" t="str">
        <f>IF(sel_excl_nonRebatable=1, "Y", "N")</f>
        <v>N</v>
      </c>
      <c r="G298" s="106"/>
      <c r="H298" s="154" t="s">
        <v>18</v>
      </c>
      <c r="I298" s="238" t="e">
        <f t="shared" ref="I298:W298" ca="1" si="311">SUM(I294:I297)</f>
        <v>#VALUE!</v>
      </c>
      <c r="J298" s="238" t="e">
        <f t="shared" ca="1" si="311"/>
        <v>#VALUE!</v>
      </c>
      <c r="K298" s="238" t="e">
        <f t="shared" ca="1" si="311"/>
        <v>#VALUE!</v>
      </c>
      <c r="L298" s="238" t="e">
        <f t="shared" ca="1" si="311"/>
        <v>#VALUE!</v>
      </c>
      <c r="M298" s="239" t="e">
        <f t="shared" ca="1" si="311"/>
        <v>#VALUE!</v>
      </c>
      <c r="N298" s="238" t="e">
        <f t="shared" ca="1" si="311"/>
        <v>#VALUE!</v>
      </c>
      <c r="O298" s="238" t="e">
        <f t="shared" ca="1" si="311"/>
        <v>#VALUE!</v>
      </c>
      <c r="P298" s="238" t="e">
        <f t="shared" ca="1" si="311"/>
        <v>#VALUE!</v>
      </c>
      <c r="Q298" s="238" t="e">
        <f t="shared" ca="1" si="311"/>
        <v>#VALUE!</v>
      </c>
      <c r="R298" s="239" t="e">
        <f t="shared" ca="1" si="311"/>
        <v>#VALUE!</v>
      </c>
      <c r="S298" s="238" t="e">
        <f t="shared" ca="1" si="311"/>
        <v>#VALUE!</v>
      </c>
      <c r="T298" s="238" t="e">
        <f t="shared" ca="1" si="311"/>
        <v>#VALUE!</v>
      </c>
      <c r="U298" s="238" t="e">
        <f t="shared" ca="1" si="311"/>
        <v>#VALUE!</v>
      </c>
      <c r="V298" s="238" t="e">
        <f t="shared" ca="1" si="311"/>
        <v>#VALUE!</v>
      </c>
      <c r="W298" s="239" t="e">
        <f t="shared" ca="1" si="311"/>
        <v>#VALUE!</v>
      </c>
      <c r="Y298" s="159" t="s">
        <v>18</v>
      </c>
      <c r="Z298" s="240">
        <f t="shared" ref="Z298:AN298" ca="1" si="312">SUM(Z294:Z297)</f>
        <v>0</v>
      </c>
      <c r="AA298" s="241">
        <f t="shared" ca="1" si="312"/>
        <v>0</v>
      </c>
      <c r="AB298" s="241">
        <f t="shared" ca="1" si="312"/>
        <v>0</v>
      </c>
      <c r="AC298" s="241">
        <f t="shared" ca="1" si="312"/>
        <v>0</v>
      </c>
      <c r="AD298" s="242">
        <f t="shared" ca="1" si="312"/>
        <v>0</v>
      </c>
      <c r="AE298" s="240">
        <f t="shared" ca="1" si="312"/>
        <v>0</v>
      </c>
      <c r="AF298" s="241">
        <f t="shared" ca="1" si="312"/>
        <v>0</v>
      </c>
      <c r="AG298" s="241">
        <f t="shared" ca="1" si="312"/>
        <v>0</v>
      </c>
      <c r="AH298" s="241">
        <f t="shared" ca="1" si="312"/>
        <v>0</v>
      </c>
      <c r="AI298" s="242">
        <f t="shared" ca="1" si="312"/>
        <v>0</v>
      </c>
      <c r="AJ298" s="241">
        <f t="shared" ca="1" si="312"/>
        <v>0</v>
      </c>
      <c r="AK298" s="241">
        <f t="shared" ca="1" si="312"/>
        <v>0</v>
      </c>
      <c r="AL298" s="241">
        <f t="shared" ca="1" si="312"/>
        <v>0</v>
      </c>
      <c r="AM298" s="241">
        <f t="shared" ca="1" si="312"/>
        <v>0</v>
      </c>
      <c r="AN298" s="242">
        <f t="shared" ca="1" si="312"/>
        <v>0</v>
      </c>
      <c r="AP298" s="166" t="s">
        <v>18</v>
      </c>
      <c r="AQ298" s="226">
        <f t="shared" ref="AQ298:BE298" ca="1" si="313">SUM(AQ294:AQ297)</f>
        <v>0</v>
      </c>
      <c r="AR298" s="227">
        <f t="shared" ca="1" si="313"/>
        <v>0</v>
      </c>
      <c r="AS298" s="227">
        <f t="shared" ca="1" si="313"/>
        <v>0</v>
      </c>
      <c r="AT298" s="227">
        <f t="shared" ca="1" si="313"/>
        <v>0</v>
      </c>
      <c r="AU298" s="228">
        <f t="shared" ca="1" si="313"/>
        <v>0</v>
      </c>
      <c r="AV298" s="226" t="e">
        <f t="shared" ca="1" si="313"/>
        <v>#VALUE!</v>
      </c>
      <c r="AW298" s="227" t="e">
        <f t="shared" ca="1" si="313"/>
        <v>#VALUE!</v>
      </c>
      <c r="AX298" s="227" t="e">
        <f t="shared" ca="1" si="313"/>
        <v>#VALUE!</v>
      </c>
      <c r="AY298" s="227" t="e">
        <f t="shared" ca="1" si="313"/>
        <v>#VALUE!</v>
      </c>
      <c r="AZ298" s="228" t="e">
        <f t="shared" ca="1" si="313"/>
        <v>#VALUE!</v>
      </c>
      <c r="BA298" s="227" t="e">
        <f t="shared" ca="1" si="313"/>
        <v>#VALUE!</v>
      </c>
      <c r="BB298" s="227" t="e">
        <f t="shared" ca="1" si="313"/>
        <v>#VALUE!</v>
      </c>
      <c r="BC298" s="227" t="e">
        <f t="shared" ca="1" si="313"/>
        <v>#VALUE!</v>
      </c>
      <c r="BD298" s="227" t="e">
        <f t="shared" ca="1" si="313"/>
        <v>#VALUE!</v>
      </c>
      <c r="BE298" s="228" t="e">
        <f t="shared" ca="1" si="313"/>
        <v>#VALUE!</v>
      </c>
      <c r="BG298" s="171" t="s">
        <v>18</v>
      </c>
      <c r="BH298" s="244">
        <f t="shared" ref="BH298:BV298" ca="1" si="314">SUM(BH294:BH297)</f>
        <v>0</v>
      </c>
      <c r="BI298" s="245">
        <f t="shared" ca="1" si="314"/>
        <v>0</v>
      </c>
      <c r="BJ298" s="245">
        <f t="shared" ca="1" si="314"/>
        <v>0</v>
      </c>
      <c r="BK298" s="245">
        <f t="shared" ca="1" si="314"/>
        <v>0</v>
      </c>
      <c r="BL298" s="234">
        <f t="shared" ca="1" si="314"/>
        <v>0</v>
      </c>
      <c r="BM298" s="244" t="e">
        <f t="shared" ca="1" si="314"/>
        <v>#VALUE!</v>
      </c>
      <c r="BN298" s="245" t="e">
        <f t="shared" ca="1" si="314"/>
        <v>#VALUE!</v>
      </c>
      <c r="BO298" s="245" t="e">
        <f t="shared" ca="1" si="314"/>
        <v>#VALUE!</v>
      </c>
      <c r="BP298" s="245" t="e">
        <f t="shared" ca="1" si="314"/>
        <v>#VALUE!</v>
      </c>
      <c r="BQ298" s="234" t="e">
        <f t="shared" ca="1" si="314"/>
        <v>#VALUE!</v>
      </c>
      <c r="BR298" s="245" t="e">
        <f t="shared" ca="1" si="314"/>
        <v>#VALUE!</v>
      </c>
      <c r="BS298" s="245" t="e">
        <f t="shared" ca="1" si="314"/>
        <v>#VALUE!</v>
      </c>
      <c r="BT298" s="245" t="e">
        <f t="shared" ca="1" si="314"/>
        <v>#VALUE!</v>
      </c>
      <c r="BU298" s="245" t="e">
        <f t="shared" ca="1" si="314"/>
        <v>#VALUE!</v>
      </c>
      <c r="BV298" s="234" t="e">
        <f t="shared" ca="1" si="314"/>
        <v>#VALUE!</v>
      </c>
      <c r="BX298" s="171" t="s">
        <v>18</v>
      </c>
      <c r="BY298" s="244" t="e">
        <f t="shared" ref="BY298:CM298" ca="1" si="315">SUM(BY294:BY297)</f>
        <v>#VALUE!</v>
      </c>
      <c r="BZ298" s="245" t="e">
        <f t="shared" ca="1" si="315"/>
        <v>#VALUE!</v>
      </c>
      <c r="CA298" s="245" t="e">
        <f t="shared" ca="1" si="315"/>
        <v>#VALUE!</v>
      </c>
      <c r="CB298" s="245" t="e">
        <f t="shared" ca="1" si="315"/>
        <v>#VALUE!</v>
      </c>
      <c r="CC298" s="234" t="e">
        <f t="shared" ca="1" si="315"/>
        <v>#VALUE!</v>
      </c>
      <c r="CD298" s="244" t="e">
        <f t="shared" ca="1" si="315"/>
        <v>#VALUE!</v>
      </c>
      <c r="CE298" s="245" t="e">
        <f t="shared" ca="1" si="315"/>
        <v>#VALUE!</v>
      </c>
      <c r="CF298" s="245" t="e">
        <f t="shared" ca="1" si="315"/>
        <v>#VALUE!</v>
      </c>
      <c r="CG298" s="245" t="e">
        <f t="shared" ca="1" si="315"/>
        <v>#VALUE!</v>
      </c>
      <c r="CH298" s="234" t="e">
        <f t="shared" ca="1" si="315"/>
        <v>#VALUE!</v>
      </c>
      <c r="CI298" s="245" t="e">
        <f t="shared" ca="1" si="315"/>
        <v>#VALUE!</v>
      </c>
      <c r="CJ298" s="245" t="e">
        <f t="shared" ca="1" si="315"/>
        <v>#VALUE!</v>
      </c>
      <c r="CK298" s="245" t="e">
        <f t="shared" ca="1" si="315"/>
        <v>#VALUE!</v>
      </c>
      <c r="CL298" s="245" t="e">
        <f t="shared" ca="1" si="315"/>
        <v>#VALUE!</v>
      </c>
      <c r="CM298" s="234" t="e">
        <f t="shared" ca="1" si="315"/>
        <v>#VALUE!</v>
      </c>
      <c r="CO298" s="246">
        <f t="shared" ref="CO298:CW298" ca="1" si="316">SUM(CO294:CO297)</f>
        <v>0</v>
      </c>
      <c r="CP298" s="247">
        <f t="shared" ca="1" si="316"/>
        <v>0</v>
      </c>
      <c r="CQ298" s="247">
        <f t="shared" ca="1" si="316"/>
        <v>0</v>
      </c>
      <c r="CR298" s="246">
        <f t="shared" ca="1" si="316"/>
        <v>0</v>
      </c>
      <c r="CS298" s="248">
        <f t="shared" ca="1" si="316"/>
        <v>0</v>
      </c>
      <c r="CT298" s="249">
        <f t="shared" ca="1" si="316"/>
        <v>0</v>
      </c>
      <c r="CU298" s="246">
        <f t="shared" ca="1" si="316"/>
        <v>0</v>
      </c>
      <c r="CV298" s="247">
        <f t="shared" ca="1" si="316"/>
        <v>0</v>
      </c>
      <c r="CW298" s="247">
        <f t="shared" ca="1" si="316"/>
        <v>0</v>
      </c>
      <c r="DC298" s="231" t="e">
        <f ca="1">SUM(DC294:DC297)</f>
        <v>#VALUE!</v>
      </c>
      <c r="DD298" s="232" t="e">
        <f ca="1">SUM(DD294:DD297)</f>
        <v>#VALUE!</v>
      </c>
      <c r="DE298" s="232" t="e">
        <f ca="1">SUM(DE294:DE297)</f>
        <v>#VALUE!</v>
      </c>
      <c r="DF298" s="232" t="e">
        <f ca="1">SUM(DF294:DF297)</f>
        <v>#VALUE!</v>
      </c>
      <c r="DG298" s="233" t="e">
        <f ca="1">SUM(DG294:DG297)</f>
        <v>#VALUE!</v>
      </c>
    </row>
    <row r="299" spans="2:111" ht="15" thickBot="1" x14ac:dyDescent="0.4">
      <c r="J299" s="250"/>
      <c r="K299" s="250"/>
      <c r="L299" s="250"/>
      <c r="M299" s="250"/>
      <c r="N299" s="250"/>
      <c r="O299" s="250"/>
      <c r="P299" s="250"/>
      <c r="Q299" s="250"/>
      <c r="R299" s="250"/>
      <c r="S299" s="250"/>
      <c r="T299" s="251"/>
      <c r="U299" s="251"/>
      <c r="V299" s="251"/>
      <c r="W299" s="251"/>
      <c r="CO299" s="252"/>
      <c r="CP299" s="252"/>
      <c r="CQ299" s="252"/>
      <c r="CR299" s="252"/>
      <c r="CS299" s="252"/>
      <c r="CT299" s="252"/>
      <c r="CU299" s="252"/>
      <c r="CV299" s="252"/>
      <c r="CW299" s="252"/>
    </row>
    <row r="300" spans="2:111" ht="15" thickBot="1" x14ac:dyDescent="0.4">
      <c r="I300" s="21" t="s">
        <v>74</v>
      </c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3"/>
      <c r="Z300" s="24" t="s">
        <v>74</v>
      </c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6"/>
      <c r="AQ300" s="27" t="s">
        <v>74</v>
      </c>
      <c r="AR300" s="28"/>
      <c r="AS300" s="28"/>
      <c r="AT300" s="28"/>
      <c r="AU300" s="29"/>
      <c r="AV300" s="28"/>
      <c r="AW300" s="28"/>
      <c r="AX300" s="28"/>
      <c r="AY300" s="28"/>
      <c r="AZ300" s="28"/>
      <c r="BA300" s="28"/>
      <c r="BB300" s="28"/>
      <c r="BC300" s="28"/>
      <c r="BD300" s="28"/>
      <c r="BE300" s="30"/>
      <c r="BH300" s="31" t="s">
        <v>74</v>
      </c>
      <c r="BI300" s="32"/>
      <c r="BJ300" s="32"/>
      <c r="BK300" s="32"/>
      <c r="BL300" s="32"/>
      <c r="BM300" s="32"/>
      <c r="BN300" s="32"/>
      <c r="BO300" s="32"/>
      <c r="BP300" s="32"/>
      <c r="BQ300" s="32"/>
      <c r="BR300" s="32"/>
      <c r="BS300" s="32"/>
      <c r="BT300" s="32"/>
      <c r="BU300" s="32"/>
      <c r="BV300" s="33"/>
      <c r="BY300" s="34" t="s">
        <v>74</v>
      </c>
      <c r="BZ300" s="35"/>
      <c r="CA300" s="35"/>
      <c r="CB300" s="35"/>
      <c r="CC300" s="35"/>
      <c r="CD300" s="35"/>
      <c r="CE300" s="35"/>
      <c r="CF300" s="35"/>
      <c r="CG300" s="35"/>
      <c r="CH300" s="35"/>
      <c r="CI300" s="35"/>
      <c r="CJ300" s="35"/>
      <c r="CK300" s="35"/>
      <c r="CL300" s="35"/>
      <c r="CM300" s="36"/>
    </row>
    <row r="301" spans="2:111" ht="15" thickBot="1" x14ac:dyDescent="0.4">
      <c r="H301" s="37"/>
      <c r="I301" s="38" t="s">
        <v>30</v>
      </c>
      <c r="J301" s="39"/>
      <c r="K301" s="39"/>
      <c r="L301" s="39"/>
      <c r="M301" s="40"/>
      <c r="N301" s="38" t="s">
        <v>31</v>
      </c>
      <c r="O301" s="39"/>
      <c r="P301" s="39"/>
      <c r="Q301" s="39"/>
      <c r="R301" s="40"/>
      <c r="S301" s="38" t="s">
        <v>32</v>
      </c>
      <c r="T301" s="39"/>
      <c r="U301" s="39"/>
      <c r="V301" s="39"/>
      <c r="W301" s="40"/>
      <c r="Z301" s="41" t="s">
        <v>30</v>
      </c>
      <c r="AA301" s="42"/>
      <c r="AB301" s="42"/>
      <c r="AC301" s="42"/>
      <c r="AD301" s="43"/>
      <c r="AE301" s="41" t="s">
        <v>31</v>
      </c>
      <c r="AF301" s="42"/>
      <c r="AG301" s="42"/>
      <c r="AH301" s="42"/>
      <c r="AI301" s="43"/>
      <c r="AJ301" s="41" t="s">
        <v>32</v>
      </c>
      <c r="AK301" s="42"/>
      <c r="AL301" s="42"/>
      <c r="AM301" s="42"/>
      <c r="AN301" s="43"/>
      <c r="AQ301" s="44" t="s">
        <v>30</v>
      </c>
      <c r="AR301" s="45"/>
      <c r="AS301" s="45"/>
      <c r="AT301" s="45"/>
      <c r="AU301" s="46"/>
      <c r="AV301" s="44" t="s">
        <v>31</v>
      </c>
      <c r="AW301" s="45"/>
      <c r="AX301" s="45"/>
      <c r="AY301" s="45"/>
      <c r="AZ301" s="46"/>
      <c r="BA301" s="45" t="s">
        <v>32</v>
      </c>
      <c r="BB301" s="45"/>
      <c r="BC301" s="45"/>
      <c r="BD301" s="45"/>
      <c r="BE301" s="46"/>
      <c r="BH301" s="47" t="s">
        <v>30</v>
      </c>
      <c r="BI301" s="48"/>
      <c r="BJ301" s="48"/>
      <c r="BK301" s="48"/>
      <c r="BL301" s="49"/>
      <c r="BM301" s="47" t="s">
        <v>31</v>
      </c>
      <c r="BN301" s="48"/>
      <c r="BO301" s="48"/>
      <c r="BP301" s="48"/>
      <c r="BQ301" s="49"/>
      <c r="BR301" s="50" t="s">
        <v>32</v>
      </c>
      <c r="BS301" s="50"/>
      <c r="BT301" s="50"/>
      <c r="BU301" s="50"/>
      <c r="BV301" s="51"/>
      <c r="BY301" s="47" t="s">
        <v>30</v>
      </c>
      <c r="BZ301" s="48"/>
      <c r="CA301" s="48"/>
      <c r="CB301" s="48"/>
      <c r="CC301" s="49"/>
      <c r="CD301" s="47" t="s">
        <v>33</v>
      </c>
      <c r="CE301" s="48"/>
      <c r="CF301" s="48"/>
      <c r="CG301" s="48"/>
      <c r="CH301" s="49"/>
      <c r="CI301" s="50" t="s">
        <v>34</v>
      </c>
      <c r="CJ301" s="50"/>
      <c r="CK301" s="50"/>
      <c r="CL301" s="50"/>
      <c r="CM301" s="51"/>
    </row>
    <row r="302" spans="2:111" ht="15" thickBot="1" x14ac:dyDescent="0.4">
      <c r="H302" s="55"/>
      <c r="I302" s="56" t="str">
        <f>[1]Tables!$AA$4</f>
        <v>07/27 - 06/28</v>
      </c>
      <c r="J302" s="55" t="str">
        <f>[1]Tables!$AA$5</f>
        <v>07/28 - 06/29</v>
      </c>
      <c r="K302" s="55" t="str">
        <f>[1]Tables!$AA$6</f>
        <v>07/29 - 06/30</v>
      </c>
      <c r="L302" s="55" t="str">
        <f>[1]Tables!$AA$7</f>
        <v>07/30 - 06/31</v>
      </c>
      <c r="M302" s="57" t="str">
        <f>[1]Tables!$AA$8</f>
        <v>07/31 - 06/32</v>
      </c>
      <c r="N302" s="56" t="str">
        <f>[1]Tables!$AA$4</f>
        <v>07/27 - 06/28</v>
      </c>
      <c r="O302" s="55" t="str">
        <f>[1]Tables!$AA$5</f>
        <v>07/28 - 06/29</v>
      </c>
      <c r="P302" s="55" t="str">
        <f>[1]Tables!$AA$6</f>
        <v>07/29 - 06/30</v>
      </c>
      <c r="Q302" s="55" t="str">
        <f>[1]Tables!$AA$7</f>
        <v>07/30 - 06/31</v>
      </c>
      <c r="R302" s="57" t="str">
        <f>[1]Tables!$AA$8</f>
        <v>07/31 - 06/32</v>
      </c>
      <c r="S302" s="56" t="str">
        <f>[1]Tables!$AA$4</f>
        <v>07/27 - 06/28</v>
      </c>
      <c r="T302" s="55" t="str">
        <f>[1]Tables!$AA$5</f>
        <v>07/28 - 06/29</v>
      </c>
      <c r="U302" s="55" t="str">
        <f>[1]Tables!$AA$6</f>
        <v>07/29 - 06/30</v>
      </c>
      <c r="V302" s="55" t="str">
        <f>[1]Tables!$AA$7</f>
        <v>07/30 - 06/31</v>
      </c>
      <c r="W302" s="57" t="str">
        <f>[1]Tables!$AA$8</f>
        <v>07/31 - 06/32</v>
      </c>
      <c r="Y302" s="58"/>
      <c r="Z302" s="59" t="str">
        <f>[1]Tables!$AA$4</f>
        <v>07/27 - 06/28</v>
      </c>
      <c r="AA302" s="60" t="str">
        <f>[1]Tables!$AA$5</f>
        <v>07/28 - 06/29</v>
      </c>
      <c r="AB302" s="60" t="str">
        <f>[1]Tables!$AA$6</f>
        <v>07/29 - 06/30</v>
      </c>
      <c r="AC302" s="60" t="str">
        <f>[1]Tables!$AA$7</f>
        <v>07/30 - 06/31</v>
      </c>
      <c r="AD302" s="61" t="str">
        <f>[1]Tables!$AA$8</f>
        <v>07/31 - 06/32</v>
      </c>
      <c r="AE302" s="59" t="str">
        <f>[1]Tables!$AA$4</f>
        <v>07/27 - 06/28</v>
      </c>
      <c r="AF302" s="60" t="str">
        <f>[1]Tables!$AA$5</f>
        <v>07/28 - 06/29</v>
      </c>
      <c r="AG302" s="60" t="str">
        <f>[1]Tables!$AA$6</f>
        <v>07/29 - 06/30</v>
      </c>
      <c r="AH302" s="60" t="str">
        <f>[1]Tables!$AA$7</f>
        <v>07/30 - 06/31</v>
      </c>
      <c r="AI302" s="61" t="str">
        <f>[1]Tables!$AA$8</f>
        <v>07/31 - 06/32</v>
      </c>
      <c r="AJ302" s="59" t="str">
        <f>[1]Tables!$AA$4</f>
        <v>07/27 - 06/28</v>
      </c>
      <c r="AK302" s="60" t="str">
        <f>[1]Tables!$AA$5</f>
        <v>07/28 - 06/29</v>
      </c>
      <c r="AL302" s="60" t="str">
        <f>[1]Tables!$AA$6</f>
        <v>07/29 - 06/30</v>
      </c>
      <c r="AM302" s="60" t="str">
        <f>[1]Tables!$AA$7</f>
        <v>07/30 - 06/31</v>
      </c>
      <c r="AN302" s="61" t="str">
        <f>[1]Tables!$AA$8</f>
        <v>07/31 - 06/32</v>
      </c>
      <c r="AP302" s="58"/>
      <c r="AQ302" s="62" t="str">
        <f>[1]Tables!$AA$4</f>
        <v>07/27 - 06/28</v>
      </c>
      <c r="AR302" s="63" t="str">
        <f>[1]Tables!$AA$5</f>
        <v>07/28 - 06/29</v>
      </c>
      <c r="AS302" s="63" t="str">
        <f>[1]Tables!$AA$6</f>
        <v>07/29 - 06/30</v>
      </c>
      <c r="AT302" s="63" t="str">
        <f>[1]Tables!$AA$7</f>
        <v>07/30 - 06/31</v>
      </c>
      <c r="AU302" s="64" t="str">
        <f>[1]Tables!$AA$8</f>
        <v>07/31 - 06/32</v>
      </c>
      <c r="AV302" s="62" t="str">
        <f>[1]Tables!$AA$4</f>
        <v>07/27 - 06/28</v>
      </c>
      <c r="AW302" s="63" t="str">
        <f>[1]Tables!$AA$5</f>
        <v>07/28 - 06/29</v>
      </c>
      <c r="AX302" s="63" t="str">
        <f>[1]Tables!$AA$6</f>
        <v>07/29 - 06/30</v>
      </c>
      <c r="AY302" s="63" t="str">
        <f>[1]Tables!$AA$7</f>
        <v>07/30 - 06/31</v>
      </c>
      <c r="AZ302" s="64" t="str">
        <f>[1]Tables!$AA$8</f>
        <v>07/31 - 06/32</v>
      </c>
      <c r="BA302" s="63" t="str">
        <f>[1]Tables!$AA$4</f>
        <v>07/27 - 06/28</v>
      </c>
      <c r="BB302" s="63" t="str">
        <f>[1]Tables!$AA$5</f>
        <v>07/28 - 06/29</v>
      </c>
      <c r="BC302" s="63" t="str">
        <f>[1]Tables!$AA$6</f>
        <v>07/29 - 06/30</v>
      </c>
      <c r="BD302" s="63" t="str">
        <f>[1]Tables!$AA$7</f>
        <v>07/30 - 06/31</v>
      </c>
      <c r="BE302" s="64" t="str">
        <f>[1]Tables!$AA$8</f>
        <v>07/31 - 06/32</v>
      </c>
      <c r="BG302" s="58"/>
      <c r="BH302" s="65" t="str">
        <f>[1]Tables!$AA$4</f>
        <v>07/27 - 06/28</v>
      </c>
      <c r="BI302" s="66" t="str">
        <f>[1]Tables!$AA$5</f>
        <v>07/28 - 06/29</v>
      </c>
      <c r="BJ302" s="66" t="str">
        <f>[1]Tables!$AA$6</f>
        <v>07/29 - 06/30</v>
      </c>
      <c r="BK302" s="66" t="str">
        <f>[1]Tables!$AA$7</f>
        <v>07/30 - 06/31</v>
      </c>
      <c r="BL302" s="67" t="str">
        <f>[1]Tables!$AA$8</f>
        <v>07/31 - 06/32</v>
      </c>
      <c r="BM302" s="65" t="str">
        <f>[1]Tables!$AA$4</f>
        <v>07/27 - 06/28</v>
      </c>
      <c r="BN302" s="66" t="str">
        <f>[1]Tables!$AA$5</f>
        <v>07/28 - 06/29</v>
      </c>
      <c r="BO302" s="66" t="str">
        <f>[1]Tables!$AA$6</f>
        <v>07/29 - 06/30</v>
      </c>
      <c r="BP302" s="66" t="str">
        <f>[1]Tables!$AA$7</f>
        <v>07/30 - 06/31</v>
      </c>
      <c r="BQ302" s="67" t="str">
        <f>[1]Tables!$AA$8</f>
        <v>07/31 - 06/32</v>
      </c>
      <c r="BR302" s="66" t="str">
        <f>[1]Tables!$AA$4</f>
        <v>07/27 - 06/28</v>
      </c>
      <c r="BS302" s="66" t="str">
        <f>[1]Tables!$AA$5</f>
        <v>07/28 - 06/29</v>
      </c>
      <c r="BT302" s="66" t="str">
        <f>[1]Tables!$AA$6</f>
        <v>07/29 - 06/30</v>
      </c>
      <c r="BU302" s="66" t="str">
        <f>[1]Tables!$AA$7</f>
        <v>07/30 - 06/31</v>
      </c>
      <c r="BV302" s="67" t="str">
        <f>[1]Tables!$AA$8</f>
        <v>07/31 - 06/32</v>
      </c>
      <c r="BX302" s="58"/>
      <c r="BY302" s="65" t="str">
        <f>[1]Tables!$AA$4</f>
        <v>07/27 - 06/28</v>
      </c>
      <c r="BZ302" s="66" t="str">
        <f>[1]Tables!$AA$5</f>
        <v>07/28 - 06/29</v>
      </c>
      <c r="CA302" s="66" t="str">
        <f>[1]Tables!$AA$6</f>
        <v>07/29 - 06/30</v>
      </c>
      <c r="CB302" s="66" t="str">
        <f>[1]Tables!$AA$7</f>
        <v>07/30 - 06/31</v>
      </c>
      <c r="CC302" s="67" t="str">
        <f>[1]Tables!$AA$8</f>
        <v>07/31 - 06/32</v>
      </c>
      <c r="CD302" s="65" t="str">
        <f>[1]Tables!$AA$4</f>
        <v>07/27 - 06/28</v>
      </c>
      <c r="CE302" s="66" t="str">
        <f>[1]Tables!$AA$5</f>
        <v>07/28 - 06/29</v>
      </c>
      <c r="CF302" s="66" t="str">
        <f>[1]Tables!$AA$6</f>
        <v>07/29 - 06/30</v>
      </c>
      <c r="CG302" s="66" t="str">
        <f>[1]Tables!$AA$7</f>
        <v>07/30 - 06/31</v>
      </c>
      <c r="CH302" s="67" t="str">
        <f>[1]Tables!$AA$8</f>
        <v>07/31 - 06/32</v>
      </c>
      <c r="CI302" s="66" t="str">
        <f>[1]Tables!$AA$4</f>
        <v>07/27 - 06/28</v>
      </c>
      <c r="CJ302" s="66" t="str">
        <f>[1]Tables!$AA$5</f>
        <v>07/28 - 06/29</v>
      </c>
      <c r="CK302" s="66" t="str">
        <f>[1]Tables!$AA$6</f>
        <v>07/29 - 06/30</v>
      </c>
      <c r="CL302" s="66" t="str">
        <f>[1]Tables!$AA$7</f>
        <v>07/30 - 06/31</v>
      </c>
      <c r="CM302" s="67" t="str">
        <f>[1]Tables!$AA$8</f>
        <v>07/31 - 06/32</v>
      </c>
    </row>
    <row r="303" spans="2:111" x14ac:dyDescent="0.35">
      <c r="B303" s="68" t="s">
        <v>11</v>
      </c>
      <c r="C303" s="69">
        <v>30</v>
      </c>
      <c r="D303" s="69" t="s">
        <v>12</v>
      </c>
      <c r="E303" s="70" t="s">
        <v>13</v>
      </c>
      <c r="F303" s="106">
        <v>1</v>
      </c>
      <c r="H303" s="71" t="s">
        <v>14</v>
      </c>
      <c r="I303" s="253">
        <f ca="1">MIN([1]Tables!$AV$4*[1]Tables!$AX$4, N312)</f>
        <v>0</v>
      </c>
      <c r="J303" s="254">
        <f ca="1">MIN([1]Tables!$AV$4+I303, O312)</f>
        <v>0</v>
      </c>
      <c r="K303" s="254">
        <f ca="1">MIN([1]Tables!$AV$4+J303, P312)</f>
        <v>0</v>
      </c>
      <c r="L303" s="254">
        <f ca="1">MIN([1]Tables!$AV$4+K303, Q312)</f>
        <v>0</v>
      </c>
      <c r="M303" s="255">
        <f ca="1">MIN([1]Tables!$AV$4+L303, R312)</f>
        <v>0</v>
      </c>
      <c r="N303" s="205" t="e">
        <f t="shared" ref="N303:R306" ca="1" si="317">I303*S294</f>
        <v>#VALUE!</v>
      </c>
      <c r="O303" s="206" t="e">
        <f t="shared" ca="1" si="317"/>
        <v>#VALUE!</v>
      </c>
      <c r="P303" s="206" t="e">
        <f t="shared" ca="1" si="317"/>
        <v>#VALUE!</v>
      </c>
      <c r="Q303" s="206" t="e">
        <f t="shared" ca="1" si="317"/>
        <v>#VALUE!</v>
      </c>
      <c r="R303" s="207" t="e">
        <f t="shared" ca="1" si="317"/>
        <v>#VALUE!</v>
      </c>
      <c r="S303" s="205" t="e">
        <f t="shared" ref="S303:W306" ca="1" si="318">N303+N294</f>
        <v>#VALUE!</v>
      </c>
      <c r="T303" s="206" t="e">
        <f t="shared" ca="1" si="318"/>
        <v>#VALUE!</v>
      </c>
      <c r="U303" s="206" t="e">
        <f t="shared" ca="1" si="318"/>
        <v>#VALUE!</v>
      </c>
      <c r="V303" s="206" t="e">
        <f t="shared" ca="1" si="318"/>
        <v>#VALUE!</v>
      </c>
      <c r="W303" s="207" t="e">
        <f t="shared" ca="1" si="318"/>
        <v>#VALUE!</v>
      </c>
      <c r="Y303" s="77" t="s">
        <v>14</v>
      </c>
      <c r="Z303" s="256">
        <f t="shared" ref="Z303:AD306" ca="1" si="319">I303</f>
        <v>0</v>
      </c>
      <c r="AA303" s="254">
        <f t="shared" ca="1" si="319"/>
        <v>0</v>
      </c>
      <c r="AB303" s="254">
        <f t="shared" ca="1" si="319"/>
        <v>0</v>
      </c>
      <c r="AC303" s="254">
        <f t="shared" ca="1" si="319"/>
        <v>0</v>
      </c>
      <c r="AD303" s="257">
        <f t="shared" ca="1" si="319"/>
        <v>0</v>
      </c>
      <c r="AE303" s="208">
        <f t="shared" ref="AE303:AI306" ca="1" si="320">Z303*AJ294</f>
        <v>0</v>
      </c>
      <c r="AF303" s="206">
        <f t="shared" ca="1" si="320"/>
        <v>0</v>
      </c>
      <c r="AG303" s="206">
        <f t="shared" ca="1" si="320"/>
        <v>0</v>
      </c>
      <c r="AH303" s="206">
        <f t="shared" ca="1" si="320"/>
        <v>0</v>
      </c>
      <c r="AI303" s="209">
        <f t="shared" ca="1" si="320"/>
        <v>0</v>
      </c>
      <c r="AJ303" s="208">
        <f t="shared" ref="AJ303:AN306" ca="1" si="321">AE303+AE294</f>
        <v>0</v>
      </c>
      <c r="AK303" s="206">
        <f t="shared" ca="1" si="321"/>
        <v>0</v>
      </c>
      <c r="AL303" s="206">
        <f t="shared" ca="1" si="321"/>
        <v>0</v>
      </c>
      <c r="AM303" s="206">
        <f t="shared" ca="1" si="321"/>
        <v>0</v>
      </c>
      <c r="AN303" s="209">
        <f t="shared" ca="1" si="321"/>
        <v>0</v>
      </c>
      <c r="AP303" s="83" t="s">
        <v>14</v>
      </c>
      <c r="AQ303" s="258">
        <f t="shared" ref="AQ303:AU306" ca="1" si="322">MIN(I303, AV312)</f>
        <v>0</v>
      </c>
      <c r="AR303" s="254">
        <f t="shared" ca="1" si="322"/>
        <v>0</v>
      </c>
      <c r="AS303" s="254">
        <f t="shared" ca="1" si="322"/>
        <v>0</v>
      </c>
      <c r="AT303" s="254">
        <f t="shared" ca="1" si="322"/>
        <v>0</v>
      </c>
      <c r="AU303" s="259">
        <f t="shared" ca="1" si="322"/>
        <v>0</v>
      </c>
      <c r="AV303" s="260" t="e">
        <f t="shared" ref="AV303:AZ306" ca="1" si="323">AQ303*BA294</f>
        <v>#VALUE!</v>
      </c>
      <c r="AW303" s="206" t="e">
        <f t="shared" ca="1" si="323"/>
        <v>#VALUE!</v>
      </c>
      <c r="AX303" s="206" t="e">
        <f t="shared" ca="1" si="323"/>
        <v>#VALUE!</v>
      </c>
      <c r="AY303" s="206" t="e">
        <f t="shared" ca="1" si="323"/>
        <v>#VALUE!</v>
      </c>
      <c r="AZ303" s="212" t="e">
        <f t="shared" ca="1" si="323"/>
        <v>#VALUE!</v>
      </c>
      <c r="BA303" s="206" t="e">
        <f t="shared" ref="BA303:BE306" ca="1" si="324">AV303+AV294</f>
        <v>#VALUE!</v>
      </c>
      <c r="BB303" s="206" t="e">
        <f t="shared" ca="1" si="324"/>
        <v>#VALUE!</v>
      </c>
      <c r="BC303" s="206" t="e">
        <f t="shared" ca="1" si="324"/>
        <v>#VALUE!</v>
      </c>
      <c r="BD303" s="206" t="e">
        <f t="shared" ca="1" si="324"/>
        <v>#VALUE!</v>
      </c>
      <c r="BE303" s="212" t="e">
        <f t="shared" ca="1" si="324"/>
        <v>#VALUE!</v>
      </c>
      <c r="BG303" s="88" t="s">
        <v>14</v>
      </c>
      <c r="BH303" s="261">
        <f t="shared" ref="BH303:BL306" ca="1" si="325">AQ303</f>
        <v>0</v>
      </c>
      <c r="BI303" s="254">
        <f t="shared" ca="1" si="325"/>
        <v>0</v>
      </c>
      <c r="BJ303" s="254">
        <f t="shared" ca="1" si="325"/>
        <v>0</v>
      </c>
      <c r="BK303" s="254">
        <f t="shared" ca="1" si="325"/>
        <v>0</v>
      </c>
      <c r="BL303" s="262">
        <f t="shared" ca="1" si="325"/>
        <v>0</v>
      </c>
      <c r="BM303" s="213" t="e">
        <f t="shared" ref="BM303:BQ306" ca="1" si="326">BH303*BR294</f>
        <v>#VALUE!</v>
      </c>
      <c r="BN303" s="206" t="e">
        <f t="shared" ca="1" si="326"/>
        <v>#VALUE!</v>
      </c>
      <c r="BO303" s="206" t="e">
        <f t="shared" ca="1" si="326"/>
        <v>#VALUE!</v>
      </c>
      <c r="BP303" s="206" t="e">
        <f t="shared" ca="1" si="326"/>
        <v>#VALUE!</v>
      </c>
      <c r="BQ303" s="214" t="e">
        <f t="shared" ca="1" si="326"/>
        <v>#VALUE!</v>
      </c>
      <c r="BR303" s="215" t="e">
        <f t="shared" ref="BR303:BV306" ca="1" si="327">BM303+BM294</f>
        <v>#VALUE!</v>
      </c>
      <c r="BS303" s="216" t="e">
        <f t="shared" ca="1" si="327"/>
        <v>#VALUE!</v>
      </c>
      <c r="BT303" s="216" t="e">
        <f t="shared" ca="1" si="327"/>
        <v>#VALUE!</v>
      </c>
      <c r="BU303" s="216" t="e">
        <f t="shared" ca="1" si="327"/>
        <v>#VALUE!</v>
      </c>
      <c r="BV303" s="217" t="e">
        <f t="shared" ca="1" si="327"/>
        <v>#VALUE!</v>
      </c>
      <c r="BX303" s="88" t="s">
        <v>14</v>
      </c>
      <c r="BY303" s="378" cm="1">
        <f t="array" aca="1" ref="BY303" ca="1">_xlfn.SINGLE(IFERROR(SUMIFS(rng_out_rx_post_yr1, rng_out_GB_Medispan, "B", rng_out_mail_ind, $B303, rng_out_ds, $C303, rng_out_sel_sp_ind, $D303, rng_out_sel_excl_ind,$E303, rng_out_post_reb_ind_yr1, 1)/[1]Tables!$AT$4, 0))</f>
        <v>0</v>
      </c>
      <c r="BZ303" s="379" cm="1">
        <f t="array" aca="1" ref="BZ303" ca="1">_xlfn.SINGLE(IFERROR(SUMIFS(rng_out_rx_post_yr2, rng_out_GB_Medispan, "B", rng_out_mail_ind, $B303, rng_out_ds, $C303, rng_out_sel_sp_ind, $D303, rng_out_sel_excl_ind,$E303, rng_out_post_reb_ind_yr2, 1)/[1]Tables!$AT$4, 0))</f>
        <v>0</v>
      </c>
      <c r="CA303" s="379" cm="1">
        <f t="array" aca="1" ref="CA303" ca="1">_xlfn.SINGLE(IFERROR(SUMIFS(rng_out_rx_post_yr3, rng_out_GB_Medispan, "B", rng_out_mail_ind, $B303, rng_out_ds, $C303, rng_out_sel_sp_ind, $D303, rng_out_sel_excl_ind,$E303, rng_out_post_reb_ind_yr3, 1)/[1]Tables!$AT$4, 0))</f>
        <v>0</v>
      </c>
      <c r="CB303" s="379" cm="1">
        <f t="array" aca="1" ref="CB303" ca="1">_xlfn.SINGLE(IFERROR(SUMIFS(rng_out_rx_post_yr4, rng_out_GB_Medispan, "B", rng_out_mail_ind, $B303, rng_out_ds, $C303, rng_out_sel_sp_ind, $D303, rng_out_sel_excl_ind,$E303, rng_out_post_reb_ind_yr4, 1)/[1]Tables!$AT$4, 0))</f>
        <v>0</v>
      </c>
      <c r="CC303" s="380" cm="1">
        <f t="array" aca="1" ref="CC303" ca="1">_xlfn.SINGLE(IFERROR(SUMIFS(rng_out_rx_post_yr5, rng_out_GB_Medispan, "B", rng_out_mail_ind, $B303, rng_out_ds, $C303, rng_out_sel_sp_ind, $D303, rng_out_sel_excl_ind,$E303, rng_out_post_reb_ind_yr5, 1)/[1]Tables!$AT$4, 0))</f>
        <v>0</v>
      </c>
      <c r="CD303" s="266">
        <f t="shared" ref="CD303:CH306" ca="1" si="328">IFERROR((BR303 * (BY303/BM294) - DC294) / (BR303 - DC294), 0)</f>
        <v>0</v>
      </c>
      <c r="CE303" s="267">
        <f t="shared" ca="1" si="328"/>
        <v>0</v>
      </c>
      <c r="CF303" s="267">
        <f t="shared" ca="1" si="328"/>
        <v>0</v>
      </c>
      <c r="CG303" s="267">
        <f t="shared" ca="1" si="328"/>
        <v>0</v>
      </c>
      <c r="CH303" s="268">
        <f t="shared" ca="1" si="328"/>
        <v>0</v>
      </c>
      <c r="CI303" s="215" t="e">
        <f t="shared" ref="CI303:CM306" ca="1" si="329">CD294*CD303</f>
        <v>#VALUE!</v>
      </c>
      <c r="CJ303" s="216" t="e">
        <f t="shared" ca="1" si="329"/>
        <v>#VALUE!</v>
      </c>
      <c r="CK303" s="216" t="e">
        <f t="shared" ca="1" si="329"/>
        <v>#VALUE!</v>
      </c>
      <c r="CL303" s="216" t="e">
        <f t="shared" ca="1" si="329"/>
        <v>#VALUE!</v>
      </c>
      <c r="CM303" s="217" t="e">
        <f t="shared" ca="1" si="329"/>
        <v>#VALUE!</v>
      </c>
    </row>
    <row r="304" spans="2:111" x14ac:dyDescent="0.35">
      <c r="B304" s="105" t="s">
        <v>11</v>
      </c>
      <c r="C304" s="106">
        <v>90</v>
      </c>
      <c r="D304" s="106" t="s">
        <v>12</v>
      </c>
      <c r="E304" s="107" t="s">
        <v>13</v>
      </c>
      <c r="F304" s="106">
        <v>1</v>
      </c>
      <c r="H304" s="108" t="s">
        <v>15</v>
      </c>
      <c r="I304" s="253">
        <f ca="1">MIN([1]Tables!$AV$4*[1]Tables!$AX$4, N313)</f>
        <v>0</v>
      </c>
      <c r="J304" s="254">
        <f ca="1">MIN([1]Tables!$AV$4+I304, O313)</f>
        <v>0</v>
      </c>
      <c r="K304" s="254">
        <f ca="1">MIN([1]Tables!$AV$4+J304, P313)</f>
        <v>0</v>
      </c>
      <c r="L304" s="254">
        <f ca="1">MIN([1]Tables!$AV$4+K304, Q313)</f>
        <v>0</v>
      </c>
      <c r="M304" s="255">
        <f ca="1">MIN([1]Tables!$AV$4+L304, R313)</f>
        <v>0</v>
      </c>
      <c r="N304" s="205" t="e">
        <f t="shared" ca="1" si="317"/>
        <v>#VALUE!</v>
      </c>
      <c r="O304" s="206" t="e">
        <f t="shared" ca="1" si="317"/>
        <v>#VALUE!</v>
      </c>
      <c r="P304" s="206" t="e">
        <f t="shared" ca="1" si="317"/>
        <v>#VALUE!</v>
      </c>
      <c r="Q304" s="206" t="e">
        <f t="shared" ca="1" si="317"/>
        <v>#VALUE!</v>
      </c>
      <c r="R304" s="207" t="e">
        <f t="shared" ca="1" si="317"/>
        <v>#VALUE!</v>
      </c>
      <c r="S304" s="205" t="e">
        <f t="shared" ca="1" si="318"/>
        <v>#VALUE!</v>
      </c>
      <c r="T304" s="206" t="e">
        <f t="shared" ca="1" si="318"/>
        <v>#VALUE!</v>
      </c>
      <c r="U304" s="206" t="e">
        <f t="shared" ca="1" si="318"/>
        <v>#VALUE!</v>
      </c>
      <c r="V304" s="206" t="e">
        <f t="shared" ca="1" si="318"/>
        <v>#VALUE!</v>
      </c>
      <c r="W304" s="207" t="e">
        <f t="shared" ca="1" si="318"/>
        <v>#VALUE!</v>
      </c>
      <c r="Y304" s="109" t="s">
        <v>15</v>
      </c>
      <c r="Z304" s="256">
        <f t="shared" ca="1" si="319"/>
        <v>0</v>
      </c>
      <c r="AA304" s="254">
        <f t="shared" ca="1" si="319"/>
        <v>0</v>
      </c>
      <c r="AB304" s="254">
        <f t="shared" ca="1" si="319"/>
        <v>0</v>
      </c>
      <c r="AC304" s="254">
        <f t="shared" ca="1" si="319"/>
        <v>0</v>
      </c>
      <c r="AD304" s="257">
        <f t="shared" ca="1" si="319"/>
        <v>0</v>
      </c>
      <c r="AE304" s="208">
        <f t="shared" ca="1" si="320"/>
        <v>0</v>
      </c>
      <c r="AF304" s="206">
        <f t="shared" ca="1" si="320"/>
        <v>0</v>
      </c>
      <c r="AG304" s="206">
        <f t="shared" ca="1" si="320"/>
        <v>0</v>
      </c>
      <c r="AH304" s="206">
        <f t="shared" ca="1" si="320"/>
        <v>0</v>
      </c>
      <c r="AI304" s="209">
        <f t="shared" ca="1" si="320"/>
        <v>0</v>
      </c>
      <c r="AJ304" s="208">
        <f t="shared" ca="1" si="321"/>
        <v>0</v>
      </c>
      <c r="AK304" s="206">
        <f t="shared" ca="1" si="321"/>
        <v>0</v>
      </c>
      <c r="AL304" s="206">
        <f t="shared" ca="1" si="321"/>
        <v>0</v>
      </c>
      <c r="AM304" s="206">
        <f t="shared" ca="1" si="321"/>
        <v>0</v>
      </c>
      <c r="AN304" s="209">
        <f t="shared" ca="1" si="321"/>
        <v>0</v>
      </c>
      <c r="AP304" s="110" t="s">
        <v>15</v>
      </c>
      <c r="AQ304" s="258">
        <f t="shared" ca="1" si="322"/>
        <v>0</v>
      </c>
      <c r="AR304" s="254">
        <f t="shared" ca="1" si="322"/>
        <v>0</v>
      </c>
      <c r="AS304" s="254">
        <f t="shared" ca="1" si="322"/>
        <v>0</v>
      </c>
      <c r="AT304" s="254">
        <f t="shared" ca="1" si="322"/>
        <v>0</v>
      </c>
      <c r="AU304" s="259">
        <f t="shared" ca="1" si="322"/>
        <v>0</v>
      </c>
      <c r="AV304" s="260" t="e">
        <f t="shared" ca="1" si="323"/>
        <v>#VALUE!</v>
      </c>
      <c r="AW304" s="206" t="e">
        <f t="shared" ca="1" si="323"/>
        <v>#VALUE!</v>
      </c>
      <c r="AX304" s="206" t="e">
        <f t="shared" ca="1" si="323"/>
        <v>#VALUE!</v>
      </c>
      <c r="AY304" s="206" t="e">
        <f t="shared" ca="1" si="323"/>
        <v>#VALUE!</v>
      </c>
      <c r="AZ304" s="212" t="e">
        <f t="shared" ca="1" si="323"/>
        <v>#VALUE!</v>
      </c>
      <c r="BA304" s="206" t="e">
        <f t="shared" ca="1" si="324"/>
        <v>#VALUE!</v>
      </c>
      <c r="BB304" s="206" t="e">
        <f t="shared" ca="1" si="324"/>
        <v>#VALUE!</v>
      </c>
      <c r="BC304" s="206" t="e">
        <f t="shared" ca="1" si="324"/>
        <v>#VALUE!</v>
      </c>
      <c r="BD304" s="206" t="e">
        <f t="shared" ca="1" si="324"/>
        <v>#VALUE!</v>
      </c>
      <c r="BE304" s="212" t="e">
        <f t="shared" ca="1" si="324"/>
        <v>#VALUE!</v>
      </c>
      <c r="BG304" s="111" t="s">
        <v>15</v>
      </c>
      <c r="BH304" s="261">
        <f t="shared" ca="1" si="325"/>
        <v>0</v>
      </c>
      <c r="BI304" s="254">
        <f t="shared" ca="1" si="325"/>
        <v>0</v>
      </c>
      <c r="BJ304" s="254">
        <f t="shared" ca="1" si="325"/>
        <v>0</v>
      </c>
      <c r="BK304" s="254">
        <f t="shared" ca="1" si="325"/>
        <v>0</v>
      </c>
      <c r="BL304" s="262">
        <f t="shared" ca="1" si="325"/>
        <v>0</v>
      </c>
      <c r="BM304" s="213" t="e">
        <f t="shared" ca="1" si="326"/>
        <v>#VALUE!</v>
      </c>
      <c r="BN304" s="206" t="e">
        <f t="shared" ca="1" si="326"/>
        <v>#VALUE!</v>
      </c>
      <c r="BO304" s="206" t="e">
        <f t="shared" ca="1" si="326"/>
        <v>#VALUE!</v>
      </c>
      <c r="BP304" s="206" t="e">
        <f t="shared" ca="1" si="326"/>
        <v>#VALUE!</v>
      </c>
      <c r="BQ304" s="214" t="e">
        <f t="shared" ca="1" si="326"/>
        <v>#VALUE!</v>
      </c>
      <c r="BR304" s="213" t="e">
        <f t="shared" ca="1" si="327"/>
        <v>#VALUE!</v>
      </c>
      <c r="BS304" s="206" t="e">
        <f t="shared" ca="1" si="327"/>
        <v>#VALUE!</v>
      </c>
      <c r="BT304" s="206" t="e">
        <f t="shared" ca="1" si="327"/>
        <v>#VALUE!</v>
      </c>
      <c r="BU304" s="206" t="e">
        <f t="shared" ca="1" si="327"/>
        <v>#VALUE!</v>
      </c>
      <c r="BV304" s="214" t="e">
        <f t="shared" ca="1" si="327"/>
        <v>#VALUE!</v>
      </c>
      <c r="BX304" s="111" t="s">
        <v>15</v>
      </c>
      <c r="BY304" s="378" cm="1">
        <f t="array" aca="1" ref="BY304" ca="1">_xlfn.SINGLE(IFERROR(SUMIFS(rng_out_rx_post_yr1, rng_out_GB_Medispan, "B", rng_out_mail_ind, $B304, rng_out_ds, $C304, rng_out_sel_sp_ind, $D304, rng_out_sel_excl_ind,$E304, rng_out_post_reb_ind_yr1, 1)/[1]Tables!$AT$4, 0))</f>
        <v>0</v>
      </c>
      <c r="BZ304" s="379" cm="1">
        <f t="array" aca="1" ref="BZ304" ca="1">_xlfn.SINGLE(IFERROR(SUMIFS(rng_out_rx_post_yr2, rng_out_GB_Medispan, "B", rng_out_mail_ind, $B304, rng_out_ds, $C304, rng_out_sel_sp_ind, $D304, rng_out_sel_excl_ind,$E304, rng_out_post_reb_ind_yr2, 1)/[1]Tables!$AT$4, 0))</f>
        <v>0</v>
      </c>
      <c r="CA304" s="379" cm="1">
        <f t="array" aca="1" ref="CA304" ca="1">_xlfn.SINGLE(IFERROR(SUMIFS(rng_out_rx_post_yr3, rng_out_GB_Medispan, "B", rng_out_mail_ind, $B304, rng_out_ds, $C304, rng_out_sel_sp_ind, $D304, rng_out_sel_excl_ind,$E304, rng_out_post_reb_ind_yr3, 1)/[1]Tables!$AT$4, 0))</f>
        <v>0</v>
      </c>
      <c r="CB304" s="379" cm="1">
        <f t="array" aca="1" ref="CB304" ca="1">_xlfn.SINGLE(IFERROR(SUMIFS(rng_out_rx_post_yr4, rng_out_GB_Medispan, "B", rng_out_mail_ind, $B304, rng_out_ds, $C304, rng_out_sel_sp_ind, $D304, rng_out_sel_excl_ind,$E304, rng_out_post_reb_ind_yr4, 1)/[1]Tables!$AT$4, 0))</f>
        <v>0</v>
      </c>
      <c r="CC304" s="380" cm="1">
        <f t="array" aca="1" ref="CC304" ca="1">_xlfn.SINGLE(IFERROR(SUMIFS(rng_out_rx_post_yr5, rng_out_GB_Medispan, "B", rng_out_mail_ind, $B304, rng_out_ds, $C304, rng_out_sel_sp_ind, $D304, rng_out_sel_excl_ind,$E304, rng_out_post_reb_ind_yr5, 1)/[1]Tables!$AT$4, 0))</f>
        <v>0</v>
      </c>
      <c r="CD304" s="266">
        <f t="shared" ca="1" si="328"/>
        <v>0</v>
      </c>
      <c r="CE304" s="267">
        <f t="shared" ca="1" si="328"/>
        <v>0</v>
      </c>
      <c r="CF304" s="267">
        <f t="shared" ca="1" si="328"/>
        <v>0</v>
      </c>
      <c r="CG304" s="267">
        <f t="shared" ca="1" si="328"/>
        <v>0</v>
      </c>
      <c r="CH304" s="268">
        <f t="shared" ca="1" si="328"/>
        <v>0</v>
      </c>
      <c r="CI304" s="213" t="e">
        <f t="shared" ca="1" si="329"/>
        <v>#VALUE!</v>
      </c>
      <c r="CJ304" s="206" t="e">
        <f t="shared" ca="1" si="329"/>
        <v>#VALUE!</v>
      </c>
      <c r="CK304" s="206" t="e">
        <f t="shared" ca="1" si="329"/>
        <v>#VALUE!</v>
      </c>
      <c r="CL304" s="206" t="e">
        <f t="shared" ca="1" si="329"/>
        <v>#VALUE!</v>
      </c>
      <c r="CM304" s="214" t="e">
        <f t="shared" ca="1" si="329"/>
        <v>#VALUE!</v>
      </c>
    </row>
    <row r="305" spans="1:98" x14ac:dyDescent="0.35">
      <c r="B305" s="105" t="s">
        <v>16</v>
      </c>
      <c r="C305" s="106"/>
      <c r="D305" s="106" t="s">
        <v>12</v>
      </c>
      <c r="E305" s="107" t="s">
        <v>13</v>
      </c>
      <c r="F305" s="106">
        <v>1</v>
      </c>
      <c r="H305" s="118" t="s">
        <v>7</v>
      </c>
      <c r="I305" s="253">
        <f ca="1">MIN([1]Tables!$AV$4*[1]Tables!$AX$4, N314)</f>
        <v>0</v>
      </c>
      <c r="J305" s="254">
        <f ca="1">MIN([1]Tables!$AV$4+I305, O314)</f>
        <v>0</v>
      </c>
      <c r="K305" s="254">
        <f ca="1">MIN([1]Tables!$AV$4+J305, P314)</f>
        <v>0</v>
      </c>
      <c r="L305" s="254">
        <f ca="1">MIN([1]Tables!$AV$4+K305, Q314)</f>
        <v>0</v>
      </c>
      <c r="M305" s="255">
        <f ca="1">MIN([1]Tables!$AV$4+L305, R314)</f>
        <v>0</v>
      </c>
      <c r="N305" s="205" t="e">
        <f t="shared" ca="1" si="317"/>
        <v>#VALUE!</v>
      </c>
      <c r="O305" s="206" t="e">
        <f t="shared" ca="1" si="317"/>
        <v>#VALUE!</v>
      </c>
      <c r="P305" s="206" t="e">
        <f t="shared" ca="1" si="317"/>
        <v>#VALUE!</v>
      </c>
      <c r="Q305" s="206" t="e">
        <f t="shared" ca="1" si="317"/>
        <v>#VALUE!</v>
      </c>
      <c r="R305" s="207" t="e">
        <f t="shared" ca="1" si="317"/>
        <v>#VALUE!</v>
      </c>
      <c r="S305" s="205" t="e">
        <f t="shared" ca="1" si="318"/>
        <v>#VALUE!</v>
      </c>
      <c r="T305" s="206" t="e">
        <f t="shared" ca="1" si="318"/>
        <v>#VALUE!</v>
      </c>
      <c r="U305" s="206" t="e">
        <f t="shared" ca="1" si="318"/>
        <v>#VALUE!</v>
      </c>
      <c r="V305" s="206" t="e">
        <f t="shared" ca="1" si="318"/>
        <v>#VALUE!</v>
      </c>
      <c r="W305" s="207" t="e">
        <f t="shared" ca="1" si="318"/>
        <v>#VALUE!</v>
      </c>
      <c r="Y305" s="119" t="s">
        <v>7</v>
      </c>
      <c r="Z305" s="256">
        <f t="shared" ca="1" si="319"/>
        <v>0</v>
      </c>
      <c r="AA305" s="254">
        <f t="shared" ca="1" si="319"/>
        <v>0</v>
      </c>
      <c r="AB305" s="254">
        <f t="shared" ca="1" si="319"/>
        <v>0</v>
      </c>
      <c r="AC305" s="254">
        <f t="shared" ca="1" si="319"/>
        <v>0</v>
      </c>
      <c r="AD305" s="257">
        <f t="shared" ca="1" si="319"/>
        <v>0</v>
      </c>
      <c r="AE305" s="208">
        <f t="shared" ca="1" si="320"/>
        <v>0</v>
      </c>
      <c r="AF305" s="206">
        <f t="shared" ca="1" si="320"/>
        <v>0</v>
      </c>
      <c r="AG305" s="206">
        <f t="shared" ca="1" si="320"/>
        <v>0</v>
      </c>
      <c r="AH305" s="206">
        <f t="shared" ca="1" si="320"/>
        <v>0</v>
      </c>
      <c r="AI305" s="209">
        <f t="shared" ca="1" si="320"/>
        <v>0</v>
      </c>
      <c r="AJ305" s="208">
        <f t="shared" ca="1" si="321"/>
        <v>0</v>
      </c>
      <c r="AK305" s="206">
        <f t="shared" ca="1" si="321"/>
        <v>0</v>
      </c>
      <c r="AL305" s="206">
        <f t="shared" ca="1" si="321"/>
        <v>0</v>
      </c>
      <c r="AM305" s="206">
        <f t="shared" ca="1" si="321"/>
        <v>0</v>
      </c>
      <c r="AN305" s="209">
        <f t="shared" ca="1" si="321"/>
        <v>0</v>
      </c>
      <c r="AP305" s="120" t="s">
        <v>7</v>
      </c>
      <c r="AQ305" s="258">
        <f t="shared" ca="1" si="322"/>
        <v>0</v>
      </c>
      <c r="AR305" s="254">
        <f t="shared" ca="1" si="322"/>
        <v>0</v>
      </c>
      <c r="AS305" s="254">
        <f t="shared" ca="1" si="322"/>
        <v>0</v>
      </c>
      <c r="AT305" s="254">
        <f t="shared" ca="1" si="322"/>
        <v>0</v>
      </c>
      <c r="AU305" s="259">
        <f t="shared" ca="1" si="322"/>
        <v>0</v>
      </c>
      <c r="AV305" s="260" t="e">
        <f t="shared" ca="1" si="323"/>
        <v>#VALUE!</v>
      </c>
      <c r="AW305" s="206" t="e">
        <f t="shared" ca="1" si="323"/>
        <v>#VALUE!</v>
      </c>
      <c r="AX305" s="206" t="e">
        <f t="shared" ca="1" si="323"/>
        <v>#VALUE!</v>
      </c>
      <c r="AY305" s="206" t="e">
        <f t="shared" ca="1" si="323"/>
        <v>#VALUE!</v>
      </c>
      <c r="AZ305" s="212" t="e">
        <f t="shared" ca="1" si="323"/>
        <v>#VALUE!</v>
      </c>
      <c r="BA305" s="206" t="e">
        <f t="shared" ca="1" si="324"/>
        <v>#VALUE!</v>
      </c>
      <c r="BB305" s="206" t="e">
        <f t="shared" ca="1" si="324"/>
        <v>#VALUE!</v>
      </c>
      <c r="BC305" s="206" t="e">
        <f t="shared" ca="1" si="324"/>
        <v>#VALUE!</v>
      </c>
      <c r="BD305" s="206" t="e">
        <f t="shared" ca="1" si="324"/>
        <v>#VALUE!</v>
      </c>
      <c r="BE305" s="212" t="e">
        <f t="shared" ca="1" si="324"/>
        <v>#VALUE!</v>
      </c>
      <c r="BG305" s="121" t="s">
        <v>7</v>
      </c>
      <c r="BH305" s="261">
        <f t="shared" ca="1" si="325"/>
        <v>0</v>
      </c>
      <c r="BI305" s="254">
        <f t="shared" ca="1" si="325"/>
        <v>0</v>
      </c>
      <c r="BJ305" s="254">
        <f t="shared" ca="1" si="325"/>
        <v>0</v>
      </c>
      <c r="BK305" s="254">
        <f t="shared" ca="1" si="325"/>
        <v>0</v>
      </c>
      <c r="BL305" s="262">
        <f t="shared" ca="1" si="325"/>
        <v>0</v>
      </c>
      <c r="BM305" s="213" t="e">
        <f t="shared" ca="1" si="326"/>
        <v>#VALUE!</v>
      </c>
      <c r="BN305" s="206" t="e">
        <f t="shared" ca="1" si="326"/>
        <v>#VALUE!</v>
      </c>
      <c r="BO305" s="206" t="e">
        <f t="shared" ca="1" si="326"/>
        <v>#VALUE!</v>
      </c>
      <c r="BP305" s="206" t="e">
        <f t="shared" ca="1" si="326"/>
        <v>#VALUE!</v>
      </c>
      <c r="BQ305" s="214" t="e">
        <f t="shared" ca="1" si="326"/>
        <v>#VALUE!</v>
      </c>
      <c r="BR305" s="213" t="e">
        <f t="shared" ca="1" si="327"/>
        <v>#VALUE!</v>
      </c>
      <c r="BS305" s="206" t="e">
        <f t="shared" ca="1" si="327"/>
        <v>#VALUE!</v>
      </c>
      <c r="BT305" s="206" t="e">
        <f t="shared" ca="1" si="327"/>
        <v>#VALUE!</v>
      </c>
      <c r="BU305" s="206" t="e">
        <f t="shared" ca="1" si="327"/>
        <v>#VALUE!</v>
      </c>
      <c r="BV305" s="214" t="e">
        <f t="shared" ca="1" si="327"/>
        <v>#VALUE!</v>
      </c>
      <c r="BX305" s="121" t="s">
        <v>7</v>
      </c>
      <c r="BY305" s="378" cm="1">
        <f t="array" aca="1" ref="BY305" ca="1">_xlfn.SINGLE(IFERROR(SUMIFS(rng_out_rx_post_yr1, rng_out_GB_Medispan, "B", rng_out_mail_ind, $B305, rng_out_sel_sp_ind, $D305, rng_out_sel_excl_ind,$E305, rng_out_post_reb_ind_yr1, 1)/[1]Tables!$AT$4, 0))</f>
        <v>0</v>
      </c>
      <c r="BZ305" s="379" cm="1">
        <f t="array" aca="1" ref="BZ305" ca="1">_xlfn.SINGLE(IFERROR(SUMIFS(rng_out_rx_post_yr2, rng_out_GB_Medispan, "B", rng_out_mail_ind, $B305, rng_out_sel_sp_ind, $D305, rng_out_sel_excl_ind,$E305, rng_out_post_reb_ind_yr2, 1)/[1]Tables!$AT$4, 0))</f>
        <v>0</v>
      </c>
      <c r="CA305" s="379" cm="1">
        <f t="array" aca="1" ref="CA305" ca="1">_xlfn.SINGLE(IFERROR(SUMIFS(rng_out_rx_post_yr3, rng_out_GB_Medispan, "B", rng_out_mail_ind, $B305, rng_out_sel_sp_ind, $D305, rng_out_sel_excl_ind,$E305, rng_out_post_reb_ind_yr3, 1)/[1]Tables!$AT$4, 0))</f>
        <v>0</v>
      </c>
      <c r="CB305" s="379" cm="1">
        <f t="array" aca="1" ref="CB305" ca="1">_xlfn.SINGLE(IFERROR(SUMIFS(rng_out_rx_post_yr4, rng_out_GB_Medispan, "B", rng_out_mail_ind, $B305, rng_out_sel_sp_ind, $D305, rng_out_sel_excl_ind,$E305, rng_out_post_reb_ind_yr4, 1)/[1]Tables!$AT$4, 0))</f>
        <v>0</v>
      </c>
      <c r="CC305" s="380" cm="1">
        <f t="array" aca="1" ref="CC305" ca="1">_xlfn.SINGLE(IFERROR(SUMIFS(rng_out_rx_post_yr5, rng_out_GB_Medispan, "B", rng_out_mail_ind, $B305, rng_out_sel_sp_ind, $D305, rng_out_sel_excl_ind,$E305, rng_out_post_reb_ind_yr5, 1)/[1]Tables!$AT$4, 0))</f>
        <v>0</v>
      </c>
      <c r="CD305" s="266">
        <f t="shared" ca="1" si="328"/>
        <v>0</v>
      </c>
      <c r="CE305" s="267">
        <f t="shared" ca="1" si="328"/>
        <v>0</v>
      </c>
      <c r="CF305" s="267">
        <f t="shared" ca="1" si="328"/>
        <v>0</v>
      </c>
      <c r="CG305" s="267">
        <f t="shared" ca="1" si="328"/>
        <v>0</v>
      </c>
      <c r="CH305" s="268">
        <f t="shared" ca="1" si="328"/>
        <v>0</v>
      </c>
      <c r="CI305" s="213" t="e">
        <f t="shared" ca="1" si="329"/>
        <v>#VALUE!</v>
      </c>
      <c r="CJ305" s="206" t="e">
        <f t="shared" ca="1" si="329"/>
        <v>#VALUE!</v>
      </c>
      <c r="CK305" s="206" t="e">
        <f t="shared" ca="1" si="329"/>
        <v>#VALUE!</v>
      </c>
      <c r="CL305" s="206" t="e">
        <f t="shared" ca="1" si="329"/>
        <v>#VALUE!</v>
      </c>
      <c r="CM305" s="214" t="e">
        <f t="shared" ca="1" si="329"/>
        <v>#VALUE!</v>
      </c>
    </row>
    <row r="306" spans="1:98" ht="15" thickBot="1" x14ac:dyDescent="0.4">
      <c r="B306" s="122"/>
      <c r="C306" s="123"/>
      <c r="D306" s="123" t="s">
        <v>13</v>
      </c>
      <c r="E306" s="124" t="s">
        <v>13</v>
      </c>
      <c r="F306" s="106">
        <v>1</v>
      </c>
      <c r="H306" s="118" t="s">
        <v>17</v>
      </c>
      <c r="I306" s="253">
        <f ca="1">MIN([1]Tables!$AV$4*[1]Tables!$AX$4, N315)</f>
        <v>0</v>
      </c>
      <c r="J306" s="254">
        <f ca="1">MIN([1]Tables!$AV$4+I306, O315)</f>
        <v>0</v>
      </c>
      <c r="K306" s="254">
        <f ca="1">MIN([1]Tables!$AV$4+J306, P315)</f>
        <v>0</v>
      </c>
      <c r="L306" s="254">
        <f ca="1">MIN([1]Tables!$AV$4+K306, Q315)</f>
        <v>0</v>
      </c>
      <c r="M306" s="270">
        <f ca="1">MIN([1]Tables!$AV$4+L306, R315)</f>
        <v>0</v>
      </c>
      <c r="N306" s="205" t="e">
        <f t="shared" ca="1" si="317"/>
        <v>#VALUE!</v>
      </c>
      <c r="O306" s="206" t="e">
        <f t="shared" ca="1" si="317"/>
        <v>#VALUE!</v>
      </c>
      <c r="P306" s="206" t="e">
        <f t="shared" ca="1" si="317"/>
        <v>#VALUE!</v>
      </c>
      <c r="Q306" s="206" t="e">
        <f t="shared" ca="1" si="317"/>
        <v>#VALUE!</v>
      </c>
      <c r="R306" s="271" t="e">
        <f t="shared" ca="1" si="317"/>
        <v>#VALUE!</v>
      </c>
      <c r="S306" s="206" t="e">
        <f t="shared" ca="1" si="318"/>
        <v>#VALUE!</v>
      </c>
      <c r="T306" s="206" t="e">
        <f t="shared" ca="1" si="318"/>
        <v>#VALUE!</v>
      </c>
      <c r="U306" s="206" t="e">
        <f t="shared" ca="1" si="318"/>
        <v>#VALUE!</v>
      </c>
      <c r="V306" s="206" t="e">
        <f t="shared" ca="1" si="318"/>
        <v>#VALUE!</v>
      </c>
      <c r="W306" s="207" t="e">
        <f t="shared" ca="1" si="318"/>
        <v>#VALUE!</v>
      </c>
      <c r="Y306" s="119" t="s">
        <v>17</v>
      </c>
      <c r="Z306" s="272">
        <f t="shared" ca="1" si="319"/>
        <v>0</v>
      </c>
      <c r="AA306" s="273">
        <f t="shared" ca="1" si="319"/>
        <v>0</v>
      </c>
      <c r="AB306" s="273">
        <f t="shared" ca="1" si="319"/>
        <v>0</v>
      </c>
      <c r="AC306" s="273">
        <f t="shared" ca="1" si="319"/>
        <v>0</v>
      </c>
      <c r="AD306" s="274">
        <f t="shared" ca="1" si="319"/>
        <v>0</v>
      </c>
      <c r="AE306" s="223">
        <f t="shared" ca="1" si="320"/>
        <v>0</v>
      </c>
      <c r="AF306" s="224">
        <f t="shared" ca="1" si="320"/>
        <v>0</v>
      </c>
      <c r="AG306" s="224">
        <f t="shared" ca="1" si="320"/>
        <v>0</v>
      </c>
      <c r="AH306" s="224">
        <f t="shared" ca="1" si="320"/>
        <v>0</v>
      </c>
      <c r="AI306" s="225">
        <f t="shared" ca="1" si="320"/>
        <v>0</v>
      </c>
      <c r="AJ306" s="224">
        <f t="shared" ca="1" si="321"/>
        <v>0</v>
      </c>
      <c r="AK306" s="224">
        <f t="shared" ca="1" si="321"/>
        <v>0</v>
      </c>
      <c r="AL306" s="224">
        <f t="shared" ca="1" si="321"/>
        <v>0</v>
      </c>
      <c r="AM306" s="224">
        <f t="shared" ca="1" si="321"/>
        <v>0</v>
      </c>
      <c r="AN306" s="225">
        <f t="shared" ca="1" si="321"/>
        <v>0</v>
      </c>
      <c r="AP306" s="120" t="s">
        <v>17</v>
      </c>
      <c r="AQ306" s="275">
        <f t="shared" ca="1" si="322"/>
        <v>0</v>
      </c>
      <c r="AR306" s="276">
        <f t="shared" ca="1" si="322"/>
        <v>0</v>
      </c>
      <c r="AS306" s="276">
        <f t="shared" ca="1" si="322"/>
        <v>0</v>
      </c>
      <c r="AT306" s="276">
        <f t="shared" ca="1" si="322"/>
        <v>0</v>
      </c>
      <c r="AU306" s="277">
        <f t="shared" ca="1" si="322"/>
        <v>0</v>
      </c>
      <c r="AV306" s="243" t="e">
        <f t="shared" ca="1" si="323"/>
        <v>#VALUE!</v>
      </c>
      <c r="AW306" s="229" t="e">
        <f t="shared" ca="1" si="323"/>
        <v>#VALUE!</v>
      </c>
      <c r="AX306" s="229" t="e">
        <f t="shared" ca="1" si="323"/>
        <v>#VALUE!</v>
      </c>
      <c r="AY306" s="229" t="e">
        <f t="shared" ca="1" si="323"/>
        <v>#VALUE!</v>
      </c>
      <c r="AZ306" s="230" t="e">
        <f t="shared" ca="1" si="323"/>
        <v>#VALUE!</v>
      </c>
      <c r="BA306" s="229" t="e">
        <f t="shared" ca="1" si="324"/>
        <v>#VALUE!</v>
      </c>
      <c r="BB306" s="229" t="e">
        <f t="shared" ca="1" si="324"/>
        <v>#VALUE!</v>
      </c>
      <c r="BC306" s="229" t="e">
        <f t="shared" ca="1" si="324"/>
        <v>#VALUE!</v>
      </c>
      <c r="BD306" s="229" t="e">
        <f t="shared" ca="1" si="324"/>
        <v>#VALUE!</v>
      </c>
      <c r="BE306" s="230" t="e">
        <f t="shared" ca="1" si="324"/>
        <v>#VALUE!</v>
      </c>
      <c r="BG306" s="121" t="s">
        <v>17</v>
      </c>
      <c r="BH306" s="278">
        <f t="shared" ca="1" si="325"/>
        <v>0</v>
      </c>
      <c r="BI306" s="279">
        <f t="shared" ca="1" si="325"/>
        <v>0</v>
      </c>
      <c r="BJ306" s="279">
        <f t="shared" ca="1" si="325"/>
        <v>0</v>
      </c>
      <c r="BK306" s="279">
        <f t="shared" ca="1" si="325"/>
        <v>0</v>
      </c>
      <c r="BL306" s="280">
        <f t="shared" ca="1" si="325"/>
        <v>0</v>
      </c>
      <c r="BM306" s="231" t="e">
        <f t="shared" ca="1" si="326"/>
        <v>#VALUE!</v>
      </c>
      <c r="BN306" s="232" t="e">
        <f t="shared" ca="1" si="326"/>
        <v>#VALUE!</v>
      </c>
      <c r="BO306" s="232" t="e">
        <f t="shared" ca="1" si="326"/>
        <v>#VALUE!</v>
      </c>
      <c r="BP306" s="232" t="e">
        <f t="shared" ca="1" si="326"/>
        <v>#VALUE!</v>
      </c>
      <c r="BQ306" s="233" t="e">
        <f t="shared" ca="1" si="326"/>
        <v>#VALUE!</v>
      </c>
      <c r="BR306" s="232" t="e">
        <f t="shared" ca="1" si="327"/>
        <v>#VALUE!</v>
      </c>
      <c r="BS306" s="232" t="e">
        <f t="shared" ca="1" si="327"/>
        <v>#VALUE!</v>
      </c>
      <c r="BT306" s="232" t="e">
        <f t="shared" ca="1" si="327"/>
        <v>#VALUE!</v>
      </c>
      <c r="BU306" s="232" t="e">
        <f t="shared" ca="1" si="327"/>
        <v>#VALUE!</v>
      </c>
      <c r="BV306" s="233" t="e">
        <f t="shared" ca="1" si="327"/>
        <v>#VALUE!</v>
      </c>
      <c r="BX306" s="121" t="s">
        <v>17</v>
      </c>
      <c r="BY306" s="298" cm="1">
        <f t="array" aca="1" ref="BY306" ca="1">_xlfn.SINGLE(IFERROR(SUMIFS(rng_out_rx_post_yr1, rng_out_GB_Medispan, "B", rng_out_sel_sp_ind, $D306, rng_out_sel_excl_ind,$E306, rng_out_post_reb_ind_yr1, 1)/[1]Tables!$AT$4, 0))</f>
        <v>0</v>
      </c>
      <c r="BZ306" s="299" cm="1">
        <f t="array" aca="1" ref="BZ306" ca="1">_xlfn.SINGLE(IFERROR(SUMIFS(rng_out_rx_post_yr2, rng_out_GB_Medispan, "B", rng_out_sel_sp_ind, $D306, rng_out_sel_excl_ind,$E306, rng_out_post_reb_ind_yr2, 1)/[1]Tables!$AT$4, 0))</f>
        <v>0</v>
      </c>
      <c r="CA306" s="299" cm="1">
        <f t="array" aca="1" ref="CA306" ca="1">_xlfn.SINGLE(IFERROR(SUMIFS(rng_out_rx_post_yr3, rng_out_GB_Medispan, "B", rng_out_sel_sp_ind, $D306, rng_out_sel_excl_ind,$E306, rng_out_post_reb_ind_yr3, 1)/[1]Tables!$AT$4, 0))</f>
        <v>0</v>
      </c>
      <c r="CB306" s="299" cm="1">
        <f t="array" aca="1" ref="CB306" ca="1">_xlfn.SINGLE(IFERROR(SUMIFS(rng_out_rx_post_yr4, rng_out_GB_Medispan, "B", rng_out_sel_sp_ind, $D306, rng_out_sel_excl_ind,$E306, rng_out_post_reb_ind_yr4, 1)/[1]Tables!$AT$4, 0))</f>
        <v>0</v>
      </c>
      <c r="CC306" s="300" cm="1">
        <f t="array" aca="1" ref="CC306" ca="1">_xlfn.SINGLE(IFERROR(SUMIFS(rng_out_rx_post_yr5, rng_out_GB_Medispan, "B", rng_out_sel_sp_ind, $D306, rng_out_sel_excl_ind,$E306, rng_out_post_reb_ind_yr5, 1)/[1]Tables!$AT$4, 0))</f>
        <v>0</v>
      </c>
      <c r="CD306" s="284">
        <f t="shared" ca="1" si="328"/>
        <v>0</v>
      </c>
      <c r="CE306" s="285">
        <f t="shared" ca="1" si="328"/>
        <v>0</v>
      </c>
      <c r="CF306" s="285">
        <f t="shared" ca="1" si="328"/>
        <v>0</v>
      </c>
      <c r="CG306" s="285">
        <f t="shared" ca="1" si="328"/>
        <v>0</v>
      </c>
      <c r="CH306" s="286">
        <f t="shared" ca="1" si="328"/>
        <v>0</v>
      </c>
      <c r="CI306" s="232" t="e">
        <f t="shared" ca="1" si="329"/>
        <v>#VALUE!</v>
      </c>
      <c r="CJ306" s="232" t="e">
        <f t="shared" ca="1" si="329"/>
        <v>#VALUE!</v>
      </c>
      <c r="CK306" s="232" t="e">
        <f t="shared" ca="1" si="329"/>
        <v>#VALUE!</v>
      </c>
      <c r="CL306" s="232" t="e">
        <f t="shared" ca="1" si="329"/>
        <v>#VALUE!</v>
      </c>
      <c r="CM306" s="233" t="e">
        <f t="shared" ca="1" si="329"/>
        <v>#VALUE!</v>
      </c>
    </row>
    <row r="307" spans="1:98" ht="15" thickBot="1" x14ac:dyDescent="0.4">
      <c r="H307" s="154" t="s">
        <v>18</v>
      </c>
      <c r="I307" s="287"/>
      <c r="J307" s="287"/>
      <c r="K307" s="287"/>
      <c r="L307" s="287"/>
      <c r="M307" s="288"/>
      <c r="N307" s="238" t="e">
        <f t="shared" ref="N307:W307" ca="1" si="330">SUM(N303:N306)</f>
        <v>#VALUE!</v>
      </c>
      <c r="O307" s="238" t="e">
        <f t="shared" ca="1" si="330"/>
        <v>#VALUE!</v>
      </c>
      <c r="P307" s="238" t="e">
        <f t="shared" ca="1" si="330"/>
        <v>#VALUE!</v>
      </c>
      <c r="Q307" s="238" t="e">
        <f t="shared" ca="1" si="330"/>
        <v>#VALUE!</v>
      </c>
      <c r="R307" s="239" t="e">
        <f t="shared" ca="1" si="330"/>
        <v>#VALUE!</v>
      </c>
      <c r="S307" s="238" t="e">
        <f t="shared" ca="1" si="330"/>
        <v>#VALUE!</v>
      </c>
      <c r="T307" s="238" t="e">
        <f t="shared" ca="1" si="330"/>
        <v>#VALUE!</v>
      </c>
      <c r="U307" s="238" t="e">
        <f t="shared" ca="1" si="330"/>
        <v>#VALUE!</v>
      </c>
      <c r="V307" s="238" t="e">
        <f t="shared" ca="1" si="330"/>
        <v>#VALUE!</v>
      </c>
      <c r="W307" s="239" t="e">
        <f t="shared" ca="1" si="330"/>
        <v>#VALUE!</v>
      </c>
      <c r="Y307" s="159" t="s">
        <v>18</v>
      </c>
      <c r="Z307" s="289"/>
      <c r="AA307" s="290"/>
      <c r="AB307" s="290"/>
      <c r="AC307" s="290"/>
      <c r="AD307" s="291"/>
      <c r="AE307" s="240">
        <f t="shared" ref="AE307:AN307" ca="1" si="331">SUM(AE303:AE306)</f>
        <v>0</v>
      </c>
      <c r="AF307" s="241">
        <f t="shared" ca="1" si="331"/>
        <v>0</v>
      </c>
      <c r="AG307" s="241">
        <f t="shared" ca="1" si="331"/>
        <v>0</v>
      </c>
      <c r="AH307" s="241">
        <f t="shared" ca="1" si="331"/>
        <v>0</v>
      </c>
      <c r="AI307" s="242">
        <f t="shared" ca="1" si="331"/>
        <v>0</v>
      </c>
      <c r="AJ307" s="241">
        <f t="shared" ca="1" si="331"/>
        <v>0</v>
      </c>
      <c r="AK307" s="241">
        <f t="shared" ca="1" si="331"/>
        <v>0</v>
      </c>
      <c r="AL307" s="241">
        <f t="shared" ca="1" si="331"/>
        <v>0</v>
      </c>
      <c r="AM307" s="241">
        <f t="shared" ca="1" si="331"/>
        <v>0</v>
      </c>
      <c r="AN307" s="242">
        <f t="shared" ca="1" si="331"/>
        <v>0</v>
      </c>
      <c r="AP307" s="166" t="s">
        <v>18</v>
      </c>
      <c r="AQ307" s="292"/>
      <c r="AR307" s="293"/>
      <c r="AS307" s="293"/>
      <c r="AT307" s="293"/>
      <c r="AU307" s="294"/>
      <c r="AV307" s="226" t="e">
        <f t="shared" ref="AV307:BE307" ca="1" si="332">SUM(AV303:AV306)</f>
        <v>#VALUE!</v>
      </c>
      <c r="AW307" s="227" t="e">
        <f t="shared" ca="1" si="332"/>
        <v>#VALUE!</v>
      </c>
      <c r="AX307" s="227" t="e">
        <f t="shared" ca="1" si="332"/>
        <v>#VALUE!</v>
      </c>
      <c r="AY307" s="227" t="e">
        <f t="shared" ca="1" si="332"/>
        <v>#VALUE!</v>
      </c>
      <c r="AZ307" s="228" t="e">
        <f t="shared" ca="1" si="332"/>
        <v>#VALUE!</v>
      </c>
      <c r="BA307" s="227" t="e">
        <f t="shared" ca="1" si="332"/>
        <v>#VALUE!</v>
      </c>
      <c r="BB307" s="227" t="e">
        <f t="shared" ca="1" si="332"/>
        <v>#VALUE!</v>
      </c>
      <c r="BC307" s="227" t="e">
        <f t="shared" ca="1" si="332"/>
        <v>#VALUE!</v>
      </c>
      <c r="BD307" s="227" t="e">
        <f t="shared" ca="1" si="332"/>
        <v>#VALUE!</v>
      </c>
      <c r="BE307" s="228" t="e">
        <f t="shared" ca="1" si="332"/>
        <v>#VALUE!</v>
      </c>
      <c r="BG307" s="171" t="s">
        <v>18</v>
      </c>
      <c r="BH307" s="295"/>
      <c r="BI307" s="296"/>
      <c r="BJ307" s="296"/>
      <c r="BK307" s="296"/>
      <c r="BL307" s="297"/>
      <c r="BM307" s="244" t="e">
        <f t="shared" ref="BM307:BV307" ca="1" si="333">SUM(BM303:BM306)</f>
        <v>#VALUE!</v>
      </c>
      <c r="BN307" s="245" t="e">
        <f t="shared" ca="1" si="333"/>
        <v>#VALUE!</v>
      </c>
      <c r="BO307" s="245" t="e">
        <f t="shared" ca="1" si="333"/>
        <v>#VALUE!</v>
      </c>
      <c r="BP307" s="245" t="e">
        <f t="shared" ca="1" si="333"/>
        <v>#VALUE!</v>
      </c>
      <c r="BQ307" s="234" t="e">
        <f t="shared" ca="1" si="333"/>
        <v>#VALUE!</v>
      </c>
      <c r="BR307" s="245" t="e">
        <f t="shared" ca="1" si="333"/>
        <v>#VALUE!</v>
      </c>
      <c r="BS307" s="245" t="e">
        <f t="shared" ca="1" si="333"/>
        <v>#VALUE!</v>
      </c>
      <c r="BT307" s="245" t="e">
        <f t="shared" ca="1" si="333"/>
        <v>#VALUE!</v>
      </c>
      <c r="BU307" s="245" t="e">
        <f t="shared" ca="1" si="333"/>
        <v>#VALUE!</v>
      </c>
      <c r="BV307" s="234" t="e">
        <f t="shared" ca="1" si="333"/>
        <v>#VALUE!</v>
      </c>
      <c r="BX307" s="171" t="s">
        <v>18</v>
      </c>
      <c r="BY307" s="298">
        <f ca="1">SUM(BY303:BY306)</f>
        <v>0</v>
      </c>
      <c r="BZ307" s="299">
        <f ca="1">SUM(BZ303:BZ306)</f>
        <v>0</v>
      </c>
      <c r="CA307" s="299">
        <f ca="1">SUM(CA303:CA306)</f>
        <v>0</v>
      </c>
      <c r="CB307" s="299">
        <f ca="1">SUM(CB303:CB306)</f>
        <v>0</v>
      </c>
      <c r="CC307" s="300">
        <f ca="1">SUM(CC303:CC306)</f>
        <v>0</v>
      </c>
      <c r="CD307" s="284">
        <f ca="1">IFERROR(SUMPRODUCT(CD303:CD306, CD294:CD297)/CD298, 0)</f>
        <v>0</v>
      </c>
      <c r="CE307" s="285">
        <f ca="1">IFERROR(SUMPRODUCT(CE303:CE306, CE294:CE297)/CE298, 0)</f>
        <v>0</v>
      </c>
      <c r="CF307" s="285">
        <f ca="1">IFERROR(SUMPRODUCT(CF303:CF306, CF294:CF297)/CF298, 0)</f>
        <v>0</v>
      </c>
      <c r="CG307" s="285">
        <f ca="1">IFERROR(SUMPRODUCT(CG303:CG306, CG294:CG297)/CG298, 0)</f>
        <v>0</v>
      </c>
      <c r="CH307" s="286">
        <f ca="1">IFERROR(SUMPRODUCT(CH303:CH306, CH294:CH297)/CH298, 0)</f>
        <v>0</v>
      </c>
      <c r="CI307" s="232" t="e">
        <f ca="1">SUM(CI303:CI306)</f>
        <v>#VALUE!</v>
      </c>
      <c r="CJ307" s="232" t="e">
        <f ca="1">SUM(CJ303:CJ306)</f>
        <v>#VALUE!</v>
      </c>
      <c r="CK307" s="232" t="e">
        <f ca="1">SUM(CK303:CK306)</f>
        <v>#VALUE!</v>
      </c>
      <c r="CL307" s="232" t="e">
        <f ca="1">SUM(CL303:CL306)</f>
        <v>#VALUE!</v>
      </c>
      <c r="CM307" s="233" t="e">
        <f ca="1">SUM(CM303:CM306)</f>
        <v>#VALUE!</v>
      </c>
    </row>
    <row r="308" spans="1:98" ht="15" thickBot="1" x14ac:dyDescent="0.4">
      <c r="O308" s="301"/>
      <c r="P308" s="301"/>
    </row>
    <row r="309" spans="1:98" ht="15" thickBot="1" x14ac:dyDescent="0.4">
      <c r="I309" s="21" t="s">
        <v>74</v>
      </c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3"/>
      <c r="Z309" s="24" t="s">
        <v>74</v>
      </c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6"/>
      <c r="AQ309" s="27" t="s">
        <v>74</v>
      </c>
      <c r="AR309" s="28"/>
      <c r="AS309" s="28"/>
      <c r="AT309" s="28"/>
      <c r="AU309" s="29"/>
      <c r="AV309" s="28"/>
      <c r="AW309" s="28"/>
      <c r="AX309" s="28"/>
      <c r="AY309" s="28"/>
      <c r="AZ309" s="28"/>
      <c r="BA309" s="28"/>
      <c r="BB309" s="28"/>
      <c r="BC309" s="28"/>
      <c r="BD309" s="28"/>
      <c r="BE309" s="30"/>
      <c r="BH309" s="31" t="s">
        <v>74</v>
      </c>
      <c r="BI309" s="32"/>
      <c r="BJ309" s="32"/>
      <c r="BK309" s="32"/>
      <c r="BL309" s="32"/>
      <c r="BM309" s="32"/>
      <c r="BN309" s="32"/>
      <c r="BO309" s="32"/>
      <c r="BP309" s="32"/>
      <c r="BQ309" s="32"/>
      <c r="BR309" s="32"/>
      <c r="BS309" s="32"/>
      <c r="BT309" s="32"/>
      <c r="BU309" s="32"/>
      <c r="BV309" s="33"/>
      <c r="BY309" s="34" t="s">
        <v>74</v>
      </c>
      <c r="BZ309" s="35"/>
      <c r="CA309" s="35"/>
      <c r="CB309" s="35"/>
      <c r="CC309" s="35"/>
      <c r="CD309" s="35"/>
      <c r="CE309" s="35"/>
      <c r="CF309" s="35"/>
      <c r="CG309" s="35"/>
      <c r="CH309" s="35"/>
      <c r="CI309" s="35"/>
      <c r="CJ309" s="35"/>
      <c r="CK309" s="35"/>
      <c r="CL309" s="35"/>
      <c r="CM309" s="36"/>
    </row>
    <row r="310" spans="1:98" ht="15" thickBot="1" x14ac:dyDescent="0.4">
      <c r="H310" s="37"/>
      <c r="I310" s="302" t="s">
        <v>35</v>
      </c>
      <c r="J310" s="303"/>
      <c r="K310" s="303"/>
      <c r="L310" s="303"/>
      <c r="M310" s="304"/>
      <c r="N310" s="302" t="s">
        <v>36</v>
      </c>
      <c r="O310" s="303"/>
      <c r="P310" s="303"/>
      <c r="Q310" s="303"/>
      <c r="R310" s="304"/>
      <c r="S310" s="302" t="s">
        <v>37</v>
      </c>
      <c r="T310" s="303"/>
      <c r="U310" s="303"/>
      <c r="V310" s="303"/>
      <c r="W310" s="304"/>
      <c r="Z310" s="41" t="s">
        <v>35</v>
      </c>
      <c r="AA310" s="42"/>
      <c r="AB310" s="42"/>
      <c r="AC310" s="42"/>
      <c r="AD310" s="43"/>
      <c r="AE310" s="41" t="s">
        <v>36</v>
      </c>
      <c r="AF310" s="42"/>
      <c r="AG310" s="42"/>
      <c r="AH310" s="42"/>
      <c r="AI310" s="43"/>
      <c r="AJ310" s="41" t="s">
        <v>37</v>
      </c>
      <c r="AK310" s="42"/>
      <c r="AL310" s="42"/>
      <c r="AM310" s="42"/>
      <c r="AN310" s="43"/>
      <c r="AQ310" s="44" t="s">
        <v>35</v>
      </c>
      <c r="AR310" s="45"/>
      <c r="AS310" s="45"/>
      <c r="AT310" s="45"/>
      <c r="AU310" s="46"/>
      <c r="AV310" s="44" t="s">
        <v>36</v>
      </c>
      <c r="AW310" s="45"/>
      <c r="AX310" s="45"/>
      <c r="AY310" s="45"/>
      <c r="AZ310" s="46"/>
      <c r="BA310" s="45" t="s">
        <v>37</v>
      </c>
      <c r="BB310" s="45"/>
      <c r="BC310" s="45"/>
      <c r="BD310" s="45"/>
      <c r="BE310" s="46"/>
      <c r="BH310" s="305" t="s">
        <v>35</v>
      </c>
      <c r="BI310" s="306"/>
      <c r="BJ310" s="306"/>
      <c r="BK310" s="306"/>
      <c r="BL310" s="307"/>
      <c r="BM310" s="305" t="s">
        <v>36</v>
      </c>
      <c r="BN310" s="306"/>
      <c r="BO310" s="306"/>
      <c r="BP310" s="306"/>
      <c r="BQ310" s="307"/>
      <c r="BR310" s="308" t="s">
        <v>37</v>
      </c>
      <c r="BS310" s="308"/>
      <c r="BT310" s="308"/>
      <c r="BU310" s="308"/>
      <c r="BV310" s="309"/>
      <c r="BY310" s="305" t="s">
        <v>35</v>
      </c>
      <c r="BZ310" s="306"/>
      <c r="CA310" s="306"/>
      <c r="CB310" s="306"/>
      <c r="CC310" s="307"/>
      <c r="CD310" s="305" t="s">
        <v>36</v>
      </c>
      <c r="CE310" s="306"/>
      <c r="CF310" s="306"/>
      <c r="CG310" s="306"/>
      <c r="CH310" s="307"/>
      <c r="CI310" s="308" t="s">
        <v>37</v>
      </c>
      <c r="CJ310" s="308"/>
      <c r="CK310" s="308"/>
      <c r="CL310" s="308"/>
      <c r="CM310" s="309"/>
      <c r="CO310" s="310" t="s">
        <v>38</v>
      </c>
    </row>
    <row r="311" spans="1:98" ht="15" thickBot="1" x14ac:dyDescent="0.4">
      <c r="H311" s="55"/>
      <c r="I311" s="56" t="str">
        <f>[1]Tables!$AA$4</f>
        <v>07/27 - 06/28</v>
      </c>
      <c r="J311" s="55" t="str">
        <f>[1]Tables!$AA$5</f>
        <v>07/28 - 06/29</v>
      </c>
      <c r="K311" s="55" t="str">
        <f>[1]Tables!$AA$6</f>
        <v>07/29 - 06/30</v>
      </c>
      <c r="L311" s="55" t="str">
        <f>[1]Tables!$AA$7</f>
        <v>07/30 - 06/31</v>
      </c>
      <c r="M311" s="57" t="str">
        <f>[1]Tables!$AA$8</f>
        <v>07/31 - 06/32</v>
      </c>
      <c r="N311" s="56" t="str">
        <f>[1]Tables!$AA$4</f>
        <v>07/27 - 06/28</v>
      </c>
      <c r="O311" s="55" t="str">
        <f>[1]Tables!$AA$5</f>
        <v>07/28 - 06/29</v>
      </c>
      <c r="P311" s="55" t="str">
        <f>[1]Tables!$AA$6</f>
        <v>07/29 - 06/30</v>
      </c>
      <c r="Q311" s="55" t="str">
        <f>[1]Tables!$AA$7</f>
        <v>07/30 - 06/31</v>
      </c>
      <c r="R311" s="57" t="str">
        <f>[1]Tables!$AA$8</f>
        <v>07/31 - 06/32</v>
      </c>
      <c r="S311" s="56" t="str">
        <f>[1]Tables!$AA$4</f>
        <v>07/27 - 06/28</v>
      </c>
      <c r="T311" s="55" t="str">
        <f>[1]Tables!$AA$5</f>
        <v>07/28 - 06/29</v>
      </c>
      <c r="U311" s="55" t="str">
        <f>[1]Tables!$AA$6</f>
        <v>07/29 - 06/30</v>
      </c>
      <c r="V311" s="55" t="str">
        <f>[1]Tables!$AA$7</f>
        <v>07/30 - 06/31</v>
      </c>
      <c r="W311" s="57" t="str">
        <f>[1]Tables!$AA$8</f>
        <v>07/31 - 06/32</v>
      </c>
      <c r="Y311" s="58"/>
      <c r="Z311" s="59" t="str">
        <f>[1]Tables!$AA$4</f>
        <v>07/27 - 06/28</v>
      </c>
      <c r="AA311" s="60" t="str">
        <f>[1]Tables!$AA$5</f>
        <v>07/28 - 06/29</v>
      </c>
      <c r="AB311" s="60" t="str">
        <f>[1]Tables!$AA$6</f>
        <v>07/29 - 06/30</v>
      </c>
      <c r="AC311" s="60" t="str">
        <f>[1]Tables!$AA$7</f>
        <v>07/30 - 06/31</v>
      </c>
      <c r="AD311" s="61" t="str">
        <f>[1]Tables!$AA$8</f>
        <v>07/31 - 06/32</v>
      </c>
      <c r="AE311" s="59" t="str">
        <f>[1]Tables!$AA$4</f>
        <v>07/27 - 06/28</v>
      </c>
      <c r="AF311" s="60" t="str">
        <f>[1]Tables!$AA$5</f>
        <v>07/28 - 06/29</v>
      </c>
      <c r="AG311" s="60" t="str">
        <f>[1]Tables!$AA$6</f>
        <v>07/29 - 06/30</v>
      </c>
      <c r="AH311" s="60" t="str">
        <f>[1]Tables!$AA$7</f>
        <v>07/30 - 06/31</v>
      </c>
      <c r="AI311" s="61" t="str">
        <f>[1]Tables!$AA$8</f>
        <v>07/31 - 06/32</v>
      </c>
      <c r="AJ311" s="59" t="str">
        <f>[1]Tables!$AA$4</f>
        <v>07/27 - 06/28</v>
      </c>
      <c r="AK311" s="60" t="str">
        <f>[1]Tables!$AA$5</f>
        <v>07/28 - 06/29</v>
      </c>
      <c r="AL311" s="60" t="str">
        <f>[1]Tables!$AA$6</f>
        <v>07/29 - 06/30</v>
      </c>
      <c r="AM311" s="60" t="str">
        <f>[1]Tables!$AA$7</f>
        <v>07/30 - 06/31</v>
      </c>
      <c r="AN311" s="61" t="str">
        <f>[1]Tables!$AA$8</f>
        <v>07/31 - 06/32</v>
      </c>
      <c r="AP311" s="58"/>
      <c r="AQ311" s="62" t="str">
        <f>[1]Tables!$AA$4</f>
        <v>07/27 - 06/28</v>
      </c>
      <c r="AR311" s="63" t="str">
        <f>[1]Tables!$AA$5</f>
        <v>07/28 - 06/29</v>
      </c>
      <c r="AS311" s="63" t="str">
        <f>[1]Tables!$AA$6</f>
        <v>07/29 - 06/30</v>
      </c>
      <c r="AT311" s="63" t="str">
        <f>[1]Tables!$AA$7</f>
        <v>07/30 - 06/31</v>
      </c>
      <c r="AU311" s="64" t="str">
        <f>[1]Tables!$AA$8</f>
        <v>07/31 - 06/32</v>
      </c>
      <c r="AV311" s="62" t="str">
        <f>[1]Tables!$AA$4</f>
        <v>07/27 - 06/28</v>
      </c>
      <c r="AW311" s="63" t="str">
        <f>[1]Tables!$AA$5</f>
        <v>07/28 - 06/29</v>
      </c>
      <c r="AX311" s="63" t="str">
        <f>[1]Tables!$AA$6</f>
        <v>07/29 - 06/30</v>
      </c>
      <c r="AY311" s="63" t="str">
        <f>[1]Tables!$AA$7</f>
        <v>07/30 - 06/31</v>
      </c>
      <c r="AZ311" s="64" t="str">
        <f>[1]Tables!$AA$8</f>
        <v>07/31 - 06/32</v>
      </c>
      <c r="BA311" s="63" t="str">
        <f>[1]Tables!$AA$4</f>
        <v>07/27 - 06/28</v>
      </c>
      <c r="BB311" s="63" t="str">
        <f>[1]Tables!$AA$5</f>
        <v>07/28 - 06/29</v>
      </c>
      <c r="BC311" s="63" t="str">
        <f>[1]Tables!$AA$6</f>
        <v>07/29 - 06/30</v>
      </c>
      <c r="BD311" s="63" t="str">
        <f>[1]Tables!$AA$7</f>
        <v>07/30 - 06/31</v>
      </c>
      <c r="BE311" s="64" t="str">
        <f>[1]Tables!$AA$8</f>
        <v>07/31 - 06/32</v>
      </c>
      <c r="BG311" s="58"/>
      <c r="BH311" s="65" t="str">
        <f>[1]Tables!$AA$4</f>
        <v>07/27 - 06/28</v>
      </c>
      <c r="BI311" s="66" t="str">
        <f>[1]Tables!$AA$5</f>
        <v>07/28 - 06/29</v>
      </c>
      <c r="BJ311" s="66" t="str">
        <f>[1]Tables!$AA$6</f>
        <v>07/29 - 06/30</v>
      </c>
      <c r="BK311" s="66" t="str">
        <f>[1]Tables!$AA$7</f>
        <v>07/30 - 06/31</v>
      </c>
      <c r="BL311" s="67" t="str">
        <f>[1]Tables!$AA$8</f>
        <v>07/31 - 06/32</v>
      </c>
      <c r="BM311" s="65" t="str">
        <f>[1]Tables!$AA$4</f>
        <v>07/27 - 06/28</v>
      </c>
      <c r="BN311" s="66" t="str">
        <f>[1]Tables!$AA$5</f>
        <v>07/28 - 06/29</v>
      </c>
      <c r="BO311" s="66" t="str">
        <f>[1]Tables!$AA$6</f>
        <v>07/29 - 06/30</v>
      </c>
      <c r="BP311" s="66" t="str">
        <f>[1]Tables!$AA$7</f>
        <v>07/30 - 06/31</v>
      </c>
      <c r="BQ311" s="67" t="str">
        <f>[1]Tables!$AA$8</f>
        <v>07/31 - 06/32</v>
      </c>
      <c r="BR311" s="66" t="str">
        <f>[1]Tables!$AA$4</f>
        <v>07/27 - 06/28</v>
      </c>
      <c r="BS311" s="66" t="str">
        <f>[1]Tables!$AA$5</f>
        <v>07/28 - 06/29</v>
      </c>
      <c r="BT311" s="66" t="str">
        <f>[1]Tables!$AA$6</f>
        <v>07/29 - 06/30</v>
      </c>
      <c r="BU311" s="66" t="str">
        <f>[1]Tables!$AA$7</f>
        <v>07/30 - 06/31</v>
      </c>
      <c r="BV311" s="67" t="str">
        <f>[1]Tables!$AA$8</f>
        <v>07/31 - 06/32</v>
      </c>
      <c r="BX311" s="58"/>
      <c r="BY311" s="65" t="str">
        <f>[1]Tables!$AA$4</f>
        <v>07/27 - 06/28</v>
      </c>
      <c r="BZ311" s="66" t="str">
        <f>[1]Tables!$AA$5</f>
        <v>07/28 - 06/29</v>
      </c>
      <c r="CA311" s="66" t="str">
        <f>[1]Tables!$AA$6</f>
        <v>07/29 - 06/30</v>
      </c>
      <c r="CB311" s="66" t="str">
        <f>[1]Tables!$AA$7</f>
        <v>07/30 - 06/31</v>
      </c>
      <c r="CC311" s="67" t="str">
        <f>[1]Tables!$AA$8</f>
        <v>07/31 - 06/32</v>
      </c>
      <c r="CD311" s="65" t="str">
        <f>[1]Tables!$AA$4</f>
        <v>07/27 - 06/28</v>
      </c>
      <c r="CE311" s="66" t="str">
        <f>[1]Tables!$AA$5</f>
        <v>07/28 - 06/29</v>
      </c>
      <c r="CF311" s="66" t="str">
        <f>[1]Tables!$AA$6</f>
        <v>07/29 - 06/30</v>
      </c>
      <c r="CG311" s="66" t="str">
        <f>[1]Tables!$AA$7</f>
        <v>07/30 - 06/31</v>
      </c>
      <c r="CH311" s="67" t="str">
        <f>[1]Tables!$AA$8</f>
        <v>07/31 - 06/32</v>
      </c>
      <c r="CI311" s="66" t="str">
        <f>[1]Tables!$AA$4</f>
        <v>07/27 - 06/28</v>
      </c>
      <c r="CJ311" s="66" t="str">
        <f>[1]Tables!$AA$5</f>
        <v>07/28 - 06/29</v>
      </c>
      <c r="CK311" s="66" t="str">
        <f>[1]Tables!$AA$6</f>
        <v>07/29 - 06/30</v>
      </c>
      <c r="CL311" s="66" t="str">
        <f>[1]Tables!$AA$7</f>
        <v>07/30 - 06/31</v>
      </c>
      <c r="CM311" s="67" t="str">
        <f>[1]Tables!$AA$8</f>
        <v>07/31 - 06/32</v>
      </c>
      <c r="CO311" s="202" t="s">
        <v>36</v>
      </c>
    </row>
    <row r="312" spans="1:98" x14ac:dyDescent="0.35">
      <c r="B312" s="68" t="s">
        <v>11</v>
      </c>
      <c r="C312" s="69">
        <v>30</v>
      </c>
      <c r="D312" s="69" t="s">
        <v>12</v>
      </c>
      <c r="E312" s="70" t="s">
        <v>13</v>
      </c>
      <c r="F312" s="106"/>
      <c r="H312" s="71" t="s">
        <v>14</v>
      </c>
      <c r="I312" s="205" t="e">
        <f t="shared" ref="I312:M315" ca="1" si="334">I294-N303</f>
        <v>#VALUE!</v>
      </c>
      <c r="J312" s="206" t="e">
        <f t="shared" ca="1" si="334"/>
        <v>#VALUE!</v>
      </c>
      <c r="K312" s="206" t="e">
        <f t="shared" ca="1" si="334"/>
        <v>#VALUE!</v>
      </c>
      <c r="L312" s="206" t="e">
        <f t="shared" ca="1" si="334"/>
        <v>#VALUE!</v>
      </c>
      <c r="M312" s="207" t="e">
        <f t="shared" ca="1" si="334"/>
        <v>#VALUE!</v>
      </c>
      <c r="N312" s="311">
        <f t="shared" ref="N312:R316" ca="1" si="335">IFERROR(I294/S294, 0)</f>
        <v>0</v>
      </c>
      <c r="O312" s="267">
        <f t="shared" ca="1" si="335"/>
        <v>0</v>
      </c>
      <c r="P312" s="267">
        <f t="shared" ca="1" si="335"/>
        <v>0</v>
      </c>
      <c r="Q312" s="267">
        <f t="shared" ca="1" si="335"/>
        <v>0</v>
      </c>
      <c r="R312" s="312">
        <f t="shared" ca="1" si="335"/>
        <v>0</v>
      </c>
      <c r="S312" s="311">
        <f t="shared" ref="S312:W316" ca="1" si="336">IFERROR(I312/S294, 0)</f>
        <v>0</v>
      </c>
      <c r="T312" s="267">
        <f t="shared" ca="1" si="336"/>
        <v>0</v>
      </c>
      <c r="U312" s="267">
        <f t="shared" ca="1" si="336"/>
        <v>0</v>
      </c>
      <c r="V312" s="267">
        <f t="shared" ca="1" si="336"/>
        <v>0</v>
      </c>
      <c r="W312" s="312">
        <f t="shared" ca="1" si="336"/>
        <v>0</v>
      </c>
      <c r="Y312" s="77" t="s">
        <v>14</v>
      </c>
      <c r="Z312" s="208">
        <f t="shared" ref="Z312:AD315" ca="1" si="337">Z294-AE303</f>
        <v>0</v>
      </c>
      <c r="AA312" s="206">
        <f t="shared" ca="1" si="337"/>
        <v>0</v>
      </c>
      <c r="AB312" s="206">
        <f t="shared" ca="1" si="337"/>
        <v>0</v>
      </c>
      <c r="AC312" s="206">
        <f t="shared" ca="1" si="337"/>
        <v>0</v>
      </c>
      <c r="AD312" s="209">
        <f t="shared" ca="1" si="337"/>
        <v>0</v>
      </c>
      <c r="AE312" s="313">
        <f t="shared" ref="AE312:AI316" ca="1" si="338">IFERROR(Z294/AJ294, 0)</f>
        <v>0</v>
      </c>
      <c r="AF312" s="267">
        <f t="shared" ca="1" si="338"/>
        <v>0</v>
      </c>
      <c r="AG312" s="267">
        <f t="shared" ca="1" si="338"/>
        <v>0</v>
      </c>
      <c r="AH312" s="267">
        <f t="shared" ca="1" si="338"/>
        <v>0</v>
      </c>
      <c r="AI312" s="314">
        <f t="shared" ca="1" si="338"/>
        <v>0</v>
      </c>
      <c r="AJ312" s="313">
        <f t="shared" ref="AJ312:AN316" ca="1" si="339">IFERROR(Z312/AJ294, 0)</f>
        <v>0</v>
      </c>
      <c r="AK312" s="267">
        <f t="shared" ca="1" si="339"/>
        <v>0</v>
      </c>
      <c r="AL312" s="267">
        <f t="shared" ca="1" si="339"/>
        <v>0</v>
      </c>
      <c r="AM312" s="267">
        <f t="shared" ca="1" si="339"/>
        <v>0</v>
      </c>
      <c r="AN312" s="314">
        <f t="shared" ca="1" si="339"/>
        <v>0</v>
      </c>
      <c r="AP312" s="83" t="s">
        <v>14</v>
      </c>
      <c r="AQ312" s="260" t="e">
        <f t="shared" ref="AQ312:AU315" ca="1" si="340">AQ294-AV303</f>
        <v>#VALUE!</v>
      </c>
      <c r="AR312" s="206" t="e">
        <f t="shared" ca="1" si="340"/>
        <v>#VALUE!</v>
      </c>
      <c r="AS312" s="206" t="e">
        <f t="shared" ca="1" si="340"/>
        <v>#VALUE!</v>
      </c>
      <c r="AT312" s="206" t="e">
        <f t="shared" ca="1" si="340"/>
        <v>#VALUE!</v>
      </c>
      <c r="AU312" s="212" t="e">
        <f t="shared" ca="1" si="340"/>
        <v>#VALUE!</v>
      </c>
      <c r="AV312" s="315">
        <f t="shared" ref="AV312:AZ316" ca="1" si="341">IFERROR(AQ294/BA294, 0)</f>
        <v>0</v>
      </c>
      <c r="AW312" s="267">
        <f t="shared" ca="1" si="341"/>
        <v>0</v>
      </c>
      <c r="AX312" s="267">
        <f t="shared" ca="1" si="341"/>
        <v>0</v>
      </c>
      <c r="AY312" s="267">
        <f t="shared" ca="1" si="341"/>
        <v>0</v>
      </c>
      <c r="AZ312" s="316">
        <f t="shared" ca="1" si="341"/>
        <v>0</v>
      </c>
      <c r="BA312" s="267">
        <f t="shared" ref="BA312:BE316" ca="1" si="342">IFERROR(AQ312/BA294, 0)</f>
        <v>0</v>
      </c>
      <c r="BB312" s="267">
        <f t="shared" ca="1" si="342"/>
        <v>0</v>
      </c>
      <c r="BC312" s="267">
        <f t="shared" ca="1" si="342"/>
        <v>0</v>
      </c>
      <c r="BD312" s="267">
        <f t="shared" ca="1" si="342"/>
        <v>0</v>
      </c>
      <c r="BE312" s="316">
        <f t="shared" ca="1" si="342"/>
        <v>0</v>
      </c>
      <c r="BG312" s="88" t="s">
        <v>14</v>
      </c>
      <c r="BH312" s="213" t="e">
        <f t="shared" ref="BH312:BL315" ca="1" si="343">BH294-BM303</f>
        <v>#VALUE!</v>
      </c>
      <c r="BI312" s="206" t="e">
        <f t="shared" ca="1" si="343"/>
        <v>#VALUE!</v>
      </c>
      <c r="BJ312" s="206" t="e">
        <f t="shared" ca="1" si="343"/>
        <v>#VALUE!</v>
      </c>
      <c r="BK312" s="206" t="e">
        <f t="shared" ca="1" si="343"/>
        <v>#VALUE!</v>
      </c>
      <c r="BL312" s="214" t="e">
        <f t="shared" ca="1" si="343"/>
        <v>#VALUE!</v>
      </c>
      <c r="BM312" s="266">
        <f t="shared" ref="BM312:BQ316" ca="1" si="344">IFERROR(BH294/BR294, 0)</f>
        <v>0</v>
      </c>
      <c r="BN312" s="267">
        <f t="shared" ca="1" si="344"/>
        <v>0</v>
      </c>
      <c r="BO312" s="267">
        <f t="shared" ca="1" si="344"/>
        <v>0</v>
      </c>
      <c r="BP312" s="267">
        <f t="shared" ca="1" si="344"/>
        <v>0</v>
      </c>
      <c r="BQ312" s="268">
        <f t="shared" ca="1" si="344"/>
        <v>0</v>
      </c>
      <c r="BR312" s="317">
        <f t="shared" ref="BR312:BV316" ca="1" si="345">IFERROR(BH312/BR294, 0)</f>
        <v>0</v>
      </c>
      <c r="BS312" s="318">
        <f t="shared" ca="1" si="345"/>
        <v>0</v>
      </c>
      <c r="BT312" s="318">
        <f t="shared" ca="1" si="345"/>
        <v>0</v>
      </c>
      <c r="BU312" s="318">
        <f t="shared" ca="1" si="345"/>
        <v>0</v>
      </c>
      <c r="BV312" s="319">
        <f t="shared" ca="1" si="345"/>
        <v>0</v>
      </c>
      <c r="BX312" s="88" t="s">
        <v>14</v>
      </c>
      <c r="BY312" s="320"/>
      <c r="BZ312" s="321"/>
      <c r="CA312" s="321"/>
      <c r="CB312" s="321"/>
      <c r="CC312" s="322"/>
      <c r="CD312" s="266">
        <f t="shared" ref="CD312:CH316" ca="1" si="346">IFERROR(BY294/CI294, 0)</f>
        <v>0</v>
      </c>
      <c r="CE312" s="267">
        <f t="shared" ca="1" si="346"/>
        <v>0</v>
      </c>
      <c r="CF312" s="267">
        <f t="shared" ca="1" si="346"/>
        <v>0</v>
      </c>
      <c r="CG312" s="267">
        <f t="shared" ca="1" si="346"/>
        <v>0</v>
      </c>
      <c r="CH312" s="268">
        <f t="shared" ca="1" si="346"/>
        <v>0</v>
      </c>
      <c r="CI312" s="323"/>
      <c r="CJ312" s="324"/>
      <c r="CK312" s="324"/>
      <c r="CL312" s="324"/>
      <c r="CM312" s="325"/>
      <c r="CO312" s="326">
        <f ca="1">IFERROR(CO294/CQ294, 0)</f>
        <v>0</v>
      </c>
    </row>
    <row r="313" spans="1:98" x14ac:dyDescent="0.35">
      <c r="B313" s="105" t="s">
        <v>11</v>
      </c>
      <c r="C313" s="106">
        <v>90</v>
      </c>
      <c r="D313" s="106" t="s">
        <v>12</v>
      </c>
      <c r="E313" s="107" t="s">
        <v>13</v>
      </c>
      <c r="F313" s="106"/>
      <c r="H313" s="108" t="s">
        <v>15</v>
      </c>
      <c r="I313" s="205" t="e">
        <f t="shared" ca="1" si="334"/>
        <v>#VALUE!</v>
      </c>
      <c r="J313" s="206" t="e">
        <f t="shared" ca="1" si="334"/>
        <v>#VALUE!</v>
      </c>
      <c r="K313" s="206" t="e">
        <f t="shared" ca="1" si="334"/>
        <v>#VALUE!</v>
      </c>
      <c r="L313" s="206" t="e">
        <f t="shared" ca="1" si="334"/>
        <v>#VALUE!</v>
      </c>
      <c r="M313" s="207" t="e">
        <f t="shared" ca="1" si="334"/>
        <v>#VALUE!</v>
      </c>
      <c r="N313" s="311">
        <f t="shared" ca="1" si="335"/>
        <v>0</v>
      </c>
      <c r="O313" s="267">
        <f t="shared" ca="1" si="335"/>
        <v>0</v>
      </c>
      <c r="P313" s="267">
        <f t="shared" ca="1" si="335"/>
        <v>0</v>
      </c>
      <c r="Q313" s="267">
        <f t="shared" ca="1" si="335"/>
        <v>0</v>
      </c>
      <c r="R313" s="312">
        <f t="shared" ca="1" si="335"/>
        <v>0</v>
      </c>
      <c r="S313" s="311">
        <f t="shared" ca="1" si="336"/>
        <v>0</v>
      </c>
      <c r="T313" s="267">
        <f t="shared" ca="1" si="336"/>
        <v>0</v>
      </c>
      <c r="U313" s="267">
        <f t="shared" ca="1" si="336"/>
        <v>0</v>
      </c>
      <c r="V313" s="267">
        <f t="shared" ca="1" si="336"/>
        <v>0</v>
      </c>
      <c r="W313" s="312">
        <f t="shared" ca="1" si="336"/>
        <v>0</v>
      </c>
      <c r="Y313" s="109" t="s">
        <v>15</v>
      </c>
      <c r="Z313" s="208">
        <f t="shared" ca="1" si="337"/>
        <v>0</v>
      </c>
      <c r="AA313" s="206">
        <f t="shared" ca="1" si="337"/>
        <v>0</v>
      </c>
      <c r="AB313" s="206">
        <f t="shared" ca="1" si="337"/>
        <v>0</v>
      </c>
      <c r="AC313" s="206">
        <f t="shared" ca="1" si="337"/>
        <v>0</v>
      </c>
      <c r="AD313" s="209">
        <f t="shared" ca="1" si="337"/>
        <v>0</v>
      </c>
      <c r="AE313" s="313">
        <f t="shared" ca="1" si="338"/>
        <v>0</v>
      </c>
      <c r="AF313" s="267">
        <f t="shared" ca="1" si="338"/>
        <v>0</v>
      </c>
      <c r="AG313" s="267">
        <f t="shared" ca="1" si="338"/>
        <v>0</v>
      </c>
      <c r="AH313" s="267">
        <f t="shared" ca="1" si="338"/>
        <v>0</v>
      </c>
      <c r="AI313" s="314">
        <f t="shared" ca="1" si="338"/>
        <v>0</v>
      </c>
      <c r="AJ313" s="313">
        <f t="shared" ca="1" si="339"/>
        <v>0</v>
      </c>
      <c r="AK313" s="267">
        <f t="shared" ca="1" si="339"/>
        <v>0</v>
      </c>
      <c r="AL313" s="267">
        <f t="shared" ca="1" si="339"/>
        <v>0</v>
      </c>
      <c r="AM313" s="267">
        <f t="shared" ca="1" si="339"/>
        <v>0</v>
      </c>
      <c r="AN313" s="314">
        <f t="shared" ca="1" si="339"/>
        <v>0</v>
      </c>
      <c r="AP313" s="110" t="s">
        <v>15</v>
      </c>
      <c r="AQ313" s="260" t="e">
        <f t="shared" ca="1" si="340"/>
        <v>#VALUE!</v>
      </c>
      <c r="AR313" s="206" t="e">
        <f t="shared" ca="1" si="340"/>
        <v>#VALUE!</v>
      </c>
      <c r="AS313" s="206" t="e">
        <f t="shared" ca="1" si="340"/>
        <v>#VALUE!</v>
      </c>
      <c r="AT313" s="206" t="e">
        <f t="shared" ca="1" si="340"/>
        <v>#VALUE!</v>
      </c>
      <c r="AU313" s="212" t="e">
        <f t="shared" ca="1" si="340"/>
        <v>#VALUE!</v>
      </c>
      <c r="AV313" s="315">
        <f t="shared" ca="1" si="341"/>
        <v>0</v>
      </c>
      <c r="AW313" s="267">
        <f t="shared" ca="1" si="341"/>
        <v>0</v>
      </c>
      <c r="AX313" s="267">
        <f t="shared" ca="1" si="341"/>
        <v>0</v>
      </c>
      <c r="AY313" s="267">
        <f t="shared" ca="1" si="341"/>
        <v>0</v>
      </c>
      <c r="AZ313" s="316">
        <f t="shared" ca="1" si="341"/>
        <v>0</v>
      </c>
      <c r="BA313" s="267">
        <f t="shared" ca="1" si="342"/>
        <v>0</v>
      </c>
      <c r="BB313" s="267">
        <f t="shared" ca="1" si="342"/>
        <v>0</v>
      </c>
      <c r="BC313" s="267">
        <f t="shared" ca="1" si="342"/>
        <v>0</v>
      </c>
      <c r="BD313" s="267">
        <f t="shared" ca="1" si="342"/>
        <v>0</v>
      </c>
      <c r="BE313" s="316">
        <f t="shared" ca="1" si="342"/>
        <v>0</v>
      </c>
      <c r="BG313" s="111" t="s">
        <v>15</v>
      </c>
      <c r="BH313" s="213" t="e">
        <f t="shared" ca="1" si="343"/>
        <v>#VALUE!</v>
      </c>
      <c r="BI313" s="206" t="e">
        <f t="shared" ca="1" si="343"/>
        <v>#VALUE!</v>
      </c>
      <c r="BJ313" s="206" t="e">
        <f t="shared" ca="1" si="343"/>
        <v>#VALUE!</v>
      </c>
      <c r="BK313" s="206" t="e">
        <f t="shared" ca="1" si="343"/>
        <v>#VALUE!</v>
      </c>
      <c r="BL313" s="214" t="e">
        <f t="shared" ca="1" si="343"/>
        <v>#VALUE!</v>
      </c>
      <c r="BM313" s="266">
        <f t="shared" ca="1" si="344"/>
        <v>0</v>
      </c>
      <c r="BN313" s="267">
        <f t="shared" ca="1" si="344"/>
        <v>0</v>
      </c>
      <c r="BO313" s="267">
        <f t="shared" ca="1" si="344"/>
        <v>0</v>
      </c>
      <c r="BP313" s="267">
        <f t="shared" ca="1" si="344"/>
        <v>0</v>
      </c>
      <c r="BQ313" s="268">
        <f t="shared" ca="1" si="344"/>
        <v>0</v>
      </c>
      <c r="BR313" s="266">
        <f t="shared" ca="1" si="345"/>
        <v>0</v>
      </c>
      <c r="BS313" s="267">
        <f t="shared" ca="1" si="345"/>
        <v>0</v>
      </c>
      <c r="BT313" s="267">
        <f t="shared" ca="1" si="345"/>
        <v>0</v>
      </c>
      <c r="BU313" s="267">
        <f t="shared" ca="1" si="345"/>
        <v>0</v>
      </c>
      <c r="BV313" s="268">
        <f t="shared" ca="1" si="345"/>
        <v>0</v>
      </c>
      <c r="BX313" s="111" t="s">
        <v>15</v>
      </c>
      <c r="BY313" s="320"/>
      <c r="BZ313" s="321"/>
      <c r="CA313" s="321"/>
      <c r="CB313" s="321"/>
      <c r="CC313" s="322"/>
      <c r="CD313" s="266">
        <f t="shared" ca="1" si="346"/>
        <v>0</v>
      </c>
      <c r="CE313" s="267">
        <f t="shared" ca="1" si="346"/>
        <v>0</v>
      </c>
      <c r="CF313" s="267">
        <f t="shared" ca="1" si="346"/>
        <v>0</v>
      </c>
      <c r="CG313" s="267">
        <f t="shared" ca="1" si="346"/>
        <v>0</v>
      </c>
      <c r="CH313" s="268">
        <f t="shared" ca="1" si="346"/>
        <v>0</v>
      </c>
      <c r="CI313" s="327"/>
      <c r="CJ313" s="328"/>
      <c r="CK313" s="328"/>
      <c r="CL313" s="328"/>
      <c r="CM313" s="329"/>
      <c r="CO313" s="326">
        <f ca="1">IFERROR(CO295/CQ295, 0)</f>
        <v>0</v>
      </c>
    </row>
    <row r="314" spans="1:98" x14ac:dyDescent="0.35">
      <c r="B314" s="105" t="s">
        <v>16</v>
      </c>
      <c r="C314" s="106"/>
      <c r="D314" s="106" t="s">
        <v>12</v>
      </c>
      <c r="E314" s="107" t="s">
        <v>13</v>
      </c>
      <c r="F314" s="106"/>
      <c r="H314" s="118" t="s">
        <v>7</v>
      </c>
      <c r="I314" s="205" t="e">
        <f t="shared" ca="1" si="334"/>
        <v>#VALUE!</v>
      </c>
      <c r="J314" s="206" t="e">
        <f t="shared" ca="1" si="334"/>
        <v>#VALUE!</v>
      </c>
      <c r="K314" s="206" t="e">
        <f t="shared" ca="1" si="334"/>
        <v>#VALUE!</v>
      </c>
      <c r="L314" s="206" t="e">
        <f t="shared" ca="1" si="334"/>
        <v>#VALUE!</v>
      </c>
      <c r="M314" s="207" t="e">
        <f t="shared" ca="1" si="334"/>
        <v>#VALUE!</v>
      </c>
      <c r="N314" s="311">
        <f t="shared" ca="1" si="335"/>
        <v>0</v>
      </c>
      <c r="O314" s="267">
        <f t="shared" ca="1" si="335"/>
        <v>0</v>
      </c>
      <c r="P314" s="267">
        <f t="shared" ca="1" si="335"/>
        <v>0</v>
      </c>
      <c r="Q314" s="267">
        <f t="shared" ca="1" si="335"/>
        <v>0</v>
      </c>
      <c r="R314" s="312">
        <f t="shared" ca="1" si="335"/>
        <v>0</v>
      </c>
      <c r="S314" s="311">
        <f t="shared" ca="1" si="336"/>
        <v>0</v>
      </c>
      <c r="T314" s="267">
        <f t="shared" ca="1" si="336"/>
        <v>0</v>
      </c>
      <c r="U314" s="267">
        <f t="shared" ca="1" si="336"/>
        <v>0</v>
      </c>
      <c r="V314" s="267">
        <f t="shared" ca="1" si="336"/>
        <v>0</v>
      </c>
      <c r="W314" s="312">
        <f t="shared" ca="1" si="336"/>
        <v>0</v>
      </c>
      <c r="Y314" s="119" t="s">
        <v>7</v>
      </c>
      <c r="Z314" s="208">
        <f t="shared" ca="1" si="337"/>
        <v>0</v>
      </c>
      <c r="AA314" s="206">
        <f t="shared" ca="1" si="337"/>
        <v>0</v>
      </c>
      <c r="AB314" s="206">
        <f t="shared" ca="1" si="337"/>
        <v>0</v>
      </c>
      <c r="AC314" s="206">
        <f t="shared" ca="1" si="337"/>
        <v>0</v>
      </c>
      <c r="AD314" s="209">
        <f t="shared" ca="1" si="337"/>
        <v>0</v>
      </c>
      <c r="AE314" s="313">
        <f t="shared" ca="1" si="338"/>
        <v>0</v>
      </c>
      <c r="AF314" s="267">
        <f t="shared" ca="1" si="338"/>
        <v>0</v>
      </c>
      <c r="AG314" s="267">
        <f t="shared" ca="1" si="338"/>
        <v>0</v>
      </c>
      <c r="AH314" s="267">
        <f t="shared" ca="1" si="338"/>
        <v>0</v>
      </c>
      <c r="AI314" s="314">
        <f t="shared" ca="1" si="338"/>
        <v>0</v>
      </c>
      <c r="AJ314" s="313">
        <f t="shared" ca="1" si="339"/>
        <v>0</v>
      </c>
      <c r="AK314" s="267">
        <f t="shared" ca="1" si="339"/>
        <v>0</v>
      </c>
      <c r="AL314" s="267">
        <f t="shared" ca="1" si="339"/>
        <v>0</v>
      </c>
      <c r="AM314" s="267">
        <f t="shared" ca="1" si="339"/>
        <v>0</v>
      </c>
      <c r="AN314" s="314">
        <f t="shared" ca="1" si="339"/>
        <v>0</v>
      </c>
      <c r="AP314" s="120" t="s">
        <v>7</v>
      </c>
      <c r="AQ314" s="260" t="e">
        <f t="shared" ca="1" si="340"/>
        <v>#VALUE!</v>
      </c>
      <c r="AR314" s="206" t="e">
        <f t="shared" ca="1" si="340"/>
        <v>#VALUE!</v>
      </c>
      <c r="AS314" s="206" t="e">
        <f t="shared" ca="1" si="340"/>
        <v>#VALUE!</v>
      </c>
      <c r="AT314" s="206" t="e">
        <f t="shared" ca="1" si="340"/>
        <v>#VALUE!</v>
      </c>
      <c r="AU314" s="212" t="e">
        <f t="shared" ca="1" si="340"/>
        <v>#VALUE!</v>
      </c>
      <c r="AV314" s="315">
        <f t="shared" ca="1" si="341"/>
        <v>0</v>
      </c>
      <c r="AW314" s="267">
        <f t="shared" ca="1" si="341"/>
        <v>0</v>
      </c>
      <c r="AX314" s="267">
        <f t="shared" ca="1" si="341"/>
        <v>0</v>
      </c>
      <c r="AY314" s="267">
        <f t="shared" ca="1" si="341"/>
        <v>0</v>
      </c>
      <c r="AZ314" s="316">
        <f t="shared" ca="1" si="341"/>
        <v>0</v>
      </c>
      <c r="BA314" s="267">
        <f t="shared" ca="1" si="342"/>
        <v>0</v>
      </c>
      <c r="BB314" s="267">
        <f t="shared" ca="1" si="342"/>
        <v>0</v>
      </c>
      <c r="BC314" s="267">
        <f t="shared" ca="1" si="342"/>
        <v>0</v>
      </c>
      <c r="BD314" s="267">
        <f t="shared" ca="1" si="342"/>
        <v>0</v>
      </c>
      <c r="BE314" s="316">
        <f t="shared" ca="1" si="342"/>
        <v>0</v>
      </c>
      <c r="BG314" s="121" t="s">
        <v>7</v>
      </c>
      <c r="BH314" s="213" t="e">
        <f t="shared" ca="1" si="343"/>
        <v>#VALUE!</v>
      </c>
      <c r="BI314" s="206" t="e">
        <f t="shared" ca="1" si="343"/>
        <v>#VALUE!</v>
      </c>
      <c r="BJ314" s="206" t="e">
        <f t="shared" ca="1" si="343"/>
        <v>#VALUE!</v>
      </c>
      <c r="BK314" s="206" t="e">
        <f t="shared" ca="1" si="343"/>
        <v>#VALUE!</v>
      </c>
      <c r="BL314" s="214" t="e">
        <f t="shared" ca="1" si="343"/>
        <v>#VALUE!</v>
      </c>
      <c r="BM314" s="266">
        <f t="shared" ca="1" si="344"/>
        <v>0</v>
      </c>
      <c r="BN314" s="267">
        <f t="shared" ca="1" si="344"/>
        <v>0</v>
      </c>
      <c r="BO314" s="267">
        <f t="shared" ca="1" si="344"/>
        <v>0</v>
      </c>
      <c r="BP314" s="267">
        <f t="shared" ca="1" si="344"/>
        <v>0</v>
      </c>
      <c r="BQ314" s="268">
        <f t="shared" ca="1" si="344"/>
        <v>0</v>
      </c>
      <c r="BR314" s="266">
        <f t="shared" ca="1" si="345"/>
        <v>0</v>
      </c>
      <c r="BS314" s="267">
        <f t="shared" ca="1" si="345"/>
        <v>0</v>
      </c>
      <c r="BT314" s="267">
        <f t="shared" ca="1" si="345"/>
        <v>0</v>
      </c>
      <c r="BU314" s="267">
        <f t="shared" ca="1" si="345"/>
        <v>0</v>
      </c>
      <c r="BV314" s="268">
        <f t="shared" ca="1" si="345"/>
        <v>0</v>
      </c>
      <c r="BX314" s="121" t="s">
        <v>7</v>
      </c>
      <c r="BY314" s="320"/>
      <c r="BZ314" s="321"/>
      <c r="CA314" s="321"/>
      <c r="CB314" s="321"/>
      <c r="CC314" s="322"/>
      <c r="CD314" s="266">
        <f t="shared" ca="1" si="346"/>
        <v>0</v>
      </c>
      <c r="CE314" s="267">
        <f t="shared" ca="1" si="346"/>
        <v>0</v>
      </c>
      <c r="CF314" s="267">
        <f t="shared" ca="1" si="346"/>
        <v>0</v>
      </c>
      <c r="CG314" s="267">
        <f t="shared" ca="1" si="346"/>
        <v>0</v>
      </c>
      <c r="CH314" s="268">
        <f t="shared" ca="1" si="346"/>
        <v>0</v>
      </c>
      <c r="CI314" s="327"/>
      <c r="CJ314" s="328"/>
      <c r="CK314" s="328"/>
      <c r="CL314" s="328"/>
      <c r="CM314" s="329"/>
      <c r="CO314" s="326">
        <f ca="1">IFERROR(CO296/CQ296, 0)</f>
        <v>0</v>
      </c>
    </row>
    <row r="315" spans="1:98" ht="15" thickBot="1" x14ac:dyDescent="0.4">
      <c r="B315" s="122"/>
      <c r="C315" s="123"/>
      <c r="D315" s="123" t="s">
        <v>13</v>
      </c>
      <c r="E315" s="124" t="s">
        <v>13</v>
      </c>
      <c r="F315" s="106"/>
      <c r="H315" s="118" t="s">
        <v>17</v>
      </c>
      <c r="I315" s="205" t="e">
        <f t="shared" ca="1" si="334"/>
        <v>#VALUE!</v>
      </c>
      <c r="J315" s="206" t="e">
        <f t="shared" ca="1" si="334"/>
        <v>#VALUE!</v>
      </c>
      <c r="K315" s="206" t="e">
        <f t="shared" ca="1" si="334"/>
        <v>#VALUE!</v>
      </c>
      <c r="L315" s="206" t="e">
        <f t="shared" ca="1" si="334"/>
        <v>#VALUE!</v>
      </c>
      <c r="M315" s="271" t="e">
        <f t="shared" ca="1" si="334"/>
        <v>#VALUE!</v>
      </c>
      <c r="N315" s="311">
        <f t="shared" ca="1" si="335"/>
        <v>0</v>
      </c>
      <c r="O315" s="267">
        <f t="shared" ca="1" si="335"/>
        <v>0</v>
      </c>
      <c r="P315" s="267">
        <f t="shared" ca="1" si="335"/>
        <v>0</v>
      </c>
      <c r="Q315" s="267">
        <f t="shared" ca="1" si="335"/>
        <v>0</v>
      </c>
      <c r="R315" s="330">
        <f t="shared" ca="1" si="335"/>
        <v>0</v>
      </c>
      <c r="S315" s="267">
        <f t="shared" ca="1" si="336"/>
        <v>0</v>
      </c>
      <c r="T315" s="267">
        <f t="shared" ca="1" si="336"/>
        <v>0</v>
      </c>
      <c r="U315" s="267">
        <f t="shared" ca="1" si="336"/>
        <v>0</v>
      </c>
      <c r="V315" s="267">
        <f t="shared" ca="1" si="336"/>
        <v>0</v>
      </c>
      <c r="W315" s="312">
        <f t="shared" ca="1" si="336"/>
        <v>0</v>
      </c>
      <c r="Y315" s="119" t="s">
        <v>17</v>
      </c>
      <c r="Z315" s="223">
        <f t="shared" ca="1" si="337"/>
        <v>0</v>
      </c>
      <c r="AA315" s="224">
        <f t="shared" ca="1" si="337"/>
        <v>0</v>
      </c>
      <c r="AB315" s="224">
        <f t="shared" ca="1" si="337"/>
        <v>0</v>
      </c>
      <c r="AC315" s="224">
        <f t="shared" ca="1" si="337"/>
        <v>0</v>
      </c>
      <c r="AD315" s="225">
        <f t="shared" ca="1" si="337"/>
        <v>0</v>
      </c>
      <c r="AE315" s="331">
        <f t="shared" ca="1" si="338"/>
        <v>0</v>
      </c>
      <c r="AF315" s="332">
        <f t="shared" ca="1" si="338"/>
        <v>0</v>
      </c>
      <c r="AG315" s="332">
        <f t="shared" ca="1" si="338"/>
        <v>0</v>
      </c>
      <c r="AH315" s="332">
        <f t="shared" ca="1" si="338"/>
        <v>0</v>
      </c>
      <c r="AI315" s="333">
        <f t="shared" ca="1" si="338"/>
        <v>0</v>
      </c>
      <c r="AJ315" s="332">
        <f t="shared" ca="1" si="339"/>
        <v>0</v>
      </c>
      <c r="AK315" s="332">
        <f t="shared" ca="1" si="339"/>
        <v>0</v>
      </c>
      <c r="AL315" s="332">
        <f t="shared" ca="1" si="339"/>
        <v>0</v>
      </c>
      <c r="AM315" s="332">
        <f t="shared" ca="1" si="339"/>
        <v>0</v>
      </c>
      <c r="AN315" s="333">
        <f t="shared" ca="1" si="339"/>
        <v>0</v>
      </c>
      <c r="AP315" s="120" t="s">
        <v>17</v>
      </c>
      <c r="AQ315" s="243" t="e">
        <f t="shared" ca="1" si="340"/>
        <v>#VALUE!</v>
      </c>
      <c r="AR315" s="229" t="e">
        <f t="shared" ca="1" si="340"/>
        <v>#VALUE!</v>
      </c>
      <c r="AS315" s="229" t="e">
        <f t="shared" ca="1" si="340"/>
        <v>#VALUE!</v>
      </c>
      <c r="AT315" s="229" t="e">
        <f t="shared" ca="1" si="340"/>
        <v>#VALUE!</v>
      </c>
      <c r="AU315" s="230" t="e">
        <f t="shared" ca="1" si="340"/>
        <v>#VALUE!</v>
      </c>
      <c r="AV315" s="334">
        <f t="shared" ca="1" si="341"/>
        <v>0</v>
      </c>
      <c r="AW315" s="335">
        <f t="shared" ca="1" si="341"/>
        <v>0</v>
      </c>
      <c r="AX315" s="335">
        <f t="shared" ca="1" si="341"/>
        <v>0</v>
      </c>
      <c r="AY315" s="335">
        <f t="shared" ca="1" si="341"/>
        <v>0</v>
      </c>
      <c r="AZ315" s="336">
        <f t="shared" ca="1" si="341"/>
        <v>0</v>
      </c>
      <c r="BA315" s="335">
        <f t="shared" ca="1" si="342"/>
        <v>0</v>
      </c>
      <c r="BB315" s="335">
        <f t="shared" ca="1" si="342"/>
        <v>0</v>
      </c>
      <c r="BC315" s="335">
        <f t="shared" ca="1" si="342"/>
        <v>0</v>
      </c>
      <c r="BD315" s="335">
        <f t="shared" ca="1" si="342"/>
        <v>0</v>
      </c>
      <c r="BE315" s="336">
        <f t="shared" ca="1" si="342"/>
        <v>0</v>
      </c>
      <c r="BG315" s="121" t="s">
        <v>17</v>
      </c>
      <c r="BH315" s="231" t="e">
        <f t="shared" ca="1" si="343"/>
        <v>#VALUE!</v>
      </c>
      <c r="BI315" s="232" t="e">
        <f t="shared" ca="1" si="343"/>
        <v>#VALUE!</v>
      </c>
      <c r="BJ315" s="232" t="e">
        <f t="shared" ca="1" si="343"/>
        <v>#VALUE!</v>
      </c>
      <c r="BK315" s="232" t="e">
        <f t="shared" ca="1" si="343"/>
        <v>#VALUE!</v>
      </c>
      <c r="BL315" s="233" t="e">
        <f t="shared" ca="1" si="343"/>
        <v>#VALUE!</v>
      </c>
      <c r="BM315" s="284">
        <f t="shared" ca="1" si="344"/>
        <v>0</v>
      </c>
      <c r="BN315" s="285">
        <f t="shared" ca="1" si="344"/>
        <v>0</v>
      </c>
      <c r="BO315" s="285">
        <f t="shared" ca="1" si="344"/>
        <v>0</v>
      </c>
      <c r="BP315" s="285">
        <f t="shared" ca="1" si="344"/>
        <v>0</v>
      </c>
      <c r="BQ315" s="286">
        <f t="shared" ca="1" si="344"/>
        <v>0</v>
      </c>
      <c r="BR315" s="285">
        <f t="shared" ca="1" si="345"/>
        <v>0</v>
      </c>
      <c r="BS315" s="285">
        <f t="shared" ca="1" si="345"/>
        <v>0</v>
      </c>
      <c r="BT315" s="285">
        <f t="shared" ca="1" si="345"/>
        <v>0</v>
      </c>
      <c r="BU315" s="285">
        <f t="shared" ca="1" si="345"/>
        <v>0</v>
      </c>
      <c r="BV315" s="286">
        <f t="shared" ca="1" si="345"/>
        <v>0</v>
      </c>
      <c r="BX315" s="121" t="s">
        <v>17</v>
      </c>
      <c r="BY315" s="337"/>
      <c r="BZ315" s="338"/>
      <c r="CA315" s="338"/>
      <c r="CB315" s="338"/>
      <c r="CC315" s="339"/>
      <c r="CD315" s="284">
        <f t="shared" ca="1" si="346"/>
        <v>0</v>
      </c>
      <c r="CE315" s="285">
        <f t="shared" ca="1" si="346"/>
        <v>0</v>
      </c>
      <c r="CF315" s="285">
        <f t="shared" ca="1" si="346"/>
        <v>0</v>
      </c>
      <c r="CG315" s="285">
        <f t="shared" ca="1" si="346"/>
        <v>0</v>
      </c>
      <c r="CH315" s="286">
        <f t="shared" ca="1" si="346"/>
        <v>0</v>
      </c>
      <c r="CI315" s="340"/>
      <c r="CJ315" s="340"/>
      <c r="CK315" s="340"/>
      <c r="CL315" s="340"/>
      <c r="CM315" s="341"/>
      <c r="CO315" s="342">
        <f ca="1">IFERROR(CO297/CQ297, 0)</f>
        <v>0</v>
      </c>
    </row>
    <row r="316" spans="1:98" ht="15" thickBot="1" x14ac:dyDescent="0.4">
      <c r="H316" s="154" t="s">
        <v>18</v>
      </c>
      <c r="I316" s="238" t="e">
        <f ca="1">SUM(I312:I315)</f>
        <v>#VALUE!</v>
      </c>
      <c r="J316" s="238" t="e">
        <f ca="1">SUM(J312:J315)</f>
        <v>#VALUE!</v>
      </c>
      <c r="K316" s="238" t="e">
        <f ca="1">SUM(K312:K315)</f>
        <v>#VALUE!</v>
      </c>
      <c r="L316" s="238" t="e">
        <f ca="1">SUM(L312:L315)</f>
        <v>#VALUE!</v>
      </c>
      <c r="M316" s="239" t="e">
        <f ca="1">SUM(M312:M315)</f>
        <v>#VALUE!</v>
      </c>
      <c r="N316" s="343">
        <f t="shared" ca="1" si="335"/>
        <v>0</v>
      </c>
      <c r="O316" s="343">
        <f t="shared" ca="1" si="335"/>
        <v>0</v>
      </c>
      <c r="P316" s="343">
        <f t="shared" ca="1" si="335"/>
        <v>0</v>
      </c>
      <c r="Q316" s="343">
        <f t="shared" ca="1" si="335"/>
        <v>0</v>
      </c>
      <c r="R316" s="344">
        <f t="shared" ca="1" si="335"/>
        <v>0</v>
      </c>
      <c r="S316" s="343">
        <f t="shared" ca="1" si="336"/>
        <v>0</v>
      </c>
      <c r="T316" s="343">
        <f t="shared" ca="1" si="336"/>
        <v>0</v>
      </c>
      <c r="U316" s="343">
        <f t="shared" ca="1" si="336"/>
        <v>0</v>
      </c>
      <c r="V316" s="343">
        <f t="shared" ca="1" si="336"/>
        <v>0</v>
      </c>
      <c r="W316" s="344">
        <f t="shared" ca="1" si="336"/>
        <v>0</v>
      </c>
      <c r="Y316" s="159" t="s">
        <v>18</v>
      </c>
      <c r="Z316" s="240">
        <f ca="1">SUM(Z312:Z315)</f>
        <v>0</v>
      </c>
      <c r="AA316" s="241">
        <f ca="1">SUM(AA312:AA315)</f>
        <v>0</v>
      </c>
      <c r="AB316" s="241">
        <f ca="1">SUM(AB312:AB315)</f>
        <v>0</v>
      </c>
      <c r="AC316" s="241">
        <f ca="1">SUM(AC312:AC315)</f>
        <v>0</v>
      </c>
      <c r="AD316" s="242">
        <f ca="1">SUM(AD312:AD315)</f>
        <v>0</v>
      </c>
      <c r="AE316" s="345">
        <f t="shared" ca="1" si="338"/>
        <v>0</v>
      </c>
      <c r="AF316" s="346">
        <f t="shared" ca="1" si="338"/>
        <v>0</v>
      </c>
      <c r="AG316" s="346">
        <f t="shared" ca="1" si="338"/>
        <v>0</v>
      </c>
      <c r="AH316" s="346">
        <f t="shared" ca="1" si="338"/>
        <v>0</v>
      </c>
      <c r="AI316" s="347">
        <f t="shared" ca="1" si="338"/>
        <v>0</v>
      </c>
      <c r="AJ316" s="346">
        <f t="shared" ca="1" si="339"/>
        <v>0</v>
      </c>
      <c r="AK316" s="346">
        <f t="shared" ca="1" si="339"/>
        <v>0</v>
      </c>
      <c r="AL316" s="346">
        <f t="shared" ca="1" si="339"/>
        <v>0</v>
      </c>
      <c r="AM316" s="346">
        <f t="shared" ca="1" si="339"/>
        <v>0</v>
      </c>
      <c r="AN316" s="347">
        <f t="shared" ca="1" si="339"/>
        <v>0</v>
      </c>
      <c r="AP316" s="166" t="s">
        <v>18</v>
      </c>
      <c r="AQ316" s="226" t="e">
        <f ca="1">SUM(AQ312:AQ315)</f>
        <v>#VALUE!</v>
      </c>
      <c r="AR316" s="227" t="e">
        <f ca="1">SUM(AR312:AR315)</f>
        <v>#VALUE!</v>
      </c>
      <c r="AS316" s="227" t="e">
        <f ca="1">SUM(AS312:AS315)</f>
        <v>#VALUE!</v>
      </c>
      <c r="AT316" s="227" t="e">
        <f ca="1">SUM(AT312:AT315)</f>
        <v>#VALUE!</v>
      </c>
      <c r="AU316" s="228" t="e">
        <f ca="1">SUM(AU312:AU315)</f>
        <v>#VALUE!</v>
      </c>
      <c r="AV316" s="348">
        <f t="shared" ca="1" si="341"/>
        <v>0</v>
      </c>
      <c r="AW316" s="349">
        <f t="shared" ca="1" si="341"/>
        <v>0</v>
      </c>
      <c r="AX316" s="349">
        <f t="shared" ca="1" si="341"/>
        <v>0</v>
      </c>
      <c r="AY316" s="349">
        <f t="shared" ca="1" si="341"/>
        <v>0</v>
      </c>
      <c r="AZ316" s="350">
        <f t="shared" ca="1" si="341"/>
        <v>0</v>
      </c>
      <c r="BA316" s="349">
        <f t="shared" ca="1" si="342"/>
        <v>0</v>
      </c>
      <c r="BB316" s="349">
        <f t="shared" ca="1" si="342"/>
        <v>0</v>
      </c>
      <c r="BC316" s="349">
        <f t="shared" ca="1" si="342"/>
        <v>0</v>
      </c>
      <c r="BD316" s="349">
        <f t="shared" ca="1" si="342"/>
        <v>0</v>
      </c>
      <c r="BE316" s="350">
        <f t="shared" ca="1" si="342"/>
        <v>0</v>
      </c>
      <c r="BG316" s="171" t="s">
        <v>18</v>
      </c>
      <c r="BH316" s="244" t="e">
        <f ca="1">SUM(BH312:BH315)</f>
        <v>#VALUE!</v>
      </c>
      <c r="BI316" s="245" t="e">
        <f ca="1">SUM(BI312:BI315)</f>
        <v>#VALUE!</v>
      </c>
      <c r="BJ316" s="245" t="e">
        <f ca="1">SUM(BJ312:BJ315)</f>
        <v>#VALUE!</v>
      </c>
      <c r="BK316" s="245" t="e">
        <f ca="1">SUM(BK312:BK315)</f>
        <v>#VALUE!</v>
      </c>
      <c r="BL316" s="234" t="e">
        <f ca="1">SUM(BL312:BL315)</f>
        <v>#VALUE!</v>
      </c>
      <c r="BM316" s="351">
        <f t="shared" ca="1" si="344"/>
        <v>0</v>
      </c>
      <c r="BN316" s="352">
        <f t="shared" ca="1" si="344"/>
        <v>0</v>
      </c>
      <c r="BO316" s="352">
        <f t="shared" ca="1" si="344"/>
        <v>0</v>
      </c>
      <c r="BP316" s="352">
        <f t="shared" ca="1" si="344"/>
        <v>0</v>
      </c>
      <c r="BQ316" s="353">
        <f t="shared" ca="1" si="344"/>
        <v>0</v>
      </c>
      <c r="BR316" s="352">
        <f t="shared" ca="1" si="345"/>
        <v>0</v>
      </c>
      <c r="BS316" s="352">
        <f t="shared" ca="1" si="345"/>
        <v>0</v>
      </c>
      <c r="BT316" s="352">
        <f t="shared" ca="1" si="345"/>
        <v>0</v>
      </c>
      <c r="BU316" s="352">
        <f t="shared" ca="1" si="345"/>
        <v>0</v>
      </c>
      <c r="BV316" s="353">
        <f t="shared" ca="1" si="345"/>
        <v>0</v>
      </c>
      <c r="BX316" s="171" t="s">
        <v>18</v>
      </c>
      <c r="BY316" s="337"/>
      <c r="BZ316" s="338"/>
      <c r="CA316" s="338"/>
      <c r="CB316" s="338"/>
      <c r="CC316" s="339"/>
      <c r="CD316" s="351">
        <f t="shared" ca="1" si="346"/>
        <v>0</v>
      </c>
      <c r="CE316" s="352">
        <f t="shared" ca="1" si="346"/>
        <v>0</v>
      </c>
      <c r="CF316" s="352">
        <f t="shared" ca="1" si="346"/>
        <v>0</v>
      </c>
      <c r="CG316" s="352">
        <f t="shared" ca="1" si="346"/>
        <v>0</v>
      </c>
      <c r="CH316" s="353">
        <f t="shared" ca="1" si="346"/>
        <v>0</v>
      </c>
      <c r="CI316" s="340"/>
      <c r="CJ316" s="340"/>
      <c r="CK316" s="340"/>
      <c r="CL316" s="340"/>
      <c r="CM316" s="341"/>
      <c r="CO316" s="342">
        <f ca="1">IFERROR(CO298/CQ298, 0)</f>
        <v>0</v>
      </c>
    </row>
    <row r="317" spans="1:98" x14ac:dyDescent="0.35">
      <c r="S317" s="301"/>
    </row>
    <row r="318" spans="1:98" ht="2" customHeight="1" x14ac:dyDescent="0.35">
      <c r="A318" s="194"/>
      <c r="B318" s="194"/>
      <c r="C318" s="194"/>
      <c r="D318" s="194"/>
      <c r="E318" s="194"/>
      <c r="F318" s="194"/>
      <c r="G318" s="194"/>
      <c r="H318" s="194"/>
      <c r="I318" s="194"/>
      <c r="J318" s="194"/>
      <c r="K318" s="194"/>
      <c r="L318" s="194"/>
      <c r="M318" s="194"/>
      <c r="N318" s="194"/>
      <c r="O318" s="194"/>
      <c r="P318" s="194"/>
      <c r="Q318" s="194"/>
      <c r="R318" s="194"/>
      <c r="S318" s="194"/>
      <c r="T318" s="194"/>
      <c r="U318" s="194"/>
      <c r="V318" s="194"/>
      <c r="W318" s="194"/>
      <c r="X318" s="194"/>
      <c r="Y318" s="194"/>
      <c r="Z318" s="194"/>
      <c r="AA318" s="194"/>
      <c r="AB318" s="194"/>
      <c r="AC318" s="194"/>
      <c r="AD318" s="194"/>
      <c r="AE318" s="194"/>
      <c r="AF318" s="194"/>
      <c r="AG318" s="194"/>
      <c r="AH318" s="194"/>
      <c r="AI318" s="194"/>
      <c r="AJ318" s="194"/>
      <c r="AK318" s="194"/>
      <c r="AL318" s="194"/>
      <c r="AM318" s="194"/>
      <c r="AN318" s="194"/>
      <c r="AO318" s="194"/>
      <c r="AP318" s="194"/>
      <c r="AQ318" s="194"/>
      <c r="AR318" s="194"/>
      <c r="AS318" s="194"/>
      <c r="AT318" s="194"/>
      <c r="AU318" s="194"/>
      <c r="AV318" s="194"/>
      <c r="AW318" s="194"/>
      <c r="AX318" s="194"/>
      <c r="AY318" s="194"/>
      <c r="AZ318" s="194"/>
      <c r="BA318" s="194"/>
      <c r="BB318" s="194"/>
      <c r="BC318" s="194"/>
      <c r="BD318" s="194"/>
      <c r="BE318" s="194"/>
      <c r="BF318" s="194"/>
      <c r="BG318" s="194"/>
      <c r="BH318" s="194"/>
      <c r="BI318" s="194"/>
      <c r="BJ318" s="194"/>
      <c r="BK318" s="194"/>
      <c r="BL318" s="194"/>
      <c r="BM318" s="194"/>
      <c r="BN318" s="194"/>
      <c r="BO318" s="194"/>
      <c r="BP318" s="194"/>
      <c r="BQ318" s="194"/>
      <c r="BR318" s="194"/>
      <c r="BS318" s="194"/>
      <c r="BT318" s="194"/>
      <c r="BU318" s="194"/>
      <c r="BV318" s="194"/>
      <c r="BW318" s="194"/>
      <c r="BX318" s="194"/>
      <c r="BY318" s="194"/>
      <c r="BZ318" s="194"/>
      <c r="CA318" s="194"/>
      <c r="CB318" s="194"/>
      <c r="CC318" s="194"/>
      <c r="CD318" s="194"/>
      <c r="CE318" s="194"/>
      <c r="CF318" s="194"/>
      <c r="CG318" s="194"/>
      <c r="CH318" s="194"/>
      <c r="CI318" s="194"/>
      <c r="CJ318" s="194"/>
      <c r="CK318" s="194"/>
      <c r="CL318" s="194"/>
      <c r="CM318" s="194"/>
    </row>
    <row r="319" spans="1:98" ht="15" thickBot="1" x14ac:dyDescent="0.4"/>
    <row r="320" spans="1:98" ht="15" thickBot="1" x14ac:dyDescent="0.4">
      <c r="I320" s="21" t="s">
        <v>75</v>
      </c>
      <c r="J320" s="22"/>
      <c r="K320" s="22"/>
      <c r="L320" s="22"/>
      <c r="M320" s="22"/>
      <c r="N320" s="22"/>
      <c r="O320" s="22"/>
      <c r="P320" s="22"/>
      <c r="Q320" s="22"/>
      <c r="R320" s="23"/>
      <c r="S320" s="301"/>
      <c r="Z320" s="24" t="s">
        <v>75</v>
      </c>
      <c r="AA320" s="25"/>
      <c r="AB320" s="25"/>
      <c r="AC320" s="25"/>
      <c r="AD320" s="25"/>
      <c r="AE320" s="25"/>
      <c r="AF320" s="25"/>
      <c r="AG320" s="25"/>
      <c r="AH320" s="25"/>
      <c r="AI320" s="26"/>
      <c r="AQ320" s="354" t="s">
        <v>75</v>
      </c>
      <c r="AR320" s="29"/>
      <c r="AS320" s="29"/>
      <c r="AT320" s="29"/>
      <c r="AU320" s="29"/>
      <c r="AV320" s="29"/>
      <c r="AW320" s="29"/>
      <c r="AX320" s="29"/>
      <c r="AY320" s="29"/>
      <c r="AZ320" s="355"/>
      <c r="BH320" s="31" t="s">
        <v>75</v>
      </c>
      <c r="BI320" s="32"/>
      <c r="BJ320" s="32"/>
      <c r="BK320" s="32"/>
      <c r="BL320" s="32"/>
      <c r="BM320" s="32"/>
      <c r="BN320" s="32"/>
      <c r="BO320" s="32"/>
      <c r="BP320" s="32"/>
      <c r="BQ320" s="33"/>
      <c r="BY320" s="34" t="s">
        <v>75</v>
      </c>
      <c r="BZ320" s="35"/>
      <c r="CA320" s="35"/>
      <c r="CB320" s="35"/>
      <c r="CC320" s="35"/>
      <c r="CD320" s="35"/>
      <c r="CE320" s="35"/>
      <c r="CF320" s="35"/>
      <c r="CG320" s="35"/>
      <c r="CH320" s="36"/>
      <c r="CO320" s="196" t="s">
        <v>39</v>
      </c>
      <c r="CP320" s="197"/>
      <c r="CQ320" s="197"/>
      <c r="CR320" s="197"/>
      <c r="CS320" s="197"/>
      <c r="CT320" s="198"/>
    </row>
    <row r="321" spans="2:98" ht="15" thickBot="1" x14ac:dyDescent="0.4">
      <c r="H321" s="37"/>
      <c r="I321" s="302" t="s">
        <v>62</v>
      </c>
      <c r="J321" s="303"/>
      <c r="K321" s="303"/>
      <c r="L321" s="303"/>
      <c r="M321" s="304"/>
      <c r="N321" s="302" t="s">
        <v>63</v>
      </c>
      <c r="O321" s="303"/>
      <c r="P321" s="303"/>
      <c r="Q321" s="303"/>
      <c r="R321" s="304"/>
      <c r="Z321" s="41" t="s">
        <v>62</v>
      </c>
      <c r="AA321" s="42"/>
      <c r="AB321" s="42"/>
      <c r="AC321" s="42"/>
      <c r="AD321" s="43"/>
      <c r="AE321" s="41" t="s">
        <v>63</v>
      </c>
      <c r="AF321" s="42"/>
      <c r="AG321" s="42"/>
      <c r="AH321" s="42"/>
      <c r="AI321" s="43"/>
      <c r="AQ321" s="44" t="s">
        <v>62</v>
      </c>
      <c r="AR321" s="45"/>
      <c r="AS321" s="45"/>
      <c r="AT321" s="45"/>
      <c r="AU321" s="46"/>
      <c r="AV321" s="44" t="s">
        <v>63</v>
      </c>
      <c r="AW321" s="45"/>
      <c r="AX321" s="45"/>
      <c r="AY321" s="45"/>
      <c r="AZ321" s="46"/>
      <c r="BH321" s="305" t="s">
        <v>62</v>
      </c>
      <c r="BI321" s="306"/>
      <c r="BJ321" s="306"/>
      <c r="BK321" s="306"/>
      <c r="BL321" s="307"/>
      <c r="BM321" s="305" t="s">
        <v>63</v>
      </c>
      <c r="BN321" s="306"/>
      <c r="BO321" s="306"/>
      <c r="BP321" s="306"/>
      <c r="BQ321" s="307"/>
      <c r="BY321" s="305" t="s">
        <v>62</v>
      </c>
      <c r="BZ321" s="306"/>
      <c r="CA321" s="306"/>
      <c r="CB321" s="306"/>
      <c r="CC321" s="307"/>
      <c r="CD321" s="305" t="s">
        <v>63</v>
      </c>
      <c r="CE321" s="306"/>
      <c r="CF321" s="306"/>
      <c r="CG321" s="306"/>
      <c r="CH321" s="307"/>
      <c r="CO321" s="199" t="s">
        <v>38</v>
      </c>
      <c r="CP321" s="200"/>
      <c r="CQ321" s="200"/>
      <c r="CR321" s="200"/>
      <c r="CS321" s="200"/>
      <c r="CT321" s="201"/>
    </row>
    <row r="322" spans="2:98" ht="29.5" thickBot="1" x14ac:dyDescent="0.4">
      <c r="H322" s="55"/>
      <c r="I322" s="56" t="str">
        <f>[1]Tables!$AA$4</f>
        <v>07/27 - 06/28</v>
      </c>
      <c r="J322" s="55" t="str">
        <f>[1]Tables!$AA$5</f>
        <v>07/28 - 06/29</v>
      </c>
      <c r="K322" s="55" t="str">
        <f>[1]Tables!$AA$6</f>
        <v>07/29 - 06/30</v>
      </c>
      <c r="L322" s="55" t="str">
        <f>[1]Tables!$AA$7</f>
        <v>07/30 - 06/31</v>
      </c>
      <c r="M322" s="57" t="str">
        <f>[1]Tables!$AA$8</f>
        <v>07/31 - 06/32</v>
      </c>
      <c r="N322" s="56" t="str">
        <f>[1]Tables!$AA$4</f>
        <v>07/27 - 06/28</v>
      </c>
      <c r="O322" s="55" t="str">
        <f>[1]Tables!$AA$5</f>
        <v>07/28 - 06/29</v>
      </c>
      <c r="P322" s="55" t="str">
        <f>[1]Tables!$AA$6</f>
        <v>07/29 - 06/30</v>
      </c>
      <c r="Q322" s="55" t="str">
        <f>[1]Tables!$AA$7</f>
        <v>07/30 - 06/31</v>
      </c>
      <c r="R322" s="57" t="str">
        <f>[1]Tables!$AA$8</f>
        <v>07/31 - 06/32</v>
      </c>
      <c r="Y322" s="58"/>
      <c r="Z322" s="59" t="str">
        <f>[1]Tables!$AA$4</f>
        <v>07/27 - 06/28</v>
      </c>
      <c r="AA322" s="60" t="str">
        <f>[1]Tables!$AA$5</f>
        <v>07/28 - 06/29</v>
      </c>
      <c r="AB322" s="60" t="str">
        <f>[1]Tables!$AA$6</f>
        <v>07/29 - 06/30</v>
      </c>
      <c r="AC322" s="60" t="str">
        <f>[1]Tables!$AA$7</f>
        <v>07/30 - 06/31</v>
      </c>
      <c r="AD322" s="61" t="str">
        <f>[1]Tables!$AA$8</f>
        <v>07/31 - 06/32</v>
      </c>
      <c r="AE322" s="59" t="str">
        <f>[1]Tables!$AA$4</f>
        <v>07/27 - 06/28</v>
      </c>
      <c r="AF322" s="60" t="str">
        <f>[1]Tables!$AA$5</f>
        <v>07/28 - 06/29</v>
      </c>
      <c r="AG322" s="60" t="str">
        <f>[1]Tables!$AA$6</f>
        <v>07/29 - 06/30</v>
      </c>
      <c r="AH322" s="60" t="str">
        <f>[1]Tables!$AA$7</f>
        <v>07/30 - 06/31</v>
      </c>
      <c r="AI322" s="61" t="str">
        <f>[1]Tables!$AA$8</f>
        <v>07/31 - 06/32</v>
      </c>
      <c r="AP322" s="58"/>
      <c r="AQ322" s="62" t="str">
        <f>[1]Tables!$AA$4</f>
        <v>07/27 - 06/28</v>
      </c>
      <c r="AR322" s="63" t="str">
        <f>[1]Tables!$AA$5</f>
        <v>07/28 - 06/29</v>
      </c>
      <c r="AS322" s="63" t="str">
        <f>[1]Tables!$AA$6</f>
        <v>07/29 - 06/30</v>
      </c>
      <c r="AT322" s="63" t="str">
        <f>[1]Tables!$AA$7</f>
        <v>07/30 - 06/31</v>
      </c>
      <c r="AU322" s="64" t="str">
        <f>[1]Tables!$AA$8</f>
        <v>07/31 - 06/32</v>
      </c>
      <c r="AV322" s="62" t="str">
        <f>[1]Tables!$AA$4</f>
        <v>07/27 - 06/28</v>
      </c>
      <c r="AW322" s="63" t="str">
        <f>[1]Tables!$AA$5</f>
        <v>07/28 - 06/29</v>
      </c>
      <c r="AX322" s="63" t="str">
        <f>[1]Tables!$AA$6</f>
        <v>07/29 - 06/30</v>
      </c>
      <c r="AY322" s="63" t="str">
        <f>[1]Tables!$AA$7</f>
        <v>07/30 - 06/31</v>
      </c>
      <c r="AZ322" s="64" t="str">
        <f>[1]Tables!$AA$8</f>
        <v>07/31 - 06/32</v>
      </c>
      <c r="BG322" s="58"/>
      <c r="BH322" s="65" t="str">
        <f>[1]Tables!$AA$4</f>
        <v>07/27 - 06/28</v>
      </c>
      <c r="BI322" s="66" t="str">
        <f>[1]Tables!$AA$5</f>
        <v>07/28 - 06/29</v>
      </c>
      <c r="BJ322" s="66" t="str">
        <f>[1]Tables!$AA$6</f>
        <v>07/29 - 06/30</v>
      </c>
      <c r="BK322" s="66" t="str">
        <f>[1]Tables!$AA$7</f>
        <v>07/30 - 06/31</v>
      </c>
      <c r="BL322" s="67" t="str">
        <f>[1]Tables!$AA$8</f>
        <v>07/31 - 06/32</v>
      </c>
      <c r="BM322" s="65" t="str">
        <f>[1]Tables!$AA$4</f>
        <v>07/27 - 06/28</v>
      </c>
      <c r="BN322" s="66" t="str">
        <f>[1]Tables!$AA$5</f>
        <v>07/28 - 06/29</v>
      </c>
      <c r="BO322" s="66" t="str">
        <f>[1]Tables!$AA$6</f>
        <v>07/29 - 06/30</v>
      </c>
      <c r="BP322" s="66" t="str">
        <f>[1]Tables!$AA$7</f>
        <v>07/30 - 06/31</v>
      </c>
      <c r="BQ322" s="67" t="str">
        <f>[1]Tables!$AA$8</f>
        <v>07/31 - 06/32</v>
      </c>
      <c r="BX322" s="58"/>
      <c r="BY322" s="65" t="str">
        <f>[1]Tables!$AA$4</f>
        <v>07/27 - 06/28</v>
      </c>
      <c r="BZ322" s="66" t="str">
        <f>[1]Tables!$AA$5</f>
        <v>07/28 - 06/29</v>
      </c>
      <c r="CA322" s="66" t="str">
        <f>[1]Tables!$AA$6</f>
        <v>07/29 - 06/30</v>
      </c>
      <c r="CB322" s="66" t="str">
        <f>[1]Tables!$AA$7</f>
        <v>07/30 - 06/31</v>
      </c>
      <c r="CC322" s="67" t="str">
        <f>[1]Tables!$AA$8</f>
        <v>07/31 - 06/32</v>
      </c>
      <c r="CD322" s="65" t="str">
        <f>[1]Tables!$AA$4</f>
        <v>07/27 - 06/28</v>
      </c>
      <c r="CE322" s="66" t="str">
        <f>[1]Tables!$AA$5</f>
        <v>07/28 - 06/29</v>
      </c>
      <c r="CF322" s="66" t="str">
        <f>[1]Tables!$AA$6</f>
        <v>07/29 - 06/30</v>
      </c>
      <c r="CG322" s="66" t="str">
        <f>[1]Tables!$AA$7</f>
        <v>07/30 - 06/31</v>
      </c>
      <c r="CH322" s="67" t="str">
        <f>[1]Tables!$AA$8</f>
        <v>07/31 - 06/32</v>
      </c>
      <c r="CO322" s="65" t="s">
        <v>40</v>
      </c>
      <c r="CP322" s="66" t="s">
        <v>42</v>
      </c>
      <c r="CQ322" s="202" t="s">
        <v>18</v>
      </c>
      <c r="CR322" s="65" t="s">
        <v>41</v>
      </c>
      <c r="CS322" s="66" t="s">
        <v>43</v>
      </c>
      <c r="CT322" s="202" t="s">
        <v>44</v>
      </c>
    </row>
    <row r="323" spans="2:98" x14ac:dyDescent="0.35">
      <c r="B323" s="68" t="s">
        <v>11</v>
      </c>
      <c r="C323" s="69">
        <v>30</v>
      </c>
      <c r="D323" s="69" t="s">
        <v>12</v>
      </c>
      <c r="E323" s="70" t="s">
        <v>13</v>
      </c>
      <c r="F323" s="106">
        <v>1</v>
      </c>
      <c r="H323" s="71" t="s">
        <v>14</v>
      </c>
      <c r="I323" s="72" t="e" cm="1">
        <f t="array" aca="1" ref="I323" ca="1">SUMIFS(rng_out_awp_pre_yr1,rng_out_sel_excl_yr_ind, "", rng_out_GB_Medispan, I$1,rng_out_sel_G_ind,I$1,rng_out_mail_ind,$B323,rng_out_ds,$C323,rng_out_sel_sp_ind,$D323,rng_out_sel_excl_ind,$E323)+
SUMIFS(rng_out_awp_pre_yr1,rng_out_sel_excl_yr_ind, [1]Tables!$HN$4, rng_out_GB_Medispan, I$1,rng_out_sel_G_ind,I$1,rng_out_mail_ind,$B323,rng_out_ds,$C323,rng_out_sel_sp_ind,$D323,rng_out_sel_excl_ind,$E323)* _xlfn.XLOOKUP([1]Tables!$HN$4,'[1]RA Output'!$AY$4:$AY$5,'[1]RA Output'!AZ$4:AZ$5,0)  +
SUMIFS(rng_out_awp_pre_yr1,rng_out_sel_excl_yr_ind, [1]Tables!$HN$5, rng_out_GB_Medispan, I$1,rng_out_sel_G_ind,I$1,rng_out_mail_ind,$B323,rng_out_ds,$C323,rng_out_sel_sp_ind,$D323,rng_out_sel_excl_ind,$E323)* _xlfn.XLOOKUP([1]Tables!$HN$5,'[1]RA Output'!$AY$4:$AY$5,'[1]RA Output'!AZ$4:AZ$5,0)+
IF($E$327="N", 0,
SUMIFS(rng_out_awp_pre_yr1, rng_out_GB_Medispan, I$1, rng_out_sel_G_ind, I$1, rng_out_mail_ind, $B323, rng_out_ds, $C323, rng_out_sel_sp_ind, $D323, rng_out_sel_excl_ind,"N", rng_out_post_reb_ind_yr1, 0))</f>
        <v>#VALUE!</v>
      </c>
      <c r="J323" s="5" t="e" cm="1">
        <f t="array" aca="1" ref="J323" ca="1">SUMIFS(rng_out_awp_pre_yr2,rng_out_sel_excl_yr_ind, "", rng_out_GB_Medispan, J$1,rng_out_sel_G_ind,J$1,rng_out_mail_ind,$B323,rng_out_ds,$C323,rng_out_sel_sp_ind,$D323,rng_out_sel_excl_ind,$E323)+
SUMIFS(rng_out_awp_pre_yr2,rng_out_sel_excl_yr_ind, [1]Tables!$HN$4, rng_out_GB_Medispan, J$1,rng_out_sel_G_ind,J$1,rng_out_mail_ind,$B323,rng_out_ds,$C323,rng_out_sel_sp_ind,$D323,rng_out_sel_excl_ind,$E323)* _xlfn.XLOOKUP([1]Tables!$HN$4,'[1]RA Output'!$AY$4:$AY$5,'[1]RA Output'!BA$4:BA$5,0)  +
SUMIFS(rng_out_awp_pre_yr2,rng_out_sel_excl_yr_ind, [1]Tables!$HN$5, rng_out_GB_Medispan, J$1,rng_out_sel_G_ind,J$1,rng_out_mail_ind,$B323,rng_out_ds,$C323,rng_out_sel_sp_ind,$D323,rng_out_sel_excl_ind,$E323)* _xlfn.XLOOKUP([1]Tables!$HN$5,'[1]RA Output'!$AY$4:$AY$5,'[1]RA Output'!BA$4:BA$5,0)+
IF($E$327="N", 0,
SUMIFS(rng_out_awp_pre_yr2, rng_out_GB_Medispan, J$1, rng_out_sel_G_ind, J$1, rng_out_mail_ind, $B323, rng_out_ds, $C323, rng_out_sel_sp_ind, $D323, rng_out_sel_excl_ind,"N", rng_out_post_reb_ind_yr2, 0))</f>
        <v>#VALUE!</v>
      </c>
      <c r="K323" s="5" t="e" cm="1">
        <f t="array" aca="1" ref="K323" ca="1">SUMIFS(rng_out_awp_pre_yr3,rng_out_sel_excl_yr_ind, "", rng_out_GB_Medispan, K$1,rng_out_sel_G_ind,K$1,rng_out_mail_ind,$B323,rng_out_ds,$C323,rng_out_sel_sp_ind,$D323,rng_out_sel_excl_ind,$E323)+
SUMIFS(rng_out_awp_pre_yr3,rng_out_sel_excl_yr_ind, [1]Tables!$HN$4, rng_out_GB_Medispan, K$1,rng_out_sel_G_ind,K$1,rng_out_mail_ind,$B323,rng_out_ds,$C323,rng_out_sel_sp_ind,$D323,rng_out_sel_excl_ind,$E323)* _xlfn.XLOOKUP([1]Tables!$HN$4,'[1]RA Output'!$AY$4:$AY$5,'[1]RA Output'!BB$4:BB$5,0)  +
SUMIFS(rng_out_awp_pre_yr3,rng_out_sel_excl_yr_ind, [1]Tables!$HN$5, rng_out_GB_Medispan, K$1,rng_out_sel_G_ind,K$1,rng_out_mail_ind,$B323,rng_out_ds,$C323,rng_out_sel_sp_ind,$D323,rng_out_sel_excl_ind,$E323)* _xlfn.XLOOKUP([1]Tables!$HN$5,'[1]RA Output'!$AY$4:$AY$5,'[1]RA Output'!BB$4:BB$5,0)+
IF($E$327="N", 0,
SUMIFS(rng_out_awp_pre_yr3, rng_out_GB_Medispan, K$1, rng_out_sel_G_ind, K$1, rng_out_mail_ind, $B323, rng_out_ds, $C323, rng_out_sel_sp_ind, $D323, rng_out_sel_excl_ind,"N", rng_out_post_reb_ind_yr3, 0))</f>
        <v>#VALUE!</v>
      </c>
      <c r="L323" s="5" t="e" cm="1">
        <f t="array" aca="1" ref="L323" ca="1">SUMIFS(rng_out_awp_pre_yr4,rng_out_sel_excl_yr_ind, "", rng_out_GB_Medispan, L$1,rng_out_sel_G_ind,L$1,rng_out_mail_ind,$B323,rng_out_ds,$C323,rng_out_sel_sp_ind,$D323,rng_out_sel_excl_ind,$E323)+
SUMIFS(rng_out_awp_pre_yr4,rng_out_sel_excl_yr_ind, [1]Tables!$HN$4, rng_out_GB_Medispan, L$1,rng_out_sel_G_ind,L$1,rng_out_mail_ind,$B323,rng_out_ds,$C323,rng_out_sel_sp_ind,$D323,rng_out_sel_excl_ind,$E323)* _xlfn.XLOOKUP([1]Tables!$HN$4,'[1]RA Output'!$AY$4:$AY$5,'[1]RA Output'!BC$4:BC$5,0)  +
SUMIFS(rng_out_awp_pre_yr4,rng_out_sel_excl_yr_ind, [1]Tables!$HN$5, rng_out_GB_Medispan, L$1,rng_out_sel_G_ind,L$1,rng_out_mail_ind,$B323,rng_out_ds,$C323,rng_out_sel_sp_ind,$D323,rng_out_sel_excl_ind,$E323)* _xlfn.XLOOKUP([1]Tables!$HN$5,'[1]RA Output'!$AY$4:$AY$5,'[1]RA Output'!BC$4:BC$5,0)+
IF($E$327="N", 0,
SUMIFS(rng_out_awp_pre_yr4, rng_out_GB_Medispan, L$1, rng_out_sel_G_ind, L$1, rng_out_mail_ind, $B323, rng_out_ds, $C323, rng_out_sel_sp_ind, $D323, rng_out_sel_excl_ind,"N", rng_out_post_reb_ind_yr4, 0))</f>
        <v>#VALUE!</v>
      </c>
      <c r="M323" s="73" t="e" cm="1">
        <f t="array" aca="1" ref="M323" ca="1">SUMIFS(rng_out_awp_pre_yr5,rng_out_sel_excl_yr_ind, "", rng_out_GB_Medispan, M$1,rng_out_sel_G_ind,M$1,rng_out_mail_ind,$B323,rng_out_ds,$C323,rng_out_sel_sp_ind,$D323,rng_out_sel_excl_ind,$E323)+
SUMIFS(rng_out_awp_pre_yr5,rng_out_sel_excl_yr_ind, [1]Tables!$HN$4, rng_out_GB_Medispan, M$1,rng_out_sel_G_ind,M$1,rng_out_mail_ind,$B323,rng_out_ds,$C323,rng_out_sel_sp_ind,$D323,rng_out_sel_excl_ind,$E323)* _xlfn.XLOOKUP([1]Tables!$HN$4,'[1]RA Output'!$AY$4:$AY$5,'[1]RA Output'!BD$4:BD$5,0)  +
SUMIFS(rng_out_awp_pre_yr5,rng_out_sel_excl_yr_ind, [1]Tables!$HN$5, rng_out_GB_Medispan, M$1,rng_out_sel_G_ind,M$1,rng_out_mail_ind,$B323,rng_out_ds,$C323,rng_out_sel_sp_ind,$D323,rng_out_sel_excl_ind,$E323)* _xlfn.XLOOKUP([1]Tables!$HN$5,'[1]RA Output'!$AY$4:$AY$5,'[1]RA Output'!BD$4:BD$5,0)+
IF($E$327="N", 0,
SUMIFS(rng_out_awp_pre_yr5, rng_out_GB_Medispan, M$1, rng_out_sel_G_ind, M$1, rng_out_mail_ind, $B323, rng_out_ds, $C323, rng_out_sel_sp_ind, $D323, rng_out_sel_excl_ind,"N", rng_out_post_reb_ind_yr5, 0))</f>
        <v>#VALUE!</v>
      </c>
      <c r="N323" s="74">
        <f t="shared" ref="N323:R327" ca="1" si="347">IFERROR(I323/I276, 0)</f>
        <v>0</v>
      </c>
      <c r="O323" s="75">
        <f t="shared" ca="1" si="347"/>
        <v>0</v>
      </c>
      <c r="P323" s="75">
        <f t="shared" ca="1" si="347"/>
        <v>0</v>
      </c>
      <c r="Q323" s="75">
        <f t="shared" ca="1" si="347"/>
        <v>0</v>
      </c>
      <c r="R323" s="76">
        <f t="shared" ca="1" si="347"/>
        <v>0</v>
      </c>
      <c r="Y323" s="77" t="s">
        <v>14</v>
      </c>
      <c r="Z323" s="78">
        <f ca="1">IFERROR(I323/[1]Tables!$AT$4, 0)</f>
        <v>0</v>
      </c>
      <c r="AA323" s="79">
        <f ca="1">IFERROR(J323/[1]Tables!$AT$4, 0)</f>
        <v>0</v>
      </c>
      <c r="AB323" s="79">
        <f ca="1">IFERROR(K323/[1]Tables!$AT$4, 0)</f>
        <v>0</v>
      </c>
      <c r="AC323" s="79">
        <f ca="1">IFERROR(L323/[1]Tables!$AT$4, 0)</f>
        <v>0</v>
      </c>
      <c r="AD323" s="80">
        <f ca="1">IFERROR(M323/[1]Tables!$AT$4, 0)</f>
        <v>0</v>
      </c>
      <c r="AE323" s="81">
        <f t="shared" ref="AE323:AI327" ca="1" si="348">IFERROR(Z323/Z276, 0)</f>
        <v>0</v>
      </c>
      <c r="AF323" s="75">
        <f t="shared" ca="1" si="348"/>
        <v>0</v>
      </c>
      <c r="AG323" s="75">
        <f t="shared" ca="1" si="348"/>
        <v>0</v>
      </c>
      <c r="AH323" s="75">
        <f t="shared" ca="1" si="348"/>
        <v>0</v>
      </c>
      <c r="AI323" s="82">
        <f t="shared" ca="1" si="348"/>
        <v>0</v>
      </c>
      <c r="AP323" s="83" t="s">
        <v>14</v>
      </c>
      <c r="AQ323" s="356" cm="1">
        <f t="array" aca="1" ref="AQ323" ca="1">IF($E$327="N", IFERROR(IF(OR(input_Shift="No", [1]Tables!$BN$4=1), 0, (SUMIFS(rng_out_awp_post_yr1,rng_out_sel_excl_yr_ind, "", rng_out_GB_Medispan, N$1,rng_out_sel_G_ind,N$1,rng_out_mail_ind,$B323,rng_out_ds,$C323,rng_out_sel_sp_ind,$D323,rng_out_sel_excl_ind,$E323, rng_out_MSB_excl, $F323)+
SUMIFS(rng_out_awp_post_yr1,rng_out_sel_excl_yr_ind, [1]Tables!$HN$4, rng_out_GB_Medispan, N$1,rng_out_sel_G_ind,N$1,rng_out_mail_ind,$B323,rng_out_ds,$C323,rng_out_sel_sp_ind,$D323,rng_out_sel_excl_ind,$E323, rng_out_MSB_excl, $F323)* _xlfn.XLOOKUP([1]Tables!$HN$4,'[1]RA Output'!$AY$4:$AY$5,'[1]RA Output'!AZ$4:AZ$5,0)  +
SUMIFS(rng_out_awp_post_yr1,rng_out_sel_excl_yr_ind, [1]Tables!$HN$5, rng_out_GB_Medispan, N$1,rng_out_sel_G_ind,N$1,rng_out_mail_ind,$B323,rng_out_ds,$C323,rng_out_sel_sp_ind,$D323,rng_out_sel_excl_ind,$E323, rng_out_MSB_excl, $F323)* _xlfn.XLOOKUP([1]Tables!$HN$5,'[1]RA Output'!$AY$4:$AY$5,'[1]RA Output'!AZ$4:AZ$5,0)) * ((1-[1]Tables!$BN$4)/[1]Tables!$BN$4) * [1]Tables!$BN$5)/[1]Tables!$AT$4, 0) +
IFERROR((SUMIFS(rng_out_awp_post_yr1,rng_out_sel_excl_yr_ind, "", rng_out_GB_Medispan, I$1,rng_out_sel_G_ind,I$1,rng_out_mail_ind,$B323,rng_out_ds,$C323,rng_out_sel_sp_ind,$D323,rng_out_sel_excl_ind,$E323)+
SUMIFS(rng_out_awp_post_yr1,rng_out_sel_excl_yr_ind, [1]Tables!$HN$4, rng_out_GB_Medispan, I$1,rng_out_sel_G_ind,I$1,rng_out_mail_ind,$B323,rng_out_ds,$C323,rng_out_sel_sp_ind,$D323,rng_out_sel_excl_ind,$E323)* _xlfn.XLOOKUP([1]Tables!$HN$4,'[1]RA Output'!$AY$4:$AY$5,'[1]RA Output'!AZ$4:AZ$5,0)  +
SUMIFS(rng_out_awp_post_yr1,rng_out_sel_excl_yr_ind, [1]Tables!$HN$5, rng_out_GB_Medispan, I$1,rng_out_sel_G_ind,I$1,rng_out_mail_ind,$B323,rng_out_ds,$C323,rng_out_sel_sp_ind,$D323,rng_out_sel_excl_ind,$E323)* _xlfn.XLOOKUP([1]Tables!$HN$5,'[1]RA Output'!$AY$4:$AY$5,'[1]RA Output'!AZ$4:AZ$5,0))/[1]Tables!$AT$4, 0),
IFERROR(IF(OR(input_Shift="No", [1]Tables!$BN$4=1), 0, (SUMIFS(rng_out_awp_post_yr1,rng_out_sel_excl_yr_ind, "", rng_out_GB_Medispan, N$1,rng_out_sel_G_ind,N$1,rng_out_mail_ind,$B323,rng_out_ds,$C323,rng_out_sel_sp_ind,$D323,rng_out_sel_excl_ind,$E323, rng_out_MSB_excl, $F323)+
SUMIFS(rng_out_awp_post_yr1,rng_out_sel_excl_yr_ind, [1]Tables!$HN$4, rng_out_GB_Medispan, N$1,rng_out_sel_G_ind,N$1,rng_out_mail_ind,$B323,rng_out_ds,$C323,rng_out_sel_sp_ind,$D323,rng_out_sel_excl_ind,$E323, rng_out_MSB_excl, $F323)* _xlfn.XLOOKUP([1]Tables!$HN$4,'[1]RA Output'!$AY$4:$AY$5,'[1]RA Output'!AZ$4:AZ$5,0)  +
SUMIFS(rng_out_awp_post_yr1,rng_out_sel_excl_yr_ind, [1]Tables!$HN$5, rng_out_GB_Medispan, N$1,rng_out_sel_G_ind,N$1,rng_out_mail_ind,$B323,rng_out_ds,$C323,rng_out_sel_sp_ind,$D323,rng_out_sel_excl_ind,$E323, rng_out_MSB_excl, $F323)* _xlfn.XLOOKUP([1]Tables!$HN$5,'[1]RA Output'!$AY$4:$AY$5,'[1]RA Output'!AZ$4:AZ$5,0)+
SUMIFS(rng_out_awp_post_yr1, rng_out_mail_ind, $B323, rng_out_GB_Medispan, I$1, rng_out_sel_G_ind, I$1, rng_out_ds, $C323, rng_out_sel_sp_ind, $D323, rng_out_sel_excl_ind,"N", rng_out_MSB_excl, $F323, rng_out_post_reb_ind_yr1, 0)) * ((1-[1]Tables!$BN$4)/[1]Tables!$BN$4) * [1]Tables!$BN$5)/[1]Tables!$AT$4, 0) +
IFERROR(SUMIFS(rng_out_awp_post_yr1,rng_out_sel_excl_yr_ind, "", rng_out_GB_Medispan, I$1,rng_out_sel_G_ind,I$1,rng_out_mail_ind,$B323,rng_out_ds,$C323,rng_out_sel_sp_ind,$D323,rng_out_sel_excl_ind,$E323)+
SUMIFS(rng_out_awp_post_yr1,rng_out_sel_excl_yr_ind, [1]Tables!$HN$4, rng_out_GB_Medispan, I$1,rng_out_sel_G_ind,I$1,rng_out_mail_ind,$B323,rng_out_ds,$C323,rng_out_sel_sp_ind,$D323,rng_out_sel_excl_ind,$E323)* _xlfn.XLOOKUP([1]Tables!$HN$4,'[1]RA Output'!$AY$4:$AY$5,'[1]RA Output'!AZ$4:AZ$5,0)  +
SUMIFS(rng_out_awp_post_yr1,rng_out_sel_excl_yr_ind, [1]Tables!$HN$5, rng_out_GB_Medispan, I$1,rng_out_sel_G_ind,I$1,rng_out_mail_ind,$B323,rng_out_ds,$C323,rng_out_sel_sp_ind,$D323,rng_out_sel_excl_ind,$E323)* _xlfn.XLOOKUP([1]Tables!$HN$5,'[1]RA Output'!$AY$4:$AY$5,'[1]RA Output'!AZ$4:AZ$5,0) + SUMIFS(rng_out_awp_post_yr1, rng_out_GB_Medispan, I$1, rng_out_sel_G_ind, I$1, rng_out_mail_ind, $B323, rng_out_ds, $C323, rng_out_sel_sp_ind, $D323, rng_out_sel_excl_ind,"N", rng_out_post_reb_ind_yr1, 0)/[1]Tables!$AT$4, 0))</f>
        <v>0</v>
      </c>
      <c r="AR323" s="5" cm="1">
        <f t="array" aca="1" ref="AR323" ca="1">IF($E$327="N", IFERROR(IF(OR(input_Shift="No", [1]Tables!$BN$4=1), 0, (SUMIFS(rng_out_awp_post_yr2,rng_out_sel_excl_yr_ind, "", rng_out_GB_Medispan, O$1,rng_out_sel_G_ind,O$1,rng_out_mail_ind,$B323,rng_out_ds,$C323,rng_out_sel_sp_ind,$D323,rng_out_sel_excl_ind,$E323, rng_out_MSB_excl, $F323)+
SUMIFS(rng_out_awp_post_yr2,rng_out_sel_excl_yr_ind, [1]Tables!$HN$4, rng_out_GB_Medispan, O$1,rng_out_sel_G_ind,O$1,rng_out_mail_ind,$B323,rng_out_ds,$C323,rng_out_sel_sp_ind,$D323,rng_out_sel_excl_ind,$E323, rng_out_MSB_excl, $F323)* _xlfn.XLOOKUP([1]Tables!$HN$4,'[1]RA Output'!$AY$4:$AY$5,'[1]RA Output'!BA$4:BA$5,0)  +
SUMIFS(rng_out_awp_post_yr2,rng_out_sel_excl_yr_ind, [1]Tables!$HN$5, rng_out_GB_Medispan, O$1,rng_out_sel_G_ind,O$1,rng_out_mail_ind,$B323,rng_out_ds,$C323,rng_out_sel_sp_ind,$D323,rng_out_sel_excl_ind,$E323, rng_out_MSB_excl, $F323)* _xlfn.XLOOKUP([1]Tables!$HN$5,'[1]RA Output'!$AY$4:$AY$5,'[1]RA Output'!BA$4:BA$5,0)) * ((1-[1]Tables!$BN$4)/[1]Tables!$BN$4) * [1]Tables!$BN$5)/[1]Tables!$AT$4, 0) +
IFERROR((SUMIFS(rng_out_awp_post_yr2,rng_out_sel_excl_yr_ind, "", rng_out_GB_Medispan, J$1,rng_out_sel_G_ind,J$1,rng_out_mail_ind,$B323,rng_out_ds,$C323,rng_out_sel_sp_ind,$D323,rng_out_sel_excl_ind,$E323)+
SUMIFS(rng_out_awp_post_yr2,rng_out_sel_excl_yr_ind, [1]Tables!$HN$4, rng_out_GB_Medispan, J$1,rng_out_sel_G_ind,J$1,rng_out_mail_ind,$B323,rng_out_ds,$C323,rng_out_sel_sp_ind,$D323,rng_out_sel_excl_ind,$E323)* _xlfn.XLOOKUP([1]Tables!$HN$4,'[1]RA Output'!$AY$4:$AY$5,'[1]RA Output'!BA$4:BA$5,0)  +
SUMIFS(rng_out_awp_post_yr2,rng_out_sel_excl_yr_ind, [1]Tables!$HN$5, rng_out_GB_Medispan, J$1,rng_out_sel_G_ind,J$1,rng_out_mail_ind,$B323,rng_out_ds,$C323,rng_out_sel_sp_ind,$D323,rng_out_sel_excl_ind,$E323)* _xlfn.XLOOKUP([1]Tables!$HN$5,'[1]RA Output'!$AY$4:$AY$5,'[1]RA Output'!BA$4:BA$5,0))/[1]Tables!$AT$4, 0),
IFERROR(IF(OR(input_Shift="No", [1]Tables!$BN$4=1), 0, (SUMIFS(rng_out_awp_post_yr2,rng_out_sel_excl_yr_ind, "", rng_out_GB_Medispan, O$1,rng_out_sel_G_ind,O$1,rng_out_mail_ind,$B323,rng_out_ds,$C323,rng_out_sel_sp_ind,$D323,rng_out_sel_excl_ind,$E323, rng_out_MSB_excl, $F323)+
SUMIFS(rng_out_awp_post_yr2,rng_out_sel_excl_yr_ind, [1]Tables!$HN$4, rng_out_GB_Medispan, O$1,rng_out_sel_G_ind,O$1,rng_out_mail_ind,$B323,rng_out_ds,$C323,rng_out_sel_sp_ind,$D323,rng_out_sel_excl_ind,$E323, rng_out_MSB_excl, $F323)* _xlfn.XLOOKUP([1]Tables!$HN$4,'[1]RA Output'!$AY$4:$AY$5,'[1]RA Output'!BA$4:BA$5,0)  +
SUMIFS(rng_out_awp_post_yr2,rng_out_sel_excl_yr_ind, [1]Tables!$HN$5, rng_out_GB_Medispan, O$1,rng_out_sel_G_ind,O$1,rng_out_mail_ind,$B323,rng_out_ds,$C323,rng_out_sel_sp_ind,$D323,rng_out_sel_excl_ind,$E323, rng_out_MSB_excl, $F323)* _xlfn.XLOOKUP([1]Tables!$HN$5,'[1]RA Output'!$AY$4:$AY$5,'[1]RA Output'!BA$4:BA$5,0)+
SUMIFS(rng_out_awp_post_yr2, rng_out_mail_ind, $B323, rng_out_GB_Medispan, J$1, rng_out_sel_G_ind, J$1, rng_out_ds, $C323, rng_out_sel_sp_ind, $D323, rng_out_sel_excl_ind,"N", rng_out_MSB_excl, $F323, rng_out_post_reb_ind_yr2, 0)) * ((1-[1]Tables!$BN$4)/[1]Tables!$BN$4) * [1]Tables!$BN$5)/[1]Tables!$AT$4, 0) +
IFERROR(SUMIFS(rng_out_awp_post_yr2,rng_out_sel_excl_yr_ind, "", rng_out_GB_Medispan, J$1,rng_out_sel_G_ind,J$1,rng_out_mail_ind,$B323,rng_out_ds,$C323,rng_out_sel_sp_ind,$D323,rng_out_sel_excl_ind,$E323)+
SUMIFS(rng_out_awp_post_yr2,rng_out_sel_excl_yr_ind, [1]Tables!$HN$4, rng_out_GB_Medispan, J$1,rng_out_sel_G_ind,J$1,rng_out_mail_ind,$B323,rng_out_ds,$C323,rng_out_sel_sp_ind,$D323,rng_out_sel_excl_ind,$E323)* _xlfn.XLOOKUP([1]Tables!$HN$4,'[1]RA Output'!$AY$4:$AY$5,'[1]RA Output'!BA$4:BA$5,0)  +
SUMIFS(rng_out_awp_post_yr2,rng_out_sel_excl_yr_ind, [1]Tables!$HN$5, rng_out_GB_Medispan, J$1,rng_out_sel_G_ind,J$1,rng_out_mail_ind,$B323,rng_out_ds,$C323,rng_out_sel_sp_ind,$D323,rng_out_sel_excl_ind,$E323)* _xlfn.XLOOKUP([1]Tables!$HN$5,'[1]RA Output'!$AY$4:$AY$5,'[1]RA Output'!BA$4:BA$5,0) + SUMIFS(rng_out_awp_post_yr2, rng_out_GB_Medispan, J$1, rng_out_sel_G_ind, J$1, rng_out_mail_ind, $B323, rng_out_ds, $C323, rng_out_sel_sp_ind, $D323, rng_out_sel_excl_ind,"N", rng_out_post_reb_ind_yr2, 0)/[1]Tables!$AT$4, 0))</f>
        <v>0</v>
      </c>
      <c r="AS323" s="5" cm="1">
        <f t="array" aca="1" ref="AS323" ca="1">IF($E$327="N", IFERROR(IF(OR(input_Shift="No", [1]Tables!$BN$4=1), 0, (SUMIFS(rng_out_awp_post_yr3,rng_out_sel_excl_yr_ind, "", rng_out_GB_Medispan, P$1,rng_out_sel_G_ind,P$1,rng_out_mail_ind,$B323,rng_out_ds,$C323,rng_out_sel_sp_ind,$D323,rng_out_sel_excl_ind,$E323, rng_out_MSB_excl, $F323)+
SUMIFS(rng_out_awp_post_yr3,rng_out_sel_excl_yr_ind, [1]Tables!$HN$4, rng_out_GB_Medispan, P$1,rng_out_sel_G_ind,P$1,rng_out_mail_ind,$B323,rng_out_ds,$C323,rng_out_sel_sp_ind,$D323,rng_out_sel_excl_ind,$E323, rng_out_MSB_excl, $F323)* _xlfn.XLOOKUP([1]Tables!$HN$4,'[1]RA Output'!$AY$4:$AY$5,'[1]RA Output'!BB$4:BB$5,0)  +
SUMIFS(rng_out_awp_post_yr3,rng_out_sel_excl_yr_ind, [1]Tables!$HN$5, rng_out_GB_Medispan, P$1,rng_out_sel_G_ind,P$1,rng_out_mail_ind,$B323,rng_out_ds,$C323,rng_out_sel_sp_ind,$D323,rng_out_sel_excl_ind,$E323, rng_out_MSB_excl, $F323)* _xlfn.XLOOKUP([1]Tables!$HN$5,'[1]RA Output'!$AY$4:$AY$5,'[1]RA Output'!BB$4:BB$5,0)) * ((1-[1]Tables!$BN$4)/[1]Tables!$BN$4) * [1]Tables!$BN$5)/[1]Tables!$AT$4, 0) +
IFERROR((SUMIFS(rng_out_awp_post_yr3,rng_out_sel_excl_yr_ind, "", rng_out_GB_Medispan, K$1,rng_out_sel_G_ind,K$1,rng_out_mail_ind,$B323,rng_out_ds,$C323,rng_out_sel_sp_ind,$D323,rng_out_sel_excl_ind,$E323)+
SUMIFS(rng_out_awp_post_yr3,rng_out_sel_excl_yr_ind, [1]Tables!$HN$4, rng_out_GB_Medispan, K$1,rng_out_sel_G_ind,K$1,rng_out_mail_ind,$B323,rng_out_ds,$C323,rng_out_sel_sp_ind,$D323,rng_out_sel_excl_ind,$E323)* _xlfn.XLOOKUP([1]Tables!$HN$4,'[1]RA Output'!$AY$4:$AY$5,'[1]RA Output'!BB$4:BB$5,0)  +
SUMIFS(rng_out_awp_post_yr3,rng_out_sel_excl_yr_ind, [1]Tables!$HN$5, rng_out_GB_Medispan, K$1,rng_out_sel_G_ind,K$1,rng_out_mail_ind,$B323,rng_out_ds,$C323,rng_out_sel_sp_ind,$D323,rng_out_sel_excl_ind,$E323)* _xlfn.XLOOKUP([1]Tables!$HN$5,'[1]RA Output'!$AY$4:$AY$5,'[1]RA Output'!BB$4:BB$5,0))/[1]Tables!$AT$4, 0),
IFERROR(IF(OR(input_Shift="No", [1]Tables!$BN$4=1), 0, (SUMIFS(rng_out_awp_post_yr3,rng_out_sel_excl_yr_ind, "", rng_out_GB_Medispan, P$1,rng_out_sel_G_ind,P$1,rng_out_mail_ind,$B323,rng_out_ds,$C323,rng_out_sel_sp_ind,$D323,rng_out_sel_excl_ind,$E323, rng_out_MSB_excl, $F323)+
SUMIFS(rng_out_awp_post_yr3,rng_out_sel_excl_yr_ind, [1]Tables!$HN$4, rng_out_GB_Medispan, P$1,rng_out_sel_G_ind,P$1,rng_out_mail_ind,$B323,rng_out_ds,$C323,rng_out_sel_sp_ind,$D323,rng_out_sel_excl_ind,$E323, rng_out_MSB_excl, $F323)* _xlfn.XLOOKUP([1]Tables!$HN$4,'[1]RA Output'!$AY$4:$AY$5,'[1]RA Output'!BB$4:BB$5,0)  +
SUMIFS(rng_out_awp_post_yr3,rng_out_sel_excl_yr_ind, [1]Tables!$HN$5, rng_out_GB_Medispan, P$1,rng_out_sel_G_ind,P$1,rng_out_mail_ind,$B323,rng_out_ds,$C323,rng_out_sel_sp_ind,$D323,rng_out_sel_excl_ind,$E323, rng_out_MSB_excl, $F323)* _xlfn.XLOOKUP([1]Tables!$HN$5,'[1]RA Output'!$AY$4:$AY$5,'[1]RA Output'!BB$4:BB$5,0)+
SUMIFS(rng_out_awp_post_yr3, rng_out_mail_ind, $B323, rng_out_GB_Medispan, K$1, rng_out_sel_G_ind, K$1, rng_out_ds, $C323, rng_out_sel_sp_ind, $D323, rng_out_sel_excl_ind,"N", rng_out_MSB_excl, $F323, rng_out_post_reb_ind_yr3, 0)) * ((1-[1]Tables!$BN$4)/[1]Tables!$BN$4) * [1]Tables!$BN$5)/[1]Tables!$AT$4, 0) +
IFERROR(SUMIFS(rng_out_awp_post_yr3,rng_out_sel_excl_yr_ind, "", rng_out_GB_Medispan, K$1,rng_out_sel_G_ind,K$1,rng_out_mail_ind,$B323,rng_out_ds,$C323,rng_out_sel_sp_ind,$D323,rng_out_sel_excl_ind,$E323)+
SUMIFS(rng_out_awp_post_yr3,rng_out_sel_excl_yr_ind, [1]Tables!$HN$4, rng_out_GB_Medispan, K$1,rng_out_sel_G_ind,K$1,rng_out_mail_ind,$B323,rng_out_ds,$C323,rng_out_sel_sp_ind,$D323,rng_out_sel_excl_ind,$E323)* _xlfn.XLOOKUP([1]Tables!$HN$4,'[1]RA Output'!$AY$4:$AY$5,'[1]RA Output'!BB$4:BB$5,0)  +
SUMIFS(rng_out_awp_post_yr3,rng_out_sel_excl_yr_ind, [1]Tables!$HN$5, rng_out_GB_Medispan, K$1,rng_out_sel_G_ind,K$1,rng_out_mail_ind,$B323,rng_out_ds,$C323,rng_out_sel_sp_ind,$D323,rng_out_sel_excl_ind,$E323)* _xlfn.XLOOKUP([1]Tables!$HN$5,'[1]RA Output'!$AY$4:$AY$5,'[1]RA Output'!BB$4:BB$5,0) + SUMIFS(rng_out_awp_post_yr3, rng_out_GB_Medispan, K$1, rng_out_sel_G_ind, K$1, rng_out_mail_ind, $B323, rng_out_ds, $C323, rng_out_sel_sp_ind, $D323, rng_out_sel_excl_ind,"N", rng_out_post_reb_ind_yr3, 0)/[1]Tables!$AT$4, 0))</f>
        <v>0</v>
      </c>
      <c r="AT323" s="5" cm="1">
        <f t="array" aca="1" ref="AT323" ca="1">IF($E$327="N", IFERROR(IF(OR(input_Shift="No", [1]Tables!$BN$4=1), 0, (SUMIFS(rng_out_awp_post_yr4,rng_out_sel_excl_yr_ind, "", rng_out_GB_Medispan, Q$1,rng_out_sel_G_ind,Q$1,rng_out_mail_ind,$B323,rng_out_ds,$C323,rng_out_sel_sp_ind,$D323,rng_out_sel_excl_ind,$E323, rng_out_MSB_excl, $F323)+
SUMIFS(rng_out_awp_post_yr4,rng_out_sel_excl_yr_ind, [1]Tables!$HN$4, rng_out_GB_Medispan, Q$1,rng_out_sel_G_ind,Q$1,rng_out_mail_ind,$B323,rng_out_ds,$C323,rng_out_sel_sp_ind,$D323,rng_out_sel_excl_ind,$E323, rng_out_MSB_excl, $F323)* _xlfn.XLOOKUP([1]Tables!$HN$4,'[1]RA Output'!$AY$4:$AY$5,'[1]RA Output'!BC$4:BC$5,0)  +
SUMIFS(rng_out_awp_post_yr4,rng_out_sel_excl_yr_ind, [1]Tables!$HN$5, rng_out_GB_Medispan, Q$1,rng_out_sel_G_ind,Q$1,rng_out_mail_ind,$B323,rng_out_ds,$C323,rng_out_sel_sp_ind,$D323,rng_out_sel_excl_ind,$E323, rng_out_MSB_excl, $F323)* _xlfn.XLOOKUP([1]Tables!$HN$5,'[1]RA Output'!$AY$4:$AY$5,'[1]RA Output'!BC$4:BC$5,0)) * ((1-[1]Tables!$BN$4)/[1]Tables!$BN$4) * [1]Tables!$BN$5)/[1]Tables!$AT$4, 0) +
IFERROR((SUMIFS(rng_out_awp_post_yr4,rng_out_sel_excl_yr_ind, "", rng_out_GB_Medispan, L$1,rng_out_sel_G_ind,L$1,rng_out_mail_ind,$B323,rng_out_ds,$C323,rng_out_sel_sp_ind,$D323,rng_out_sel_excl_ind,$E323)+
SUMIFS(rng_out_awp_post_yr4,rng_out_sel_excl_yr_ind, [1]Tables!$HN$4, rng_out_GB_Medispan, L$1,rng_out_sel_G_ind,L$1,rng_out_mail_ind,$B323,rng_out_ds,$C323,rng_out_sel_sp_ind,$D323,rng_out_sel_excl_ind,$E323)* _xlfn.XLOOKUP([1]Tables!$HN$4,'[1]RA Output'!$AY$4:$AY$5,'[1]RA Output'!BC$4:BC$5,0)  +
SUMIFS(rng_out_awp_post_yr4,rng_out_sel_excl_yr_ind, [1]Tables!$HN$5, rng_out_GB_Medispan, L$1,rng_out_sel_G_ind,L$1,rng_out_mail_ind,$B323,rng_out_ds,$C323,rng_out_sel_sp_ind,$D323,rng_out_sel_excl_ind,$E323)* _xlfn.XLOOKUP([1]Tables!$HN$5,'[1]RA Output'!$AY$4:$AY$5,'[1]RA Output'!BC$4:BC$5,0))/[1]Tables!$AT$4, 0),
IFERROR(IF(OR(input_Shift="No", [1]Tables!$BN$4=1), 0, (SUMIFS(rng_out_awp_post_yr4,rng_out_sel_excl_yr_ind, "", rng_out_GB_Medispan, Q$1,rng_out_sel_G_ind,Q$1,rng_out_mail_ind,$B323,rng_out_ds,$C323,rng_out_sel_sp_ind,$D323,rng_out_sel_excl_ind,$E323, rng_out_MSB_excl, $F323)+
SUMIFS(rng_out_awp_post_yr4,rng_out_sel_excl_yr_ind, [1]Tables!$HN$4, rng_out_GB_Medispan, Q$1,rng_out_sel_G_ind,Q$1,rng_out_mail_ind,$B323,rng_out_ds,$C323,rng_out_sel_sp_ind,$D323,rng_out_sel_excl_ind,$E323, rng_out_MSB_excl, $F323)* _xlfn.XLOOKUP([1]Tables!$HN$4,'[1]RA Output'!$AY$4:$AY$5,'[1]RA Output'!BC$4:BC$5,0)  +
SUMIFS(rng_out_awp_post_yr4,rng_out_sel_excl_yr_ind, [1]Tables!$HN$5, rng_out_GB_Medispan, Q$1,rng_out_sel_G_ind,Q$1,rng_out_mail_ind,$B323,rng_out_ds,$C323,rng_out_sel_sp_ind,$D323,rng_out_sel_excl_ind,$E323, rng_out_MSB_excl, $F323)* _xlfn.XLOOKUP([1]Tables!$HN$5,'[1]RA Output'!$AY$4:$AY$5,'[1]RA Output'!BC$4:BC$5,0)+
SUMIFS(rng_out_awp_post_yr4, rng_out_mail_ind, $B323, rng_out_GB_Medispan, L$1, rng_out_sel_G_ind, L$1, rng_out_ds, $C323, rng_out_sel_sp_ind, $D323, rng_out_sel_excl_ind,"N", rng_out_MSB_excl, $F323, rng_out_post_reb_ind_yr4, 0)) * ((1-[1]Tables!$BN$4)/[1]Tables!$BN$4) * [1]Tables!$BN$5)/[1]Tables!$AT$4, 0) +
IFERROR(SUMIFS(rng_out_awp_post_yr4,rng_out_sel_excl_yr_ind, "", rng_out_GB_Medispan, L$1,rng_out_sel_G_ind,L$1,rng_out_mail_ind,$B323,rng_out_ds,$C323,rng_out_sel_sp_ind,$D323,rng_out_sel_excl_ind,$E323)+
SUMIFS(rng_out_awp_post_yr4,rng_out_sel_excl_yr_ind, [1]Tables!$HN$4, rng_out_GB_Medispan, L$1,rng_out_sel_G_ind,L$1,rng_out_mail_ind,$B323,rng_out_ds,$C323,rng_out_sel_sp_ind,$D323,rng_out_sel_excl_ind,$E323)* _xlfn.XLOOKUP([1]Tables!$HN$4,'[1]RA Output'!$AY$4:$AY$5,'[1]RA Output'!BC$4:BC$5,0)  +
SUMIFS(rng_out_awp_post_yr4,rng_out_sel_excl_yr_ind, [1]Tables!$HN$5, rng_out_GB_Medispan, L$1,rng_out_sel_G_ind,L$1,rng_out_mail_ind,$B323,rng_out_ds,$C323,rng_out_sel_sp_ind,$D323,rng_out_sel_excl_ind,$E323)* _xlfn.XLOOKUP([1]Tables!$HN$5,'[1]RA Output'!$AY$4:$AY$5,'[1]RA Output'!BC$4:BC$5,0) + SUMIFS(rng_out_awp_post_yr4, rng_out_GB_Medispan, L$1, rng_out_sel_G_ind, L$1, rng_out_mail_ind, $B323, rng_out_ds, $C323, rng_out_sel_sp_ind, $D323, rng_out_sel_excl_ind,"N", rng_out_post_reb_ind_yr4, 0)/[1]Tables!$AT$4, 0))</f>
        <v>0</v>
      </c>
      <c r="AU323" s="85" cm="1">
        <f t="array" aca="1" ref="AU323" ca="1">IF($E$327="N", IFERROR(IF(OR(input_Shift="No", [1]Tables!$BN$4=1), 0, (SUMIFS(rng_out_awp_post_yr5,rng_out_sel_excl_yr_ind, "", rng_out_GB_Medispan, R$1,rng_out_sel_G_ind,R$1,rng_out_mail_ind,$B323,rng_out_ds,$C323,rng_out_sel_sp_ind,$D323,rng_out_sel_excl_ind,$E323, rng_out_MSB_excl, $F323)+
SUMIFS(rng_out_awp_post_yr5,rng_out_sel_excl_yr_ind, [1]Tables!$HN$4, rng_out_GB_Medispan, R$1,rng_out_sel_G_ind,R$1,rng_out_mail_ind,$B323,rng_out_ds,$C323,rng_out_sel_sp_ind,$D323,rng_out_sel_excl_ind,$E323, rng_out_MSB_excl, $F323)* _xlfn.XLOOKUP([1]Tables!$HN$4,'[1]RA Output'!$AY$4:$AY$5,'[1]RA Output'!BD$4:BD$5,0)  +
SUMIFS(rng_out_awp_post_yr5,rng_out_sel_excl_yr_ind, [1]Tables!$HN$5, rng_out_GB_Medispan, R$1,rng_out_sel_G_ind,R$1,rng_out_mail_ind,$B323,rng_out_ds,$C323,rng_out_sel_sp_ind,$D323,rng_out_sel_excl_ind,$E323, rng_out_MSB_excl, $F323)* _xlfn.XLOOKUP([1]Tables!$HN$5,'[1]RA Output'!$AY$4:$AY$5,'[1]RA Output'!BD$4:BD$5,0)) * ((1-[1]Tables!$BN$4)/[1]Tables!$BN$4) * [1]Tables!$BN$5)/[1]Tables!$AT$4, 0) +
IFERROR((SUMIFS(rng_out_awp_post_yr5,rng_out_sel_excl_yr_ind, "", rng_out_GB_Medispan, M$1,rng_out_sel_G_ind,M$1,rng_out_mail_ind,$B323,rng_out_ds,$C323,rng_out_sel_sp_ind,$D323,rng_out_sel_excl_ind,$E323)+
SUMIFS(rng_out_awp_post_yr5,rng_out_sel_excl_yr_ind, [1]Tables!$HN$4, rng_out_GB_Medispan, M$1,rng_out_sel_G_ind,M$1,rng_out_mail_ind,$B323,rng_out_ds,$C323,rng_out_sel_sp_ind,$D323,rng_out_sel_excl_ind,$E323)* _xlfn.XLOOKUP([1]Tables!$HN$4,'[1]RA Output'!$AY$4:$AY$5,'[1]RA Output'!BD$4:BD$5,0)  +
SUMIFS(rng_out_awp_post_yr5,rng_out_sel_excl_yr_ind, [1]Tables!$HN$5, rng_out_GB_Medispan, M$1,rng_out_sel_G_ind,M$1,rng_out_mail_ind,$B323,rng_out_ds,$C323,rng_out_sel_sp_ind,$D323,rng_out_sel_excl_ind,$E323)* _xlfn.XLOOKUP([1]Tables!$HN$5,'[1]RA Output'!$AY$4:$AY$5,'[1]RA Output'!BD$4:BD$5,0))/[1]Tables!$AT$4, 0),
IFERROR(IF(OR(input_Shift="No", [1]Tables!$BN$4=1), 0, (SUMIFS(rng_out_awp_post_yr5,rng_out_sel_excl_yr_ind, "", rng_out_GB_Medispan, R$1,rng_out_sel_G_ind,R$1,rng_out_mail_ind,$B323,rng_out_ds,$C323,rng_out_sel_sp_ind,$D323,rng_out_sel_excl_ind,$E323, rng_out_MSB_excl, $F323)+
SUMIFS(rng_out_awp_post_yr5,rng_out_sel_excl_yr_ind, [1]Tables!$HN$4, rng_out_GB_Medispan, R$1,rng_out_sel_G_ind,R$1,rng_out_mail_ind,$B323,rng_out_ds,$C323,rng_out_sel_sp_ind,$D323,rng_out_sel_excl_ind,$E323, rng_out_MSB_excl, $F323)* _xlfn.XLOOKUP([1]Tables!$HN$4,'[1]RA Output'!$AY$4:$AY$5,'[1]RA Output'!BD$4:BD$5,0)  +
SUMIFS(rng_out_awp_post_yr5,rng_out_sel_excl_yr_ind, [1]Tables!$HN$5, rng_out_GB_Medispan, R$1,rng_out_sel_G_ind,R$1,rng_out_mail_ind,$B323,rng_out_ds,$C323,rng_out_sel_sp_ind,$D323,rng_out_sel_excl_ind,$E323, rng_out_MSB_excl, $F323)* _xlfn.XLOOKUP([1]Tables!$HN$5,'[1]RA Output'!$AY$4:$AY$5,'[1]RA Output'!BD$4:BD$5,0)+
SUMIFS(rng_out_awp_post_yr5, rng_out_mail_ind, $B323, rng_out_GB_Medispan, M$1, rng_out_sel_G_ind, M$1, rng_out_ds, $C323, rng_out_sel_sp_ind, $D323, rng_out_sel_excl_ind,"N", rng_out_MSB_excl, $F323, rng_out_post_reb_ind_yr5, 0)) * ((1-[1]Tables!$BN$4)/[1]Tables!$BN$4) * [1]Tables!$BN$5)/[1]Tables!$AT$4, 0) +
IFERROR(SUMIFS(rng_out_awp_post_yr5,rng_out_sel_excl_yr_ind, "", rng_out_GB_Medispan, M$1,rng_out_sel_G_ind,M$1,rng_out_mail_ind,$B323,rng_out_ds,$C323,rng_out_sel_sp_ind,$D323,rng_out_sel_excl_ind,$E323)+
SUMIFS(rng_out_awp_post_yr5,rng_out_sel_excl_yr_ind, [1]Tables!$HN$4, rng_out_GB_Medispan, M$1,rng_out_sel_G_ind,M$1,rng_out_mail_ind,$B323,rng_out_ds,$C323,rng_out_sel_sp_ind,$D323,rng_out_sel_excl_ind,$E323)* _xlfn.XLOOKUP([1]Tables!$HN$4,'[1]RA Output'!$AY$4:$AY$5,'[1]RA Output'!BD$4:BD$5,0)  +
SUMIFS(rng_out_awp_post_yr5,rng_out_sel_excl_yr_ind, [1]Tables!$HN$5, rng_out_GB_Medispan, M$1,rng_out_sel_G_ind,M$1,rng_out_mail_ind,$B323,rng_out_ds,$C323,rng_out_sel_sp_ind,$D323,rng_out_sel_excl_ind,$E323)* _xlfn.XLOOKUP([1]Tables!$HN$5,'[1]RA Output'!$AY$4:$AY$5,'[1]RA Output'!BD$4:BD$5,0) + SUMIFS(rng_out_awp_post_yr5, rng_out_GB_Medispan, M$1, rng_out_sel_G_ind, M$1, rng_out_mail_ind, $B323, rng_out_ds, $C323, rng_out_sel_sp_ind, $D323, rng_out_sel_excl_ind,"N", rng_out_post_reb_ind_yr5, 0)/[1]Tables!$AT$4, 0))</f>
        <v>0</v>
      </c>
      <c r="AV323" s="86">
        <f t="shared" ref="AV323:AZ327" ca="1" si="349">IFERROR(AQ323/AQ276, 0)</f>
        <v>0</v>
      </c>
      <c r="AW323" s="75">
        <f t="shared" ca="1" si="349"/>
        <v>0</v>
      </c>
      <c r="AX323" s="75">
        <f t="shared" ca="1" si="349"/>
        <v>0</v>
      </c>
      <c r="AY323" s="75">
        <f t="shared" ca="1" si="349"/>
        <v>0</v>
      </c>
      <c r="AZ323" s="87">
        <f t="shared" ca="1" si="349"/>
        <v>0</v>
      </c>
      <c r="BG323" s="88" t="s">
        <v>14</v>
      </c>
      <c r="BH323" s="97">
        <f t="shared" ref="BH323:BL326" ca="1" si="350">AQ323</f>
        <v>0</v>
      </c>
      <c r="BI323" s="79">
        <f t="shared" ca="1" si="350"/>
        <v>0</v>
      </c>
      <c r="BJ323" s="79">
        <f t="shared" ca="1" si="350"/>
        <v>0</v>
      </c>
      <c r="BK323" s="79">
        <f t="shared" ca="1" si="350"/>
        <v>0</v>
      </c>
      <c r="BL323" s="98">
        <f t="shared" ca="1" si="350"/>
        <v>0</v>
      </c>
      <c r="BM323" s="92">
        <f t="shared" ref="BM323:BQ327" ca="1" si="351">IFERROR(BH323/BH276, 0)</f>
        <v>0</v>
      </c>
      <c r="BN323" s="75">
        <f t="shared" ca="1" si="351"/>
        <v>0</v>
      </c>
      <c r="BO323" s="75">
        <f t="shared" ca="1" si="351"/>
        <v>0</v>
      </c>
      <c r="BP323" s="75">
        <f t="shared" ca="1" si="351"/>
        <v>0</v>
      </c>
      <c r="BQ323" s="93">
        <f t="shared" ca="1" si="351"/>
        <v>0</v>
      </c>
      <c r="BX323" s="88" t="s">
        <v>14</v>
      </c>
      <c r="BY323" s="97">
        <f t="shared" ref="BY323:CC326" ca="1" si="352">CD323*BY276</f>
        <v>0</v>
      </c>
      <c r="BZ323" s="79">
        <f t="shared" ca="1" si="352"/>
        <v>0</v>
      </c>
      <c r="CA323" s="79">
        <f t="shared" ca="1" si="352"/>
        <v>0</v>
      </c>
      <c r="CB323" s="79">
        <f t="shared" ca="1" si="352"/>
        <v>0</v>
      </c>
      <c r="CC323" s="98">
        <f t="shared" ca="1" si="352"/>
        <v>0</v>
      </c>
      <c r="CD323" s="92">
        <f t="shared" ref="CD323:CH326" ca="1" si="353">BM323</f>
        <v>0</v>
      </c>
      <c r="CE323" s="75">
        <f t="shared" ca="1" si="353"/>
        <v>0</v>
      </c>
      <c r="CF323" s="75">
        <f t="shared" ca="1" si="353"/>
        <v>0</v>
      </c>
      <c r="CG323" s="75">
        <f t="shared" ca="1" si="353"/>
        <v>0</v>
      </c>
      <c r="CH323" s="93">
        <f t="shared" ca="1" si="353"/>
        <v>0</v>
      </c>
      <c r="CO323" s="215" cm="1">
        <f t="array" aca="1" ref="CO323" ca="1">_xlfn.SINGLE(IFERROR(SUMIFS(rng_out_awp_base, rng_out_GB_Medispan, "G", rng_out_sel_G_ind, "G", rng_out_mail_ind, $B323, rng_out_ds, $C323, rng_out_sel_sp_ind, $D323, rng_out_sel_excl_ind,$E323)/[1]Tables!$AT$4, 0))</f>
        <v>0</v>
      </c>
      <c r="CP323" s="217" cm="1">
        <f t="array" aca="1" ref="CP323" ca="1">_xlfn.SINGLE(IFERROR(SUMIFS(rng_out_awp_base, rng_out_GB_Medispan, "B", rng_out_sel_G_ind, "B", rng_out_mail_ind, $B323, rng_out_ds, $C323, rng_out_sel_sp_ind, $D323, rng_out_sel_excl_ind,$E323)/[1]Tables!$AT$4, 0))</f>
        <v>0</v>
      </c>
      <c r="CQ323" s="218">
        <f ca="1">SUM(CO323:CP323)</f>
        <v>0</v>
      </c>
      <c r="CR323" s="94">
        <f t="shared" ref="CR323:CT327" ca="1" si="354">IFERROR(CO323/CO276, 0)</f>
        <v>0</v>
      </c>
      <c r="CS323" s="96">
        <f t="shared" ca="1" si="354"/>
        <v>0</v>
      </c>
      <c r="CT323" s="357">
        <f t="shared" ca="1" si="354"/>
        <v>0</v>
      </c>
    </row>
    <row r="324" spans="2:98" x14ac:dyDescent="0.35">
      <c r="B324" s="105" t="s">
        <v>11</v>
      </c>
      <c r="C324" s="106">
        <v>90</v>
      </c>
      <c r="D324" s="106" t="s">
        <v>12</v>
      </c>
      <c r="E324" s="107" t="s">
        <v>13</v>
      </c>
      <c r="F324" s="106">
        <v>1</v>
      </c>
      <c r="H324" s="108" t="s">
        <v>15</v>
      </c>
      <c r="I324" s="72" t="e" cm="1">
        <f t="array" aca="1" ref="I324" ca="1">SUMIFS(rng_out_awp_pre_yr1,rng_out_sel_excl_yr_ind, "", rng_out_GB_Medispan, I$1,rng_out_sel_G_ind,I$1,rng_out_mail_ind,$B324,rng_out_ds,$C324,rng_out_sel_sp_ind,$D324,rng_out_sel_excl_ind,$E324)+
SUMIFS(rng_out_awp_pre_yr1,rng_out_sel_excl_yr_ind, [1]Tables!$HN$4, rng_out_GB_Medispan, I$1,rng_out_sel_G_ind,I$1,rng_out_mail_ind,$B324,rng_out_ds,$C324,rng_out_sel_sp_ind,$D324,rng_out_sel_excl_ind,$E324)* _xlfn.XLOOKUP([1]Tables!$HN$4,'[1]RA Output'!$AY$4:$AY$5,'[1]RA Output'!AZ$4:AZ$5,0)  +
SUMIFS(rng_out_awp_pre_yr1,rng_out_sel_excl_yr_ind, [1]Tables!$HN$5, rng_out_GB_Medispan, I$1,rng_out_sel_G_ind,I$1,rng_out_mail_ind,$B324,rng_out_ds,$C324,rng_out_sel_sp_ind,$D324,rng_out_sel_excl_ind,$E324)* _xlfn.XLOOKUP([1]Tables!$HN$5,'[1]RA Output'!$AY$4:$AY$5,'[1]RA Output'!AZ$4:AZ$5,0)+
IF($E$327="N", 0,
SUMIFS(rng_out_awp_pre_yr1, rng_out_GB_Medispan, I$1, rng_out_sel_G_ind, I$1, rng_out_mail_ind, $B324, rng_out_ds, $C324, rng_out_sel_sp_ind, $D324, rng_out_sel_excl_ind,"N", rng_out_post_reb_ind_yr1, 0))</f>
        <v>#VALUE!</v>
      </c>
      <c r="J324" s="5" t="e" cm="1">
        <f t="array" aca="1" ref="J324" ca="1">SUMIFS(rng_out_awp_pre_yr2,rng_out_sel_excl_yr_ind, "", rng_out_GB_Medispan, J$1,rng_out_sel_G_ind,J$1,rng_out_mail_ind,$B324,rng_out_ds,$C324,rng_out_sel_sp_ind,$D324,rng_out_sel_excl_ind,$E324)+
SUMIFS(rng_out_awp_pre_yr2,rng_out_sel_excl_yr_ind, [1]Tables!$HN$4, rng_out_GB_Medispan, J$1,rng_out_sel_G_ind,J$1,rng_out_mail_ind,$B324,rng_out_ds,$C324,rng_out_sel_sp_ind,$D324,rng_out_sel_excl_ind,$E324)* _xlfn.XLOOKUP([1]Tables!$HN$4,'[1]RA Output'!$AY$4:$AY$5,'[1]RA Output'!BA$4:BA$5,0)  +
SUMIFS(rng_out_awp_pre_yr2,rng_out_sel_excl_yr_ind, [1]Tables!$HN$5, rng_out_GB_Medispan, J$1,rng_out_sel_G_ind,J$1,rng_out_mail_ind,$B324,rng_out_ds,$C324,rng_out_sel_sp_ind,$D324,rng_out_sel_excl_ind,$E324)* _xlfn.XLOOKUP([1]Tables!$HN$5,'[1]RA Output'!$AY$4:$AY$5,'[1]RA Output'!BA$4:BA$5,0)+
IF($E$327="N", 0,
SUMIFS(rng_out_awp_pre_yr2, rng_out_GB_Medispan, J$1, rng_out_sel_G_ind, J$1, rng_out_mail_ind, $B324, rng_out_ds, $C324, rng_out_sel_sp_ind, $D324, rng_out_sel_excl_ind,"N", rng_out_post_reb_ind_yr2, 0))</f>
        <v>#VALUE!</v>
      </c>
      <c r="K324" s="5" t="e" cm="1">
        <f t="array" aca="1" ref="K324" ca="1">SUMIFS(rng_out_awp_pre_yr3,rng_out_sel_excl_yr_ind, "", rng_out_GB_Medispan, K$1,rng_out_sel_G_ind,K$1,rng_out_mail_ind,$B324,rng_out_ds,$C324,rng_out_sel_sp_ind,$D324,rng_out_sel_excl_ind,$E324)+
SUMIFS(rng_out_awp_pre_yr3,rng_out_sel_excl_yr_ind, [1]Tables!$HN$4, rng_out_GB_Medispan, K$1,rng_out_sel_G_ind,K$1,rng_out_mail_ind,$B324,rng_out_ds,$C324,rng_out_sel_sp_ind,$D324,rng_out_sel_excl_ind,$E324)* _xlfn.XLOOKUP([1]Tables!$HN$4,'[1]RA Output'!$AY$4:$AY$5,'[1]RA Output'!BB$4:BB$5,0)  +
SUMIFS(rng_out_awp_pre_yr3,rng_out_sel_excl_yr_ind, [1]Tables!$HN$5, rng_out_GB_Medispan, K$1,rng_out_sel_G_ind,K$1,rng_out_mail_ind,$B324,rng_out_ds,$C324,rng_out_sel_sp_ind,$D324,rng_out_sel_excl_ind,$E324)* _xlfn.XLOOKUP([1]Tables!$HN$5,'[1]RA Output'!$AY$4:$AY$5,'[1]RA Output'!BB$4:BB$5,0)+
IF($E$327="N", 0,
SUMIFS(rng_out_awp_pre_yr3, rng_out_GB_Medispan, K$1, rng_out_sel_G_ind, K$1, rng_out_mail_ind, $B324, rng_out_ds, $C324, rng_out_sel_sp_ind, $D324, rng_out_sel_excl_ind,"N", rng_out_post_reb_ind_yr3, 0))</f>
        <v>#VALUE!</v>
      </c>
      <c r="L324" s="5" t="e" cm="1">
        <f t="array" aca="1" ref="L324" ca="1">SUMIFS(rng_out_awp_pre_yr4,rng_out_sel_excl_yr_ind, "", rng_out_GB_Medispan, L$1,rng_out_sel_G_ind,L$1,rng_out_mail_ind,$B324,rng_out_ds,$C324,rng_out_sel_sp_ind,$D324,rng_out_sel_excl_ind,$E324)+
SUMIFS(rng_out_awp_pre_yr4,rng_out_sel_excl_yr_ind, [1]Tables!$HN$4, rng_out_GB_Medispan, L$1,rng_out_sel_G_ind,L$1,rng_out_mail_ind,$B324,rng_out_ds,$C324,rng_out_sel_sp_ind,$D324,rng_out_sel_excl_ind,$E324)* _xlfn.XLOOKUP([1]Tables!$HN$4,'[1]RA Output'!$AY$4:$AY$5,'[1]RA Output'!BC$4:BC$5,0)  +
SUMIFS(rng_out_awp_pre_yr4,rng_out_sel_excl_yr_ind, [1]Tables!$HN$5, rng_out_GB_Medispan, L$1,rng_out_sel_G_ind,L$1,rng_out_mail_ind,$B324,rng_out_ds,$C324,rng_out_sel_sp_ind,$D324,rng_out_sel_excl_ind,$E324)* _xlfn.XLOOKUP([1]Tables!$HN$5,'[1]RA Output'!$AY$4:$AY$5,'[1]RA Output'!BC$4:BC$5,0)+
IF($E$327="N", 0,
SUMIFS(rng_out_awp_pre_yr4, rng_out_GB_Medispan, L$1, rng_out_sel_G_ind, L$1, rng_out_mail_ind, $B324, rng_out_ds, $C324, rng_out_sel_sp_ind, $D324, rng_out_sel_excl_ind,"N", rng_out_post_reb_ind_yr4, 0))</f>
        <v>#VALUE!</v>
      </c>
      <c r="M324" s="73" t="e" cm="1">
        <f t="array" aca="1" ref="M324" ca="1">SUMIFS(rng_out_awp_pre_yr5,rng_out_sel_excl_yr_ind, "", rng_out_GB_Medispan, M$1,rng_out_sel_G_ind,M$1,rng_out_mail_ind,$B324,rng_out_ds,$C324,rng_out_sel_sp_ind,$D324,rng_out_sel_excl_ind,$E324)+
SUMIFS(rng_out_awp_pre_yr5,rng_out_sel_excl_yr_ind, [1]Tables!$HN$4, rng_out_GB_Medispan, M$1,rng_out_sel_G_ind,M$1,rng_out_mail_ind,$B324,rng_out_ds,$C324,rng_out_sel_sp_ind,$D324,rng_out_sel_excl_ind,$E324)* _xlfn.XLOOKUP([1]Tables!$HN$4,'[1]RA Output'!$AY$4:$AY$5,'[1]RA Output'!BD$4:BD$5,0)  +
SUMIFS(rng_out_awp_pre_yr5,rng_out_sel_excl_yr_ind, [1]Tables!$HN$5, rng_out_GB_Medispan, M$1,rng_out_sel_G_ind,M$1,rng_out_mail_ind,$B324,rng_out_ds,$C324,rng_out_sel_sp_ind,$D324,rng_out_sel_excl_ind,$E324)* _xlfn.XLOOKUP([1]Tables!$HN$5,'[1]RA Output'!$AY$4:$AY$5,'[1]RA Output'!BD$4:BD$5,0)+
IF($E$327="N", 0,
SUMIFS(rng_out_awp_pre_yr5, rng_out_GB_Medispan, M$1, rng_out_sel_G_ind, M$1, rng_out_mail_ind, $B324, rng_out_ds, $C324, rng_out_sel_sp_ind, $D324, rng_out_sel_excl_ind,"N", rng_out_post_reb_ind_yr5, 0))</f>
        <v>#VALUE!</v>
      </c>
      <c r="N324" s="74">
        <f t="shared" ca="1" si="347"/>
        <v>0</v>
      </c>
      <c r="O324" s="75">
        <f t="shared" ca="1" si="347"/>
        <v>0</v>
      </c>
      <c r="P324" s="75">
        <f t="shared" ca="1" si="347"/>
        <v>0</v>
      </c>
      <c r="Q324" s="75">
        <f t="shared" ca="1" si="347"/>
        <v>0</v>
      </c>
      <c r="R324" s="76">
        <f t="shared" ca="1" si="347"/>
        <v>0</v>
      </c>
      <c r="Y324" s="109" t="s">
        <v>15</v>
      </c>
      <c r="Z324" s="78">
        <f ca="1">IFERROR(I324/[1]Tables!$AT$4, 0)</f>
        <v>0</v>
      </c>
      <c r="AA324" s="79">
        <f ca="1">IFERROR(J324/[1]Tables!$AT$4, 0)</f>
        <v>0</v>
      </c>
      <c r="AB324" s="79">
        <f ca="1">IFERROR(K324/[1]Tables!$AT$4, 0)</f>
        <v>0</v>
      </c>
      <c r="AC324" s="79">
        <f ca="1">IFERROR(L324/[1]Tables!$AT$4, 0)</f>
        <v>0</v>
      </c>
      <c r="AD324" s="80">
        <f ca="1">IFERROR(M324/[1]Tables!$AT$4, 0)</f>
        <v>0</v>
      </c>
      <c r="AE324" s="81">
        <f t="shared" ca="1" si="348"/>
        <v>0</v>
      </c>
      <c r="AF324" s="75">
        <f t="shared" ca="1" si="348"/>
        <v>0</v>
      </c>
      <c r="AG324" s="75">
        <f t="shared" ca="1" si="348"/>
        <v>0</v>
      </c>
      <c r="AH324" s="75">
        <f t="shared" ca="1" si="348"/>
        <v>0</v>
      </c>
      <c r="AI324" s="82">
        <f t="shared" ca="1" si="348"/>
        <v>0</v>
      </c>
      <c r="AP324" s="110" t="s">
        <v>15</v>
      </c>
      <c r="AQ324" s="356" cm="1">
        <f t="array" aca="1" ref="AQ324" ca="1">IF($E$327="N", IFERROR(IF(OR(input_Shift="No", [1]Tables!$BN$4=1), 0, (SUMIFS(rng_out_awp_post_yr1,rng_out_sel_excl_yr_ind, "", rng_out_GB_Medispan, N$1,rng_out_sel_G_ind,N$1,rng_out_mail_ind,$B324,rng_out_ds,$C324,rng_out_sel_sp_ind,$D324,rng_out_sel_excl_ind,$E324, rng_out_MSB_excl, $F324)+
SUMIFS(rng_out_awp_post_yr1,rng_out_sel_excl_yr_ind, [1]Tables!$HN$4, rng_out_GB_Medispan, N$1,rng_out_sel_G_ind,N$1,rng_out_mail_ind,$B324,rng_out_ds,$C324,rng_out_sel_sp_ind,$D324,rng_out_sel_excl_ind,$E324, rng_out_MSB_excl, $F324)* _xlfn.XLOOKUP([1]Tables!$HN$4,'[1]RA Output'!$AY$4:$AY$5,'[1]RA Output'!AZ$4:AZ$5,0)  +
SUMIFS(rng_out_awp_post_yr1,rng_out_sel_excl_yr_ind, [1]Tables!$HN$5, rng_out_GB_Medispan, N$1,rng_out_sel_G_ind,N$1,rng_out_mail_ind,$B324,rng_out_ds,$C324,rng_out_sel_sp_ind,$D324,rng_out_sel_excl_ind,$E324, rng_out_MSB_excl, $F324)* _xlfn.XLOOKUP([1]Tables!$HN$5,'[1]RA Output'!$AY$4:$AY$5,'[1]RA Output'!AZ$4:AZ$5,0)) * ((1-[1]Tables!$BN$4)/[1]Tables!$BN$4) * [1]Tables!$BN$5)/[1]Tables!$AT$4, 0) +
IFERROR((SUMIFS(rng_out_awp_post_yr1,rng_out_sel_excl_yr_ind, "", rng_out_GB_Medispan, I$1,rng_out_sel_G_ind,I$1,rng_out_mail_ind,$B324,rng_out_ds,$C324,rng_out_sel_sp_ind,$D324,rng_out_sel_excl_ind,$E324)+
SUMIFS(rng_out_awp_post_yr1,rng_out_sel_excl_yr_ind, [1]Tables!$HN$4, rng_out_GB_Medispan, I$1,rng_out_sel_G_ind,I$1,rng_out_mail_ind,$B324,rng_out_ds,$C324,rng_out_sel_sp_ind,$D324,rng_out_sel_excl_ind,$E324)* _xlfn.XLOOKUP([1]Tables!$HN$4,'[1]RA Output'!$AY$4:$AY$5,'[1]RA Output'!AZ$4:AZ$5,0)  +
SUMIFS(rng_out_awp_post_yr1,rng_out_sel_excl_yr_ind, [1]Tables!$HN$5, rng_out_GB_Medispan, I$1,rng_out_sel_G_ind,I$1,rng_out_mail_ind,$B324,rng_out_ds,$C324,rng_out_sel_sp_ind,$D324,rng_out_sel_excl_ind,$E324)* _xlfn.XLOOKUP([1]Tables!$HN$5,'[1]RA Output'!$AY$4:$AY$5,'[1]RA Output'!AZ$4:AZ$5,0))/[1]Tables!$AT$4, 0),
IFERROR(IF(OR(input_Shift="No", [1]Tables!$BN$4=1), 0, (SUMIFS(rng_out_awp_post_yr1,rng_out_sel_excl_yr_ind, "", rng_out_GB_Medispan, N$1,rng_out_sel_G_ind,N$1,rng_out_mail_ind,$B324,rng_out_ds,$C324,rng_out_sel_sp_ind,$D324,rng_out_sel_excl_ind,$E324, rng_out_MSB_excl, $F324)+
SUMIFS(rng_out_awp_post_yr1,rng_out_sel_excl_yr_ind, [1]Tables!$HN$4, rng_out_GB_Medispan, N$1,rng_out_sel_G_ind,N$1,rng_out_mail_ind,$B324,rng_out_ds,$C324,rng_out_sel_sp_ind,$D324,rng_out_sel_excl_ind,$E324, rng_out_MSB_excl, $F324)* _xlfn.XLOOKUP([1]Tables!$HN$4,'[1]RA Output'!$AY$4:$AY$5,'[1]RA Output'!AZ$4:AZ$5,0)  +
SUMIFS(rng_out_awp_post_yr1,rng_out_sel_excl_yr_ind, [1]Tables!$HN$5, rng_out_GB_Medispan, N$1,rng_out_sel_G_ind,N$1,rng_out_mail_ind,$B324,rng_out_ds,$C324,rng_out_sel_sp_ind,$D324,rng_out_sel_excl_ind,$E324, rng_out_MSB_excl, $F324)* _xlfn.XLOOKUP([1]Tables!$HN$5,'[1]RA Output'!$AY$4:$AY$5,'[1]RA Output'!AZ$4:AZ$5,0)+
SUMIFS(rng_out_awp_post_yr1, rng_out_mail_ind, $B324, rng_out_GB_Medispan, I$1, rng_out_sel_G_ind, I$1, rng_out_ds, $C324, rng_out_sel_sp_ind, $D324, rng_out_sel_excl_ind,"N", rng_out_MSB_excl, $F324, rng_out_post_reb_ind_yr1, 0)) * ((1-[1]Tables!$BN$4)/[1]Tables!$BN$4) * [1]Tables!$BN$5)/[1]Tables!$AT$4, 0) +
IFERROR(SUMIFS(rng_out_awp_post_yr1,rng_out_sel_excl_yr_ind, "", rng_out_GB_Medispan, I$1,rng_out_sel_G_ind,I$1,rng_out_mail_ind,$B324,rng_out_ds,$C324,rng_out_sel_sp_ind,$D324,rng_out_sel_excl_ind,$E324)+
SUMIFS(rng_out_awp_post_yr1,rng_out_sel_excl_yr_ind, [1]Tables!$HN$4, rng_out_GB_Medispan, I$1,rng_out_sel_G_ind,I$1,rng_out_mail_ind,$B324,rng_out_ds,$C324,rng_out_sel_sp_ind,$D324,rng_out_sel_excl_ind,$E324)* _xlfn.XLOOKUP([1]Tables!$HN$4,'[1]RA Output'!$AY$4:$AY$5,'[1]RA Output'!AZ$4:AZ$5,0)  +
SUMIFS(rng_out_awp_post_yr1,rng_out_sel_excl_yr_ind, [1]Tables!$HN$5, rng_out_GB_Medispan, I$1,rng_out_sel_G_ind,I$1,rng_out_mail_ind,$B324,rng_out_ds,$C324,rng_out_sel_sp_ind,$D324,rng_out_sel_excl_ind,$E324)* _xlfn.XLOOKUP([1]Tables!$HN$5,'[1]RA Output'!$AY$4:$AY$5,'[1]RA Output'!AZ$4:AZ$5,0) + SUMIFS(rng_out_awp_post_yr1, rng_out_GB_Medispan, I$1, rng_out_sel_G_ind, I$1, rng_out_mail_ind, $B324, rng_out_ds, $C324, rng_out_sel_sp_ind, $D324, rng_out_sel_excl_ind,"N", rng_out_post_reb_ind_yr1, 0)/[1]Tables!$AT$4, 0))</f>
        <v>0</v>
      </c>
      <c r="AR324" s="5" cm="1">
        <f t="array" aca="1" ref="AR324" ca="1">IF($E$327="N", IFERROR(IF(OR(input_Shift="No", [1]Tables!$BN$4=1), 0, (SUMIFS(rng_out_awp_post_yr2,rng_out_sel_excl_yr_ind, "", rng_out_GB_Medispan, O$1,rng_out_sel_G_ind,O$1,rng_out_mail_ind,$B324,rng_out_ds,$C324,rng_out_sel_sp_ind,$D324,rng_out_sel_excl_ind,$E324, rng_out_MSB_excl, $F324)+
SUMIFS(rng_out_awp_post_yr2,rng_out_sel_excl_yr_ind, [1]Tables!$HN$4, rng_out_GB_Medispan, O$1,rng_out_sel_G_ind,O$1,rng_out_mail_ind,$B324,rng_out_ds,$C324,rng_out_sel_sp_ind,$D324,rng_out_sel_excl_ind,$E324, rng_out_MSB_excl, $F324)* _xlfn.XLOOKUP([1]Tables!$HN$4,'[1]RA Output'!$AY$4:$AY$5,'[1]RA Output'!BA$4:BA$5,0)  +
SUMIFS(rng_out_awp_post_yr2,rng_out_sel_excl_yr_ind, [1]Tables!$HN$5, rng_out_GB_Medispan, O$1,rng_out_sel_G_ind,O$1,rng_out_mail_ind,$B324,rng_out_ds,$C324,rng_out_sel_sp_ind,$D324,rng_out_sel_excl_ind,$E324, rng_out_MSB_excl, $F324)* _xlfn.XLOOKUP([1]Tables!$HN$5,'[1]RA Output'!$AY$4:$AY$5,'[1]RA Output'!BA$4:BA$5,0)) * ((1-[1]Tables!$BN$4)/[1]Tables!$BN$4) * [1]Tables!$BN$5)/[1]Tables!$AT$4, 0) +
IFERROR((SUMIFS(rng_out_awp_post_yr2,rng_out_sel_excl_yr_ind, "", rng_out_GB_Medispan, J$1,rng_out_sel_G_ind,J$1,rng_out_mail_ind,$B324,rng_out_ds,$C324,rng_out_sel_sp_ind,$D324,rng_out_sel_excl_ind,$E324)+
SUMIFS(rng_out_awp_post_yr2,rng_out_sel_excl_yr_ind, [1]Tables!$HN$4, rng_out_GB_Medispan, J$1,rng_out_sel_G_ind,J$1,rng_out_mail_ind,$B324,rng_out_ds,$C324,rng_out_sel_sp_ind,$D324,rng_out_sel_excl_ind,$E324)* _xlfn.XLOOKUP([1]Tables!$HN$4,'[1]RA Output'!$AY$4:$AY$5,'[1]RA Output'!BA$4:BA$5,0)  +
SUMIFS(rng_out_awp_post_yr2,rng_out_sel_excl_yr_ind, [1]Tables!$HN$5, rng_out_GB_Medispan, J$1,rng_out_sel_G_ind,J$1,rng_out_mail_ind,$B324,rng_out_ds,$C324,rng_out_sel_sp_ind,$D324,rng_out_sel_excl_ind,$E324)* _xlfn.XLOOKUP([1]Tables!$HN$5,'[1]RA Output'!$AY$4:$AY$5,'[1]RA Output'!BA$4:BA$5,0))/[1]Tables!$AT$4, 0),
IFERROR(IF(OR(input_Shift="No", [1]Tables!$BN$4=1), 0, (SUMIFS(rng_out_awp_post_yr2,rng_out_sel_excl_yr_ind, "", rng_out_GB_Medispan, O$1,rng_out_sel_G_ind,O$1,rng_out_mail_ind,$B324,rng_out_ds,$C324,rng_out_sel_sp_ind,$D324,rng_out_sel_excl_ind,$E324, rng_out_MSB_excl, $F324)+
SUMIFS(rng_out_awp_post_yr2,rng_out_sel_excl_yr_ind, [1]Tables!$HN$4, rng_out_GB_Medispan, O$1,rng_out_sel_G_ind,O$1,rng_out_mail_ind,$B324,rng_out_ds,$C324,rng_out_sel_sp_ind,$D324,rng_out_sel_excl_ind,$E324, rng_out_MSB_excl, $F324)* _xlfn.XLOOKUP([1]Tables!$HN$4,'[1]RA Output'!$AY$4:$AY$5,'[1]RA Output'!BA$4:BA$5,0)  +
SUMIFS(rng_out_awp_post_yr2,rng_out_sel_excl_yr_ind, [1]Tables!$HN$5, rng_out_GB_Medispan, O$1,rng_out_sel_G_ind,O$1,rng_out_mail_ind,$B324,rng_out_ds,$C324,rng_out_sel_sp_ind,$D324,rng_out_sel_excl_ind,$E324, rng_out_MSB_excl, $F324)* _xlfn.XLOOKUP([1]Tables!$HN$5,'[1]RA Output'!$AY$4:$AY$5,'[1]RA Output'!BA$4:BA$5,0)+
SUMIFS(rng_out_awp_post_yr2, rng_out_mail_ind, $B324, rng_out_GB_Medispan, J$1, rng_out_sel_G_ind, J$1, rng_out_ds, $C324, rng_out_sel_sp_ind, $D324, rng_out_sel_excl_ind,"N", rng_out_MSB_excl, $F324, rng_out_post_reb_ind_yr2, 0)) * ((1-[1]Tables!$BN$4)/[1]Tables!$BN$4) * [1]Tables!$BN$5)/[1]Tables!$AT$4, 0) +
IFERROR(SUMIFS(rng_out_awp_post_yr2,rng_out_sel_excl_yr_ind, "", rng_out_GB_Medispan, J$1,rng_out_sel_G_ind,J$1,rng_out_mail_ind,$B324,rng_out_ds,$C324,rng_out_sel_sp_ind,$D324,rng_out_sel_excl_ind,$E324)+
SUMIFS(rng_out_awp_post_yr2,rng_out_sel_excl_yr_ind, [1]Tables!$HN$4, rng_out_GB_Medispan, J$1,rng_out_sel_G_ind,J$1,rng_out_mail_ind,$B324,rng_out_ds,$C324,rng_out_sel_sp_ind,$D324,rng_out_sel_excl_ind,$E324)* _xlfn.XLOOKUP([1]Tables!$HN$4,'[1]RA Output'!$AY$4:$AY$5,'[1]RA Output'!BA$4:BA$5,0)  +
SUMIFS(rng_out_awp_post_yr2,rng_out_sel_excl_yr_ind, [1]Tables!$HN$5, rng_out_GB_Medispan, J$1,rng_out_sel_G_ind,J$1,rng_out_mail_ind,$B324,rng_out_ds,$C324,rng_out_sel_sp_ind,$D324,rng_out_sel_excl_ind,$E324)* _xlfn.XLOOKUP([1]Tables!$HN$5,'[1]RA Output'!$AY$4:$AY$5,'[1]RA Output'!BA$4:BA$5,0) + SUMIFS(rng_out_awp_post_yr2, rng_out_GB_Medispan, J$1, rng_out_sel_G_ind, J$1, rng_out_mail_ind, $B324, rng_out_ds, $C324, rng_out_sel_sp_ind, $D324, rng_out_sel_excl_ind,"N", rng_out_post_reb_ind_yr2, 0)/[1]Tables!$AT$4, 0))</f>
        <v>0</v>
      </c>
      <c r="AS324" s="5" cm="1">
        <f t="array" aca="1" ref="AS324" ca="1">IF($E$327="N", IFERROR(IF(OR(input_Shift="No", [1]Tables!$BN$4=1), 0, (SUMIFS(rng_out_awp_post_yr3,rng_out_sel_excl_yr_ind, "", rng_out_GB_Medispan, P$1,rng_out_sel_G_ind,P$1,rng_out_mail_ind,$B324,rng_out_ds,$C324,rng_out_sel_sp_ind,$D324,rng_out_sel_excl_ind,$E324, rng_out_MSB_excl, $F324)+
SUMIFS(rng_out_awp_post_yr3,rng_out_sel_excl_yr_ind, [1]Tables!$HN$4, rng_out_GB_Medispan, P$1,rng_out_sel_G_ind,P$1,rng_out_mail_ind,$B324,rng_out_ds,$C324,rng_out_sel_sp_ind,$D324,rng_out_sel_excl_ind,$E324, rng_out_MSB_excl, $F324)* _xlfn.XLOOKUP([1]Tables!$HN$4,'[1]RA Output'!$AY$4:$AY$5,'[1]RA Output'!BB$4:BB$5,0)  +
SUMIFS(rng_out_awp_post_yr3,rng_out_sel_excl_yr_ind, [1]Tables!$HN$5, rng_out_GB_Medispan, P$1,rng_out_sel_G_ind,P$1,rng_out_mail_ind,$B324,rng_out_ds,$C324,rng_out_sel_sp_ind,$D324,rng_out_sel_excl_ind,$E324, rng_out_MSB_excl, $F324)* _xlfn.XLOOKUP([1]Tables!$HN$5,'[1]RA Output'!$AY$4:$AY$5,'[1]RA Output'!BB$4:BB$5,0)) * ((1-[1]Tables!$BN$4)/[1]Tables!$BN$4) * [1]Tables!$BN$5)/[1]Tables!$AT$4, 0) +
IFERROR((SUMIFS(rng_out_awp_post_yr3,rng_out_sel_excl_yr_ind, "", rng_out_GB_Medispan, K$1,rng_out_sel_G_ind,K$1,rng_out_mail_ind,$B324,rng_out_ds,$C324,rng_out_sel_sp_ind,$D324,rng_out_sel_excl_ind,$E324)+
SUMIFS(rng_out_awp_post_yr3,rng_out_sel_excl_yr_ind, [1]Tables!$HN$4, rng_out_GB_Medispan, K$1,rng_out_sel_G_ind,K$1,rng_out_mail_ind,$B324,rng_out_ds,$C324,rng_out_sel_sp_ind,$D324,rng_out_sel_excl_ind,$E324)* _xlfn.XLOOKUP([1]Tables!$HN$4,'[1]RA Output'!$AY$4:$AY$5,'[1]RA Output'!BB$4:BB$5,0)  +
SUMIFS(rng_out_awp_post_yr3,rng_out_sel_excl_yr_ind, [1]Tables!$HN$5, rng_out_GB_Medispan, K$1,rng_out_sel_G_ind,K$1,rng_out_mail_ind,$B324,rng_out_ds,$C324,rng_out_sel_sp_ind,$D324,rng_out_sel_excl_ind,$E324)* _xlfn.XLOOKUP([1]Tables!$HN$5,'[1]RA Output'!$AY$4:$AY$5,'[1]RA Output'!BB$4:BB$5,0))/[1]Tables!$AT$4, 0),
IFERROR(IF(OR(input_Shift="No", [1]Tables!$BN$4=1), 0, (SUMIFS(rng_out_awp_post_yr3,rng_out_sel_excl_yr_ind, "", rng_out_GB_Medispan, P$1,rng_out_sel_G_ind,P$1,rng_out_mail_ind,$B324,rng_out_ds,$C324,rng_out_sel_sp_ind,$D324,rng_out_sel_excl_ind,$E324, rng_out_MSB_excl, $F324)+
SUMIFS(rng_out_awp_post_yr3,rng_out_sel_excl_yr_ind, [1]Tables!$HN$4, rng_out_GB_Medispan, P$1,rng_out_sel_G_ind,P$1,rng_out_mail_ind,$B324,rng_out_ds,$C324,rng_out_sel_sp_ind,$D324,rng_out_sel_excl_ind,$E324, rng_out_MSB_excl, $F324)* _xlfn.XLOOKUP([1]Tables!$HN$4,'[1]RA Output'!$AY$4:$AY$5,'[1]RA Output'!BB$4:BB$5,0)  +
SUMIFS(rng_out_awp_post_yr3,rng_out_sel_excl_yr_ind, [1]Tables!$HN$5, rng_out_GB_Medispan, P$1,rng_out_sel_G_ind,P$1,rng_out_mail_ind,$B324,rng_out_ds,$C324,rng_out_sel_sp_ind,$D324,rng_out_sel_excl_ind,$E324, rng_out_MSB_excl, $F324)* _xlfn.XLOOKUP([1]Tables!$HN$5,'[1]RA Output'!$AY$4:$AY$5,'[1]RA Output'!BB$4:BB$5,0)+
SUMIFS(rng_out_awp_post_yr3, rng_out_mail_ind, $B324, rng_out_GB_Medispan, K$1, rng_out_sel_G_ind, K$1, rng_out_ds, $C324, rng_out_sel_sp_ind, $D324, rng_out_sel_excl_ind,"N", rng_out_MSB_excl, $F324, rng_out_post_reb_ind_yr3, 0)) * ((1-[1]Tables!$BN$4)/[1]Tables!$BN$4) * [1]Tables!$BN$5)/[1]Tables!$AT$4, 0) +
IFERROR(SUMIFS(rng_out_awp_post_yr3,rng_out_sel_excl_yr_ind, "", rng_out_GB_Medispan, K$1,rng_out_sel_G_ind,K$1,rng_out_mail_ind,$B324,rng_out_ds,$C324,rng_out_sel_sp_ind,$D324,rng_out_sel_excl_ind,$E324)+
SUMIFS(rng_out_awp_post_yr3,rng_out_sel_excl_yr_ind, [1]Tables!$HN$4, rng_out_GB_Medispan, K$1,rng_out_sel_G_ind,K$1,rng_out_mail_ind,$B324,rng_out_ds,$C324,rng_out_sel_sp_ind,$D324,rng_out_sel_excl_ind,$E324)* _xlfn.XLOOKUP([1]Tables!$HN$4,'[1]RA Output'!$AY$4:$AY$5,'[1]RA Output'!BB$4:BB$5,0)  +
SUMIFS(rng_out_awp_post_yr3,rng_out_sel_excl_yr_ind, [1]Tables!$HN$5, rng_out_GB_Medispan, K$1,rng_out_sel_G_ind,K$1,rng_out_mail_ind,$B324,rng_out_ds,$C324,rng_out_sel_sp_ind,$D324,rng_out_sel_excl_ind,$E324)* _xlfn.XLOOKUP([1]Tables!$HN$5,'[1]RA Output'!$AY$4:$AY$5,'[1]RA Output'!BB$4:BB$5,0) + SUMIFS(rng_out_awp_post_yr3, rng_out_GB_Medispan, K$1, rng_out_sel_G_ind, K$1, rng_out_mail_ind, $B324, rng_out_ds, $C324, rng_out_sel_sp_ind, $D324, rng_out_sel_excl_ind,"N", rng_out_post_reb_ind_yr3, 0)/[1]Tables!$AT$4, 0))</f>
        <v>0</v>
      </c>
      <c r="AT324" s="5" cm="1">
        <f t="array" aca="1" ref="AT324" ca="1">IF($E$327="N", IFERROR(IF(OR(input_Shift="No", [1]Tables!$BN$4=1), 0, (SUMIFS(rng_out_awp_post_yr4,rng_out_sel_excl_yr_ind, "", rng_out_GB_Medispan, Q$1,rng_out_sel_G_ind,Q$1,rng_out_mail_ind,$B324,rng_out_ds,$C324,rng_out_sel_sp_ind,$D324,rng_out_sel_excl_ind,$E324, rng_out_MSB_excl, $F324)+
SUMIFS(rng_out_awp_post_yr4,rng_out_sel_excl_yr_ind, [1]Tables!$HN$4, rng_out_GB_Medispan, Q$1,rng_out_sel_G_ind,Q$1,rng_out_mail_ind,$B324,rng_out_ds,$C324,rng_out_sel_sp_ind,$D324,rng_out_sel_excl_ind,$E324, rng_out_MSB_excl, $F324)* _xlfn.XLOOKUP([1]Tables!$HN$4,'[1]RA Output'!$AY$4:$AY$5,'[1]RA Output'!BC$4:BC$5,0)  +
SUMIFS(rng_out_awp_post_yr4,rng_out_sel_excl_yr_ind, [1]Tables!$HN$5, rng_out_GB_Medispan, Q$1,rng_out_sel_G_ind,Q$1,rng_out_mail_ind,$B324,rng_out_ds,$C324,rng_out_sel_sp_ind,$D324,rng_out_sel_excl_ind,$E324, rng_out_MSB_excl, $F324)* _xlfn.XLOOKUP([1]Tables!$HN$5,'[1]RA Output'!$AY$4:$AY$5,'[1]RA Output'!BC$4:BC$5,0)) * ((1-[1]Tables!$BN$4)/[1]Tables!$BN$4) * [1]Tables!$BN$5)/[1]Tables!$AT$4, 0) +
IFERROR((SUMIFS(rng_out_awp_post_yr4,rng_out_sel_excl_yr_ind, "", rng_out_GB_Medispan, L$1,rng_out_sel_G_ind,L$1,rng_out_mail_ind,$B324,rng_out_ds,$C324,rng_out_sel_sp_ind,$D324,rng_out_sel_excl_ind,$E324)+
SUMIFS(rng_out_awp_post_yr4,rng_out_sel_excl_yr_ind, [1]Tables!$HN$4, rng_out_GB_Medispan, L$1,rng_out_sel_G_ind,L$1,rng_out_mail_ind,$B324,rng_out_ds,$C324,rng_out_sel_sp_ind,$D324,rng_out_sel_excl_ind,$E324)* _xlfn.XLOOKUP([1]Tables!$HN$4,'[1]RA Output'!$AY$4:$AY$5,'[1]RA Output'!BC$4:BC$5,0)  +
SUMIFS(rng_out_awp_post_yr4,rng_out_sel_excl_yr_ind, [1]Tables!$HN$5, rng_out_GB_Medispan, L$1,rng_out_sel_G_ind,L$1,rng_out_mail_ind,$B324,rng_out_ds,$C324,rng_out_sel_sp_ind,$D324,rng_out_sel_excl_ind,$E324)* _xlfn.XLOOKUP([1]Tables!$HN$5,'[1]RA Output'!$AY$4:$AY$5,'[1]RA Output'!BC$4:BC$5,0))/[1]Tables!$AT$4, 0),
IFERROR(IF(OR(input_Shift="No", [1]Tables!$BN$4=1), 0, (SUMIFS(rng_out_awp_post_yr4,rng_out_sel_excl_yr_ind, "", rng_out_GB_Medispan, Q$1,rng_out_sel_G_ind,Q$1,rng_out_mail_ind,$B324,rng_out_ds,$C324,rng_out_sel_sp_ind,$D324,rng_out_sel_excl_ind,$E324, rng_out_MSB_excl, $F324)+
SUMIFS(rng_out_awp_post_yr4,rng_out_sel_excl_yr_ind, [1]Tables!$HN$4, rng_out_GB_Medispan, Q$1,rng_out_sel_G_ind,Q$1,rng_out_mail_ind,$B324,rng_out_ds,$C324,rng_out_sel_sp_ind,$D324,rng_out_sel_excl_ind,$E324, rng_out_MSB_excl, $F324)* _xlfn.XLOOKUP([1]Tables!$HN$4,'[1]RA Output'!$AY$4:$AY$5,'[1]RA Output'!BC$4:BC$5,0)  +
SUMIFS(rng_out_awp_post_yr4,rng_out_sel_excl_yr_ind, [1]Tables!$HN$5, rng_out_GB_Medispan, Q$1,rng_out_sel_G_ind,Q$1,rng_out_mail_ind,$B324,rng_out_ds,$C324,rng_out_sel_sp_ind,$D324,rng_out_sel_excl_ind,$E324, rng_out_MSB_excl, $F324)* _xlfn.XLOOKUP([1]Tables!$HN$5,'[1]RA Output'!$AY$4:$AY$5,'[1]RA Output'!BC$4:BC$5,0)+
SUMIFS(rng_out_awp_post_yr4, rng_out_mail_ind, $B324, rng_out_GB_Medispan, L$1, rng_out_sel_G_ind, L$1, rng_out_ds, $C324, rng_out_sel_sp_ind, $D324, rng_out_sel_excl_ind,"N", rng_out_MSB_excl, $F324, rng_out_post_reb_ind_yr4, 0)) * ((1-[1]Tables!$BN$4)/[1]Tables!$BN$4) * [1]Tables!$BN$5)/[1]Tables!$AT$4, 0) +
IFERROR(SUMIFS(rng_out_awp_post_yr4,rng_out_sel_excl_yr_ind, "", rng_out_GB_Medispan, L$1,rng_out_sel_G_ind,L$1,rng_out_mail_ind,$B324,rng_out_ds,$C324,rng_out_sel_sp_ind,$D324,rng_out_sel_excl_ind,$E324)+
SUMIFS(rng_out_awp_post_yr4,rng_out_sel_excl_yr_ind, [1]Tables!$HN$4, rng_out_GB_Medispan, L$1,rng_out_sel_G_ind,L$1,rng_out_mail_ind,$B324,rng_out_ds,$C324,rng_out_sel_sp_ind,$D324,rng_out_sel_excl_ind,$E324)* _xlfn.XLOOKUP([1]Tables!$HN$4,'[1]RA Output'!$AY$4:$AY$5,'[1]RA Output'!BC$4:BC$5,0)  +
SUMIFS(rng_out_awp_post_yr4,rng_out_sel_excl_yr_ind, [1]Tables!$HN$5, rng_out_GB_Medispan, L$1,rng_out_sel_G_ind,L$1,rng_out_mail_ind,$B324,rng_out_ds,$C324,rng_out_sel_sp_ind,$D324,rng_out_sel_excl_ind,$E324)* _xlfn.XLOOKUP([1]Tables!$HN$5,'[1]RA Output'!$AY$4:$AY$5,'[1]RA Output'!BC$4:BC$5,0) + SUMIFS(rng_out_awp_post_yr4, rng_out_GB_Medispan, L$1, rng_out_sel_G_ind, L$1, rng_out_mail_ind, $B324, rng_out_ds, $C324, rng_out_sel_sp_ind, $D324, rng_out_sel_excl_ind,"N", rng_out_post_reb_ind_yr4, 0)/[1]Tables!$AT$4, 0))</f>
        <v>0</v>
      </c>
      <c r="AU324" s="85" cm="1">
        <f t="array" aca="1" ref="AU324" ca="1">IF($E$327="N", IFERROR(IF(OR(input_Shift="No", [1]Tables!$BN$4=1), 0, (SUMIFS(rng_out_awp_post_yr5,rng_out_sel_excl_yr_ind, "", rng_out_GB_Medispan, R$1,rng_out_sel_G_ind,R$1,rng_out_mail_ind,$B324,rng_out_ds,$C324,rng_out_sel_sp_ind,$D324,rng_out_sel_excl_ind,$E324, rng_out_MSB_excl, $F324)+
SUMIFS(rng_out_awp_post_yr5,rng_out_sel_excl_yr_ind, [1]Tables!$HN$4, rng_out_GB_Medispan, R$1,rng_out_sel_G_ind,R$1,rng_out_mail_ind,$B324,rng_out_ds,$C324,rng_out_sel_sp_ind,$D324,rng_out_sel_excl_ind,$E324, rng_out_MSB_excl, $F324)* _xlfn.XLOOKUP([1]Tables!$HN$4,'[1]RA Output'!$AY$4:$AY$5,'[1]RA Output'!BD$4:BD$5,0)  +
SUMIFS(rng_out_awp_post_yr5,rng_out_sel_excl_yr_ind, [1]Tables!$HN$5, rng_out_GB_Medispan, R$1,rng_out_sel_G_ind,R$1,rng_out_mail_ind,$B324,rng_out_ds,$C324,rng_out_sel_sp_ind,$D324,rng_out_sel_excl_ind,$E324, rng_out_MSB_excl, $F324)* _xlfn.XLOOKUP([1]Tables!$HN$5,'[1]RA Output'!$AY$4:$AY$5,'[1]RA Output'!BD$4:BD$5,0)) * ((1-[1]Tables!$BN$4)/[1]Tables!$BN$4) * [1]Tables!$BN$5)/[1]Tables!$AT$4, 0) +
IFERROR((SUMIFS(rng_out_awp_post_yr5,rng_out_sel_excl_yr_ind, "", rng_out_GB_Medispan, M$1,rng_out_sel_G_ind,M$1,rng_out_mail_ind,$B324,rng_out_ds,$C324,rng_out_sel_sp_ind,$D324,rng_out_sel_excl_ind,$E324)+
SUMIFS(rng_out_awp_post_yr5,rng_out_sel_excl_yr_ind, [1]Tables!$HN$4, rng_out_GB_Medispan, M$1,rng_out_sel_G_ind,M$1,rng_out_mail_ind,$B324,rng_out_ds,$C324,rng_out_sel_sp_ind,$D324,rng_out_sel_excl_ind,$E324)* _xlfn.XLOOKUP([1]Tables!$HN$4,'[1]RA Output'!$AY$4:$AY$5,'[1]RA Output'!BD$4:BD$5,0)  +
SUMIFS(rng_out_awp_post_yr5,rng_out_sel_excl_yr_ind, [1]Tables!$HN$5, rng_out_GB_Medispan, M$1,rng_out_sel_G_ind,M$1,rng_out_mail_ind,$B324,rng_out_ds,$C324,rng_out_sel_sp_ind,$D324,rng_out_sel_excl_ind,$E324)* _xlfn.XLOOKUP([1]Tables!$HN$5,'[1]RA Output'!$AY$4:$AY$5,'[1]RA Output'!BD$4:BD$5,0))/[1]Tables!$AT$4, 0),
IFERROR(IF(OR(input_Shift="No", [1]Tables!$BN$4=1), 0, (SUMIFS(rng_out_awp_post_yr5,rng_out_sel_excl_yr_ind, "", rng_out_GB_Medispan, R$1,rng_out_sel_G_ind,R$1,rng_out_mail_ind,$B324,rng_out_ds,$C324,rng_out_sel_sp_ind,$D324,rng_out_sel_excl_ind,$E324, rng_out_MSB_excl, $F324)+
SUMIFS(rng_out_awp_post_yr5,rng_out_sel_excl_yr_ind, [1]Tables!$HN$4, rng_out_GB_Medispan, R$1,rng_out_sel_G_ind,R$1,rng_out_mail_ind,$B324,rng_out_ds,$C324,rng_out_sel_sp_ind,$D324,rng_out_sel_excl_ind,$E324, rng_out_MSB_excl, $F324)* _xlfn.XLOOKUP([1]Tables!$HN$4,'[1]RA Output'!$AY$4:$AY$5,'[1]RA Output'!BD$4:BD$5,0)  +
SUMIFS(rng_out_awp_post_yr5,rng_out_sel_excl_yr_ind, [1]Tables!$HN$5, rng_out_GB_Medispan, R$1,rng_out_sel_G_ind,R$1,rng_out_mail_ind,$B324,rng_out_ds,$C324,rng_out_sel_sp_ind,$D324,rng_out_sel_excl_ind,$E324, rng_out_MSB_excl, $F324)* _xlfn.XLOOKUP([1]Tables!$HN$5,'[1]RA Output'!$AY$4:$AY$5,'[1]RA Output'!BD$4:BD$5,0)+
SUMIFS(rng_out_awp_post_yr5, rng_out_mail_ind, $B324, rng_out_GB_Medispan, M$1, rng_out_sel_G_ind, M$1, rng_out_ds, $C324, rng_out_sel_sp_ind, $D324, rng_out_sel_excl_ind,"N", rng_out_MSB_excl, $F324, rng_out_post_reb_ind_yr5, 0)) * ((1-[1]Tables!$BN$4)/[1]Tables!$BN$4) * [1]Tables!$BN$5)/[1]Tables!$AT$4, 0) +
IFERROR(SUMIFS(rng_out_awp_post_yr5,rng_out_sel_excl_yr_ind, "", rng_out_GB_Medispan, M$1,rng_out_sel_G_ind,M$1,rng_out_mail_ind,$B324,rng_out_ds,$C324,rng_out_sel_sp_ind,$D324,rng_out_sel_excl_ind,$E324)+
SUMIFS(rng_out_awp_post_yr5,rng_out_sel_excl_yr_ind, [1]Tables!$HN$4, rng_out_GB_Medispan, M$1,rng_out_sel_G_ind,M$1,rng_out_mail_ind,$B324,rng_out_ds,$C324,rng_out_sel_sp_ind,$D324,rng_out_sel_excl_ind,$E324)* _xlfn.XLOOKUP([1]Tables!$HN$4,'[1]RA Output'!$AY$4:$AY$5,'[1]RA Output'!BD$4:BD$5,0)  +
SUMIFS(rng_out_awp_post_yr5,rng_out_sel_excl_yr_ind, [1]Tables!$HN$5, rng_out_GB_Medispan, M$1,rng_out_sel_G_ind,M$1,rng_out_mail_ind,$B324,rng_out_ds,$C324,rng_out_sel_sp_ind,$D324,rng_out_sel_excl_ind,$E324)* _xlfn.XLOOKUP([1]Tables!$HN$5,'[1]RA Output'!$AY$4:$AY$5,'[1]RA Output'!BD$4:BD$5,0) + SUMIFS(rng_out_awp_post_yr5, rng_out_GB_Medispan, M$1, rng_out_sel_G_ind, M$1, rng_out_mail_ind, $B324, rng_out_ds, $C324, rng_out_sel_sp_ind, $D324, rng_out_sel_excl_ind,"N", rng_out_post_reb_ind_yr5, 0)/[1]Tables!$AT$4, 0))</f>
        <v>0</v>
      </c>
      <c r="AV324" s="86">
        <f t="shared" ca="1" si="349"/>
        <v>0</v>
      </c>
      <c r="AW324" s="75">
        <f t="shared" ca="1" si="349"/>
        <v>0</v>
      </c>
      <c r="AX324" s="75">
        <f t="shared" ca="1" si="349"/>
        <v>0</v>
      </c>
      <c r="AY324" s="75">
        <f t="shared" ca="1" si="349"/>
        <v>0</v>
      </c>
      <c r="AZ324" s="87">
        <f t="shared" ca="1" si="349"/>
        <v>0</v>
      </c>
      <c r="BG324" s="111" t="s">
        <v>15</v>
      </c>
      <c r="BH324" s="97">
        <f t="shared" ca="1" si="350"/>
        <v>0</v>
      </c>
      <c r="BI324" s="79">
        <f t="shared" ca="1" si="350"/>
        <v>0</v>
      </c>
      <c r="BJ324" s="79">
        <f t="shared" ca="1" si="350"/>
        <v>0</v>
      </c>
      <c r="BK324" s="79">
        <f t="shared" ca="1" si="350"/>
        <v>0</v>
      </c>
      <c r="BL324" s="98">
        <f t="shared" ca="1" si="350"/>
        <v>0</v>
      </c>
      <c r="BM324" s="92">
        <f t="shared" ca="1" si="351"/>
        <v>0</v>
      </c>
      <c r="BN324" s="75">
        <f t="shared" ca="1" si="351"/>
        <v>0</v>
      </c>
      <c r="BO324" s="75">
        <f t="shared" ca="1" si="351"/>
        <v>0</v>
      </c>
      <c r="BP324" s="75">
        <f t="shared" ca="1" si="351"/>
        <v>0</v>
      </c>
      <c r="BQ324" s="93">
        <f t="shared" ca="1" si="351"/>
        <v>0</v>
      </c>
      <c r="BX324" s="111" t="s">
        <v>15</v>
      </c>
      <c r="BY324" s="97">
        <f t="shared" ca="1" si="352"/>
        <v>0</v>
      </c>
      <c r="BZ324" s="79">
        <f t="shared" ca="1" si="352"/>
        <v>0</v>
      </c>
      <c r="CA324" s="79">
        <f t="shared" ca="1" si="352"/>
        <v>0</v>
      </c>
      <c r="CB324" s="79">
        <f t="shared" ca="1" si="352"/>
        <v>0</v>
      </c>
      <c r="CC324" s="98">
        <f t="shared" ca="1" si="352"/>
        <v>0</v>
      </c>
      <c r="CD324" s="92">
        <f t="shared" ca="1" si="353"/>
        <v>0</v>
      </c>
      <c r="CE324" s="75">
        <f t="shared" ca="1" si="353"/>
        <v>0</v>
      </c>
      <c r="CF324" s="75">
        <f t="shared" ca="1" si="353"/>
        <v>0</v>
      </c>
      <c r="CG324" s="75">
        <f t="shared" ca="1" si="353"/>
        <v>0</v>
      </c>
      <c r="CH324" s="93">
        <f t="shared" ca="1" si="353"/>
        <v>0</v>
      </c>
      <c r="CO324" s="213" cm="1">
        <f t="array" aca="1" ref="CO324" ca="1">_xlfn.SINGLE(IFERROR(SUMIFS(rng_out_awp_base, rng_out_GB_Medispan, "G", rng_out_sel_G_ind, "G", rng_out_mail_ind, $B324, rng_out_ds, $C324, rng_out_sel_sp_ind, $D324, rng_out_sel_excl_ind,$E324)/[1]Tables!$AT$4, 0))</f>
        <v>0</v>
      </c>
      <c r="CP324" s="214" cm="1">
        <f t="array" aca="1" ref="CP324" ca="1">_xlfn.SINGLE(IFERROR(SUMIFS(rng_out_awp_base, rng_out_GB_Medispan, "B", rng_out_sel_G_ind, "B", rng_out_mail_ind, $B324, rng_out_ds, $C324, rng_out_sel_sp_ind, $D324, rng_out_sel_excl_ind,$E324)/[1]Tables!$AT$4, 0))</f>
        <v>0</v>
      </c>
      <c r="CQ324" s="220">
        <f ca="1">SUM(CO324:CP324)</f>
        <v>0</v>
      </c>
      <c r="CR324" s="92">
        <f t="shared" ca="1" si="354"/>
        <v>0</v>
      </c>
      <c r="CS324" s="93">
        <f t="shared" ca="1" si="354"/>
        <v>0</v>
      </c>
      <c r="CT324" s="358">
        <f t="shared" ca="1" si="354"/>
        <v>0</v>
      </c>
    </row>
    <row r="325" spans="2:98" x14ac:dyDescent="0.35">
      <c r="B325" s="105" t="s">
        <v>16</v>
      </c>
      <c r="C325" s="106"/>
      <c r="D325" s="106" t="s">
        <v>12</v>
      </c>
      <c r="E325" s="107" t="s">
        <v>13</v>
      </c>
      <c r="F325" s="106">
        <v>1</v>
      </c>
      <c r="H325" s="118" t="s">
        <v>7</v>
      </c>
      <c r="I325" s="72" t="e" cm="1">
        <f t="array" aca="1" ref="I325" ca="1">SUMIFS(rng_out_awp_pre_yr1,rng_out_sel_excl_yr_ind, "", rng_out_GB_Medispan, I$1,rng_out_sel_G_ind,I$1,rng_out_mail_ind,$B325,rng_out_sel_sp_ind,$D325,rng_out_sel_excl_ind,$E325)+
SUMIFS(rng_out_awp_pre_yr1,rng_out_sel_excl_yr_ind, [1]Tables!$HN$4, rng_out_GB_Medispan, I$1,rng_out_sel_G_ind,I$1,rng_out_mail_ind,$B325,rng_out_sel_sp_ind,$D325,rng_out_sel_excl_ind,$E325)* _xlfn.XLOOKUP([1]Tables!$HN$4,'[1]RA Output'!$AY$4:$AY$5,'[1]RA Output'!AZ$4:AZ$5,0)  +
SUMIFS(rng_out_awp_pre_yr1,rng_out_sel_excl_yr_ind, [1]Tables!$HN$5, rng_out_GB_Medispan, I$1,rng_out_sel_G_ind,I$1,rng_out_mail_ind,$B325,rng_out_sel_sp_ind,$D325,rng_out_sel_excl_ind,$E325)* _xlfn.XLOOKUP([1]Tables!$HN$5,'[1]RA Output'!$AY$4:$AY$5,'[1]RA Output'!AZ$4:AZ$5,0)+
IF($E$327="N", 0,
SUMIFS(rng_out_awp_pre_yr1, rng_out_GB_Medispan, I$1, rng_out_sel_G_ind, I$1, rng_out_mail_ind, $B325, rng_out_sel_sp_ind, $D325, rng_out_sel_excl_ind,"N", rng_out_post_reb_ind_yr1, 0))</f>
        <v>#VALUE!</v>
      </c>
      <c r="J325" s="5" t="e" cm="1">
        <f t="array" aca="1" ref="J325" ca="1">SUMIFS(rng_out_awp_pre_yr2,rng_out_sel_excl_yr_ind, "", rng_out_GB_Medispan, J$1,rng_out_sel_G_ind,J$1,rng_out_mail_ind,$B325,rng_out_sel_sp_ind,$D325,rng_out_sel_excl_ind,$E325)+
SUMIFS(rng_out_awp_pre_yr2,rng_out_sel_excl_yr_ind, [1]Tables!$HN$4, rng_out_GB_Medispan, J$1,rng_out_sel_G_ind,J$1,rng_out_mail_ind,$B325,rng_out_sel_sp_ind,$D325,rng_out_sel_excl_ind,$E325)* _xlfn.XLOOKUP([1]Tables!$HN$4,'[1]RA Output'!$AY$4:$AY$5,'[1]RA Output'!BA$4:BA$5,0)  +
SUMIFS(rng_out_awp_pre_yr2,rng_out_sel_excl_yr_ind, [1]Tables!$HN$5, rng_out_GB_Medispan, J$1,rng_out_sel_G_ind,J$1,rng_out_mail_ind,$B325,rng_out_sel_sp_ind,$D325,rng_out_sel_excl_ind,$E325)* _xlfn.XLOOKUP([1]Tables!$HN$5,'[1]RA Output'!$AY$4:$AY$5,'[1]RA Output'!BA$4:BA$5,0)+
IF($E$327="N", 0,
SUMIFS(rng_out_awp_pre_yr2, rng_out_GB_Medispan, J$1, rng_out_sel_G_ind, J$1, rng_out_mail_ind, $B325, rng_out_sel_sp_ind, $D325, rng_out_sel_excl_ind,"N", rng_out_post_reb_ind_yr2, 0))</f>
        <v>#VALUE!</v>
      </c>
      <c r="K325" s="5" t="e" cm="1">
        <f t="array" aca="1" ref="K325" ca="1">SUMIFS(rng_out_awp_pre_yr3,rng_out_sel_excl_yr_ind, "", rng_out_GB_Medispan, K$1,rng_out_sel_G_ind,K$1,rng_out_mail_ind,$B325,rng_out_sel_sp_ind,$D325,rng_out_sel_excl_ind,$E325)+
SUMIFS(rng_out_awp_pre_yr3,rng_out_sel_excl_yr_ind, [1]Tables!$HN$4, rng_out_GB_Medispan, K$1,rng_out_sel_G_ind,K$1,rng_out_mail_ind,$B325,rng_out_sel_sp_ind,$D325,rng_out_sel_excl_ind,$E325)* _xlfn.XLOOKUP([1]Tables!$HN$4,'[1]RA Output'!$AY$4:$AY$5,'[1]RA Output'!BB$4:BB$5,0)  +
SUMIFS(rng_out_awp_pre_yr3,rng_out_sel_excl_yr_ind, [1]Tables!$HN$5, rng_out_GB_Medispan, K$1,rng_out_sel_G_ind,K$1,rng_out_mail_ind,$B325,rng_out_sel_sp_ind,$D325,rng_out_sel_excl_ind,$E325)* _xlfn.XLOOKUP([1]Tables!$HN$5,'[1]RA Output'!$AY$4:$AY$5,'[1]RA Output'!BB$4:BB$5,0)+
IF($E$327="N", 0,
SUMIFS(rng_out_awp_pre_yr3, rng_out_GB_Medispan, K$1, rng_out_sel_G_ind, K$1, rng_out_mail_ind, $B325, rng_out_sel_sp_ind, $D325, rng_out_sel_excl_ind,"N", rng_out_post_reb_ind_yr3, 0))</f>
        <v>#VALUE!</v>
      </c>
      <c r="L325" s="5" t="e" cm="1">
        <f t="array" aca="1" ref="L325" ca="1">SUMIFS(rng_out_awp_pre_yr4,rng_out_sel_excl_yr_ind, "", rng_out_GB_Medispan, L$1,rng_out_sel_G_ind,L$1,rng_out_mail_ind,$B325,rng_out_sel_sp_ind,$D325,rng_out_sel_excl_ind,$E325)+
SUMIFS(rng_out_awp_pre_yr4,rng_out_sel_excl_yr_ind, [1]Tables!$HN$4, rng_out_GB_Medispan, L$1,rng_out_sel_G_ind,L$1,rng_out_mail_ind,$B325,rng_out_sel_sp_ind,$D325,rng_out_sel_excl_ind,$E325)* _xlfn.XLOOKUP([1]Tables!$HN$4,'[1]RA Output'!$AY$4:$AY$5,'[1]RA Output'!BC$4:BC$5,0)  +
SUMIFS(rng_out_awp_pre_yr4,rng_out_sel_excl_yr_ind, [1]Tables!$HN$5, rng_out_GB_Medispan, L$1,rng_out_sel_G_ind,L$1,rng_out_mail_ind,$B325,rng_out_sel_sp_ind,$D325,rng_out_sel_excl_ind,$E325)* _xlfn.XLOOKUP([1]Tables!$HN$5,'[1]RA Output'!$AY$4:$AY$5,'[1]RA Output'!BC$4:BC$5,0)+
IF($E$327="N", 0,
SUMIFS(rng_out_awp_pre_yr4, rng_out_GB_Medispan, L$1, rng_out_sel_G_ind, L$1, rng_out_mail_ind, $B325, rng_out_sel_sp_ind, $D325, rng_out_sel_excl_ind,"N", rng_out_post_reb_ind_yr4, 0))</f>
        <v>#VALUE!</v>
      </c>
      <c r="M325" s="73" t="e" cm="1">
        <f t="array" aca="1" ref="M325" ca="1">SUMIFS(rng_out_awp_pre_yr5,rng_out_sel_excl_yr_ind, "", rng_out_GB_Medispan, M$1,rng_out_sel_G_ind,M$1,rng_out_mail_ind,$B325,rng_out_sel_sp_ind,$D325,rng_out_sel_excl_ind,$E325)+
SUMIFS(rng_out_awp_pre_yr5,rng_out_sel_excl_yr_ind, [1]Tables!$HN$4, rng_out_GB_Medispan, M$1,rng_out_sel_G_ind,M$1,rng_out_mail_ind,$B325,rng_out_sel_sp_ind,$D325,rng_out_sel_excl_ind,$E325)* _xlfn.XLOOKUP([1]Tables!$HN$4,'[1]RA Output'!$AY$4:$AY$5,'[1]RA Output'!BD$4:BD$5,0)  +
SUMIFS(rng_out_awp_pre_yr5,rng_out_sel_excl_yr_ind, [1]Tables!$HN$5, rng_out_GB_Medispan, M$1,rng_out_sel_G_ind,M$1,rng_out_mail_ind,$B325,rng_out_sel_sp_ind,$D325,rng_out_sel_excl_ind,$E325)* _xlfn.XLOOKUP([1]Tables!$HN$5,'[1]RA Output'!$AY$4:$AY$5,'[1]RA Output'!BD$4:BD$5,0)+
IF($E$327="N", 0,
SUMIFS(rng_out_awp_pre_yr5, rng_out_GB_Medispan, M$1, rng_out_sel_G_ind, M$1, rng_out_mail_ind, $B325, rng_out_sel_sp_ind, $D325, rng_out_sel_excl_ind,"N", rng_out_post_reb_ind_yr5, 0))</f>
        <v>#VALUE!</v>
      </c>
      <c r="N325" s="74">
        <f t="shared" ca="1" si="347"/>
        <v>0</v>
      </c>
      <c r="O325" s="75">
        <f t="shared" ca="1" si="347"/>
        <v>0</v>
      </c>
      <c r="P325" s="75">
        <f t="shared" ca="1" si="347"/>
        <v>0</v>
      </c>
      <c r="Q325" s="75">
        <f t="shared" ca="1" si="347"/>
        <v>0</v>
      </c>
      <c r="R325" s="76">
        <f t="shared" ca="1" si="347"/>
        <v>0</v>
      </c>
      <c r="Y325" s="119" t="s">
        <v>7</v>
      </c>
      <c r="Z325" s="78">
        <f ca="1">IFERROR(I325/[1]Tables!$AT$4, 0)</f>
        <v>0</v>
      </c>
      <c r="AA325" s="79">
        <f ca="1">IFERROR(J325/[1]Tables!$AT$4, 0)</f>
        <v>0</v>
      </c>
      <c r="AB325" s="79">
        <f ca="1">IFERROR(K325/[1]Tables!$AT$4, 0)</f>
        <v>0</v>
      </c>
      <c r="AC325" s="79">
        <f ca="1">IFERROR(L325/[1]Tables!$AT$4, 0)</f>
        <v>0</v>
      </c>
      <c r="AD325" s="80">
        <f ca="1">IFERROR(M325/[1]Tables!$AT$4, 0)</f>
        <v>0</v>
      </c>
      <c r="AE325" s="81">
        <f t="shared" ca="1" si="348"/>
        <v>0</v>
      </c>
      <c r="AF325" s="75">
        <f t="shared" ca="1" si="348"/>
        <v>0</v>
      </c>
      <c r="AG325" s="75">
        <f t="shared" ca="1" si="348"/>
        <v>0</v>
      </c>
      <c r="AH325" s="75">
        <f t="shared" ca="1" si="348"/>
        <v>0</v>
      </c>
      <c r="AI325" s="82">
        <f t="shared" ca="1" si="348"/>
        <v>0</v>
      </c>
      <c r="AP325" s="120" t="s">
        <v>7</v>
      </c>
      <c r="AQ325" s="356" cm="1">
        <f t="array" aca="1" ref="AQ325" ca="1">IF($E$327="N", IFERROR(IF(OR(input_Shift="No", [1]Tables!$BN$4=1), 0, (SUMIFS(rng_out_awp_post_yr1,rng_out_sel_excl_yr_ind, "", rng_out_GB_Medispan, N$1,rng_out_sel_G_ind,N$1,rng_out_mail_ind,$B325,rng_out_sel_sp_ind,$D325,rng_out_sel_excl_ind,$E325, rng_out_MSB_excl, $F325)+
SUMIFS(rng_out_awp_post_yr1,rng_out_sel_excl_yr_ind, [1]Tables!$HN$4, rng_out_GB_Medispan, N$1,rng_out_sel_G_ind,N$1,rng_out_mail_ind,$B325,rng_out_sel_sp_ind,$D325,rng_out_sel_excl_ind,$E325, rng_out_MSB_excl, $F325)* _xlfn.XLOOKUP([1]Tables!$HN$4,'[1]RA Output'!$AY$4:$AY$5,'[1]RA Output'!AZ$4:AZ$5,0)  +
SUMIFS(rng_out_awp_post_yr1,rng_out_sel_excl_yr_ind, [1]Tables!$HN$5, rng_out_GB_Medispan, N$1,rng_out_sel_G_ind,N$1,rng_out_mail_ind,$B325,rng_out_sel_sp_ind,$D325,rng_out_sel_excl_ind,$E325, rng_out_MSB_excl, $F325)* _xlfn.XLOOKUP([1]Tables!$HN$5,'[1]RA Output'!$AY$4:$AY$5,'[1]RA Output'!AZ$4:AZ$5,0)) * ((1-[1]Tables!$BN$4)/[1]Tables!$BN$4) * [1]Tables!$BN$5)/[1]Tables!$AT$4, 0) +
IFERROR((SUMIFS(rng_out_awp_post_yr1,rng_out_sel_excl_yr_ind, "", rng_out_GB_Medispan, I$1,rng_out_sel_G_ind,I$1,rng_out_mail_ind,$B325,rng_out_sel_sp_ind,$D325,rng_out_sel_excl_ind,$E325)+
SUMIFS(rng_out_awp_post_yr1,rng_out_sel_excl_yr_ind, [1]Tables!$HN$4, rng_out_GB_Medispan, I$1,rng_out_sel_G_ind,I$1,rng_out_mail_ind,$B325,rng_out_sel_sp_ind,$D325,rng_out_sel_excl_ind,$E325)* _xlfn.XLOOKUP([1]Tables!$HN$4,'[1]RA Output'!$AY$4:$AY$5,'[1]RA Output'!AZ$4:AZ$5,0)  +
SUMIFS(rng_out_awp_post_yr1,rng_out_sel_excl_yr_ind, [1]Tables!$HN$5, rng_out_GB_Medispan, I$1,rng_out_sel_G_ind,I$1,rng_out_mail_ind,$B325,rng_out_sel_sp_ind,$D325,rng_out_sel_excl_ind,$E325)* _xlfn.XLOOKUP([1]Tables!$HN$5,'[1]RA Output'!$AY$4:$AY$5,'[1]RA Output'!AZ$4:AZ$5,0))/[1]Tables!$AT$4, 0),
IFERROR(IF(OR(input_Shift="No", [1]Tables!$BN$4=1), 0, (SUMIFS(rng_out_awp_post_yr1,rng_out_sel_excl_yr_ind, "", rng_out_GB_Medispan, N$1,rng_out_sel_G_ind,N$1,rng_out_mail_ind,$B325,rng_out_sel_sp_ind,$D325,rng_out_sel_excl_ind,$E325, rng_out_MSB_excl, $F325)+
SUMIFS(rng_out_awp_post_yr1,rng_out_sel_excl_yr_ind, [1]Tables!$HN$4, rng_out_GB_Medispan, N$1,rng_out_sel_G_ind,N$1,rng_out_mail_ind,$B325,rng_out_sel_sp_ind,$D325,rng_out_sel_excl_ind,$E325, rng_out_MSB_excl, $F325)* _xlfn.XLOOKUP([1]Tables!$HN$4,'[1]RA Output'!$AY$4:$AY$5,'[1]RA Output'!AZ$4:AZ$5,0)  +
SUMIFS(rng_out_awp_post_yr1,rng_out_sel_excl_yr_ind, [1]Tables!$HN$5, rng_out_GB_Medispan, N$1,rng_out_sel_G_ind,N$1,rng_out_mail_ind,$B325,rng_out_sel_sp_ind,$D325,rng_out_sel_excl_ind,$E325, rng_out_MSB_excl, $F325)* _xlfn.XLOOKUP([1]Tables!$HN$5,'[1]RA Output'!$AY$4:$AY$5,'[1]RA Output'!AZ$4:AZ$5,0)+
SUMIFS(rng_out_awp_post_yr1, rng_out_mail_ind, $B325, rng_out_GB_Medispan, I$1, rng_out_sel_G_ind, I$1, rng_out_sel_sp_ind, $D325, rng_out_sel_excl_ind,"N", rng_out_MSB_excl, $F325, rng_out_post_reb_ind_yr1, 0)) * ((1-[1]Tables!$BN$4)/[1]Tables!$BN$4) * [1]Tables!$BN$5)/[1]Tables!$AT$4, 0) +
IFERROR(SUMIFS(rng_out_awp_post_yr1,rng_out_sel_excl_yr_ind, "", rng_out_GB_Medispan, I$1,rng_out_sel_G_ind,I$1,rng_out_mail_ind,$B325,rng_out_sel_sp_ind,$D325,rng_out_sel_excl_ind,$E325)+
SUMIFS(rng_out_awp_post_yr1,rng_out_sel_excl_yr_ind, [1]Tables!$HN$4, rng_out_GB_Medispan, I$1,rng_out_sel_G_ind,I$1,rng_out_mail_ind,$B325,rng_out_sel_sp_ind,$D325,rng_out_sel_excl_ind,$E325)* _xlfn.XLOOKUP([1]Tables!$HN$4,'[1]RA Output'!$AY$4:$AY$5,'[1]RA Output'!AZ$4:AZ$5,0)  +
SUMIFS(rng_out_awp_post_yr1,rng_out_sel_excl_yr_ind, [1]Tables!$HN$5, rng_out_GB_Medispan, I$1,rng_out_sel_G_ind,I$1,rng_out_mail_ind,$B325,rng_out_sel_sp_ind,$D325,rng_out_sel_excl_ind,$E325)* _xlfn.XLOOKUP([1]Tables!$HN$5,'[1]RA Output'!$AY$4:$AY$5,'[1]RA Output'!AZ$4:AZ$5,0) + SUMIFS(rng_out_awp_post_yr1, rng_out_GB_Medispan, I$1, rng_out_sel_G_ind, I$1, rng_out_mail_ind, $B325, rng_out_sel_sp_ind, $D325, rng_out_sel_excl_ind,"N", rng_out_post_reb_ind_yr1, 0)/[1]Tables!$AT$4, 0))</f>
        <v>0</v>
      </c>
      <c r="AR325" s="5" cm="1">
        <f t="array" aca="1" ref="AR325" ca="1">IF($E$327="N", IFERROR(IF(OR(input_Shift="No", [1]Tables!$BN$4=1), 0, (SUMIFS(rng_out_awp_post_yr2,rng_out_sel_excl_yr_ind, "", rng_out_GB_Medispan, O$1,rng_out_sel_G_ind,O$1,rng_out_mail_ind,$B325,rng_out_sel_sp_ind,$D325,rng_out_sel_excl_ind,$E325, rng_out_MSB_excl, $F325)+
SUMIFS(rng_out_awp_post_yr2,rng_out_sel_excl_yr_ind, [1]Tables!$HN$4, rng_out_GB_Medispan, O$1,rng_out_sel_G_ind,O$1,rng_out_mail_ind,$B325,rng_out_sel_sp_ind,$D325,rng_out_sel_excl_ind,$E325, rng_out_MSB_excl, $F325)* _xlfn.XLOOKUP([1]Tables!$HN$4,'[1]RA Output'!$AY$4:$AY$5,'[1]RA Output'!BA$4:BA$5,0)  +
SUMIFS(rng_out_awp_post_yr2,rng_out_sel_excl_yr_ind, [1]Tables!$HN$5, rng_out_GB_Medispan, O$1,rng_out_sel_G_ind,O$1,rng_out_mail_ind,$B325,rng_out_sel_sp_ind,$D325,rng_out_sel_excl_ind,$E325, rng_out_MSB_excl, $F325)* _xlfn.XLOOKUP([1]Tables!$HN$5,'[1]RA Output'!$AY$4:$AY$5,'[1]RA Output'!BA$4:BA$5,0)) * ((1-[1]Tables!$BN$4)/[1]Tables!$BN$4) * [1]Tables!$BN$5)/[1]Tables!$AT$4, 0) +
IFERROR((SUMIFS(rng_out_awp_post_yr2,rng_out_sel_excl_yr_ind, "", rng_out_GB_Medispan, J$1,rng_out_sel_G_ind,J$1,rng_out_mail_ind,$B325,rng_out_sel_sp_ind,$D325,rng_out_sel_excl_ind,$E325)+
SUMIFS(rng_out_awp_post_yr2,rng_out_sel_excl_yr_ind, [1]Tables!$HN$4, rng_out_GB_Medispan, J$1,rng_out_sel_G_ind,J$1,rng_out_mail_ind,$B325,rng_out_sel_sp_ind,$D325,rng_out_sel_excl_ind,$E325)* _xlfn.XLOOKUP([1]Tables!$HN$4,'[1]RA Output'!$AY$4:$AY$5,'[1]RA Output'!BA$4:BA$5,0)  +
SUMIFS(rng_out_awp_post_yr2,rng_out_sel_excl_yr_ind, [1]Tables!$HN$5, rng_out_GB_Medispan, J$1,rng_out_sel_G_ind,J$1,rng_out_mail_ind,$B325,rng_out_sel_sp_ind,$D325,rng_out_sel_excl_ind,$E325)* _xlfn.XLOOKUP([1]Tables!$HN$5,'[1]RA Output'!$AY$4:$AY$5,'[1]RA Output'!BA$4:BA$5,0))/[1]Tables!$AT$4, 0),
IFERROR(IF(OR(input_Shift="No", [1]Tables!$BN$4=1), 0, (SUMIFS(rng_out_awp_post_yr2,rng_out_sel_excl_yr_ind, "", rng_out_GB_Medispan, O$1,rng_out_sel_G_ind,O$1,rng_out_mail_ind,$B325,rng_out_sel_sp_ind,$D325,rng_out_sel_excl_ind,$E325, rng_out_MSB_excl, $F325)+
SUMIFS(rng_out_awp_post_yr2,rng_out_sel_excl_yr_ind, [1]Tables!$HN$4, rng_out_GB_Medispan, O$1,rng_out_sel_G_ind,O$1,rng_out_mail_ind,$B325,rng_out_sel_sp_ind,$D325,rng_out_sel_excl_ind,$E325, rng_out_MSB_excl, $F325)* _xlfn.XLOOKUP([1]Tables!$HN$4,'[1]RA Output'!$AY$4:$AY$5,'[1]RA Output'!BA$4:BA$5,0)  +
SUMIFS(rng_out_awp_post_yr2,rng_out_sel_excl_yr_ind, [1]Tables!$HN$5, rng_out_GB_Medispan, O$1,rng_out_sel_G_ind,O$1,rng_out_mail_ind,$B325,rng_out_sel_sp_ind,$D325,rng_out_sel_excl_ind,$E325, rng_out_MSB_excl, $F325)* _xlfn.XLOOKUP([1]Tables!$HN$5,'[1]RA Output'!$AY$4:$AY$5,'[1]RA Output'!BA$4:BA$5,0)+
SUMIFS(rng_out_awp_post_yr2, rng_out_mail_ind, $B325, rng_out_GB_Medispan, J$1, rng_out_sel_G_ind, J$1, rng_out_sel_sp_ind, $D325, rng_out_sel_excl_ind,"N", rng_out_MSB_excl, $F325, rng_out_post_reb_ind_yr2, 0)) * ((1-[1]Tables!$BN$4)/[1]Tables!$BN$4) * [1]Tables!$BN$5)/[1]Tables!$AT$4, 0) +
IFERROR(SUMIFS(rng_out_awp_post_yr2,rng_out_sel_excl_yr_ind, "", rng_out_GB_Medispan, J$1,rng_out_sel_G_ind,J$1,rng_out_mail_ind,$B325,rng_out_sel_sp_ind,$D325,rng_out_sel_excl_ind,$E325)+
SUMIFS(rng_out_awp_post_yr2,rng_out_sel_excl_yr_ind, [1]Tables!$HN$4, rng_out_GB_Medispan, J$1,rng_out_sel_G_ind,J$1,rng_out_mail_ind,$B325,rng_out_sel_sp_ind,$D325,rng_out_sel_excl_ind,$E325)* _xlfn.XLOOKUP([1]Tables!$HN$4,'[1]RA Output'!$AY$4:$AY$5,'[1]RA Output'!BA$4:BA$5,0)  +
SUMIFS(rng_out_awp_post_yr2,rng_out_sel_excl_yr_ind, [1]Tables!$HN$5, rng_out_GB_Medispan, J$1,rng_out_sel_G_ind,J$1,rng_out_mail_ind,$B325,rng_out_sel_sp_ind,$D325,rng_out_sel_excl_ind,$E325)* _xlfn.XLOOKUP([1]Tables!$HN$5,'[1]RA Output'!$AY$4:$AY$5,'[1]RA Output'!BA$4:BA$5,0) + SUMIFS(rng_out_awp_post_yr2, rng_out_GB_Medispan, J$1, rng_out_sel_G_ind, J$1, rng_out_mail_ind, $B325, rng_out_sel_sp_ind, $D325, rng_out_sel_excl_ind,"N", rng_out_post_reb_ind_yr2, 0)/[1]Tables!$AT$4, 0))</f>
        <v>0</v>
      </c>
      <c r="AS325" s="5" cm="1">
        <f t="array" aca="1" ref="AS325" ca="1">IF($E$327="N", IFERROR(IF(OR(input_Shift="No", [1]Tables!$BN$4=1), 0, (SUMIFS(rng_out_awp_post_yr3,rng_out_sel_excl_yr_ind, "", rng_out_GB_Medispan, P$1,rng_out_sel_G_ind,P$1,rng_out_mail_ind,$B325,rng_out_sel_sp_ind,$D325,rng_out_sel_excl_ind,$E325, rng_out_MSB_excl, $F325)+
SUMIFS(rng_out_awp_post_yr3,rng_out_sel_excl_yr_ind, [1]Tables!$HN$4, rng_out_GB_Medispan, P$1,rng_out_sel_G_ind,P$1,rng_out_mail_ind,$B325,rng_out_sel_sp_ind,$D325,rng_out_sel_excl_ind,$E325, rng_out_MSB_excl, $F325)* _xlfn.XLOOKUP([1]Tables!$HN$4,'[1]RA Output'!$AY$4:$AY$5,'[1]RA Output'!BB$4:BB$5,0)  +
SUMIFS(rng_out_awp_post_yr3,rng_out_sel_excl_yr_ind, [1]Tables!$HN$5, rng_out_GB_Medispan, P$1,rng_out_sel_G_ind,P$1,rng_out_mail_ind,$B325,rng_out_sel_sp_ind,$D325,rng_out_sel_excl_ind,$E325, rng_out_MSB_excl, $F325)* _xlfn.XLOOKUP([1]Tables!$HN$5,'[1]RA Output'!$AY$4:$AY$5,'[1]RA Output'!BB$4:BB$5,0)) * ((1-[1]Tables!$BN$4)/[1]Tables!$BN$4) * [1]Tables!$BN$5)/[1]Tables!$AT$4, 0) +
IFERROR((SUMIFS(rng_out_awp_post_yr3,rng_out_sel_excl_yr_ind, "", rng_out_GB_Medispan, K$1,rng_out_sel_G_ind,K$1,rng_out_mail_ind,$B325,rng_out_sel_sp_ind,$D325,rng_out_sel_excl_ind,$E325)+
SUMIFS(rng_out_awp_post_yr3,rng_out_sel_excl_yr_ind, [1]Tables!$HN$4, rng_out_GB_Medispan, K$1,rng_out_sel_G_ind,K$1,rng_out_mail_ind,$B325,rng_out_sel_sp_ind,$D325,rng_out_sel_excl_ind,$E325)* _xlfn.XLOOKUP([1]Tables!$HN$4,'[1]RA Output'!$AY$4:$AY$5,'[1]RA Output'!BB$4:BB$5,0)  +
SUMIFS(rng_out_awp_post_yr3,rng_out_sel_excl_yr_ind, [1]Tables!$HN$5, rng_out_GB_Medispan, K$1,rng_out_sel_G_ind,K$1,rng_out_mail_ind,$B325,rng_out_sel_sp_ind,$D325,rng_out_sel_excl_ind,$E325)* _xlfn.XLOOKUP([1]Tables!$HN$5,'[1]RA Output'!$AY$4:$AY$5,'[1]RA Output'!BB$4:BB$5,0))/[1]Tables!$AT$4, 0),
IFERROR(IF(OR(input_Shift="No", [1]Tables!$BN$4=1), 0, (SUMIFS(rng_out_awp_post_yr3,rng_out_sel_excl_yr_ind, "", rng_out_GB_Medispan, P$1,rng_out_sel_G_ind,P$1,rng_out_mail_ind,$B325,rng_out_sel_sp_ind,$D325,rng_out_sel_excl_ind,$E325, rng_out_MSB_excl, $F325)+
SUMIFS(rng_out_awp_post_yr3,rng_out_sel_excl_yr_ind, [1]Tables!$HN$4, rng_out_GB_Medispan, P$1,rng_out_sel_G_ind,P$1,rng_out_mail_ind,$B325,rng_out_sel_sp_ind,$D325,rng_out_sel_excl_ind,$E325, rng_out_MSB_excl, $F325)* _xlfn.XLOOKUP([1]Tables!$HN$4,'[1]RA Output'!$AY$4:$AY$5,'[1]RA Output'!BB$4:BB$5,0)  +
SUMIFS(rng_out_awp_post_yr3,rng_out_sel_excl_yr_ind, [1]Tables!$HN$5, rng_out_GB_Medispan, P$1,rng_out_sel_G_ind,P$1,rng_out_mail_ind,$B325,rng_out_sel_sp_ind,$D325,rng_out_sel_excl_ind,$E325, rng_out_MSB_excl, $F325)* _xlfn.XLOOKUP([1]Tables!$HN$5,'[1]RA Output'!$AY$4:$AY$5,'[1]RA Output'!BB$4:BB$5,0)+
SUMIFS(rng_out_awp_post_yr3, rng_out_mail_ind, $B325, rng_out_GB_Medispan, K$1, rng_out_sel_G_ind, K$1, rng_out_sel_sp_ind, $D325, rng_out_sel_excl_ind,"N", rng_out_MSB_excl, $F325, rng_out_post_reb_ind_yr3, 0)) * ((1-[1]Tables!$BN$4)/[1]Tables!$BN$4) * [1]Tables!$BN$5)/[1]Tables!$AT$4, 0) +
IFERROR(SUMIFS(rng_out_awp_post_yr3,rng_out_sel_excl_yr_ind, "", rng_out_GB_Medispan, K$1,rng_out_sel_G_ind,K$1,rng_out_mail_ind,$B325,rng_out_sel_sp_ind,$D325,rng_out_sel_excl_ind,$E325)+
SUMIFS(rng_out_awp_post_yr3,rng_out_sel_excl_yr_ind, [1]Tables!$HN$4, rng_out_GB_Medispan, K$1,rng_out_sel_G_ind,K$1,rng_out_mail_ind,$B325,rng_out_sel_sp_ind,$D325,rng_out_sel_excl_ind,$E325)* _xlfn.XLOOKUP([1]Tables!$HN$4,'[1]RA Output'!$AY$4:$AY$5,'[1]RA Output'!BB$4:BB$5,0)  +
SUMIFS(rng_out_awp_post_yr3,rng_out_sel_excl_yr_ind, [1]Tables!$HN$5, rng_out_GB_Medispan, K$1,rng_out_sel_G_ind,K$1,rng_out_mail_ind,$B325,rng_out_sel_sp_ind,$D325,rng_out_sel_excl_ind,$E325)* _xlfn.XLOOKUP([1]Tables!$HN$5,'[1]RA Output'!$AY$4:$AY$5,'[1]RA Output'!BB$4:BB$5,0) + SUMIFS(rng_out_awp_post_yr3, rng_out_GB_Medispan, K$1, rng_out_sel_G_ind, K$1, rng_out_mail_ind, $B325, rng_out_sel_sp_ind, $D325, rng_out_sel_excl_ind,"N", rng_out_post_reb_ind_yr3, 0)/[1]Tables!$AT$4, 0))</f>
        <v>0</v>
      </c>
      <c r="AT325" s="5" cm="1">
        <f t="array" aca="1" ref="AT325" ca="1">IF($E$327="N", IFERROR(IF(OR(input_Shift="No", [1]Tables!$BN$4=1), 0, (SUMIFS(rng_out_awp_post_yr4,rng_out_sel_excl_yr_ind, "", rng_out_GB_Medispan, Q$1,rng_out_sel_G_ind,Q$1,rng_out_mail_ind,$B325,rng_out_sel_sp_ind,$D325,rng_out_sel_excl_ind,$E325, rng_out_MSB_excl, $F325)+
SUMIFS(rng_out_awp_post_yr4,rng_out_sel_excl_yr_ind, [1]Tables!$HN$4, rng_out_GB_Medispan, Q$1,rng_out_sel_G_ind,Q$1,rng_out_mail_ind,$B325,rng_out_sel_sp_ind,$D325,rng_out_sel_excl_ind,$E325, rng_out_MSB_excl, $F325)* _xlfn.XLOOKUP([1]Tables!$HN$4,'[1]RA Output'!$AY$4:$AY$5,'[1]RA Output'!BC$4:BC$5,0)  +
SUMIFS(rng_out_awp_post_yr4,rng_out_sel_excl_yr_ind, [1]Tables!$HN$5, rng_out_GB_Medispan, Q$1,rng_out_sel_G_ind,Q$1,rng_out_mail_ind,$B325,rng_out_sel_sp_ind,$D325,rng_out_sel_excl_ind,$E325, rng_out_MSB_excl, $F325)* _xlfn.XLOOKUP([1]Tables!$HN$5,'[1]RA Output'!$AY$4:$AY$5,'[1]RA Output'!BC$4:BC$5,0)) * ((1-[1]Tables!$BN$4)/[1]Tables!$BN$4) * [1]Tables!$BN$5)/[1]Tables!$AT$4, 0) +
IFERROR((SUMIFS(rng_out_awp_post_yr4,rng_out_sel_excl_yr_ind, "", rng_out_GB_Medispan, L$1,rng_out_sel_G_ind,L$1,rng_out_mail_ind,$B325,rng_out_sel_sp_ind,$D325,rng_out_sel_excl_ind,$E325)+
SUMIFS(rng_out_awp_post_yr4,rng_out_sel_excl_yr_ind, [1]Tables!$HN$4, rng_out_GB_Medispan, L$1,rng_out_sel_G_ind,L$1,rng_out_mail_ind,$B325,rng_out_sel_sp_ind,$D325,rng_out_sel_excl_ind,$E325)* _xlfn.XLOOKUP([1]Tables!$HN$4,'[1]RA Output'!$AY$4:$AY$5,'[1]RA Output'!BC$4:BC$5,0)  +
SUMIFS(rng_out_awp_post_yr4,rng_out_sel_excl_yr_ind, [1]Tables!$HN$5, rng_out_GB_Medispan, L$1,rng_out_sel_G_ind,L$1,rng_out_mail_ind,$B325,rng_out_sel_sp_ind,$D325,rng_out_sel_excl_ind,$E325)* _xlfn.XLOOKUP([1]Tables!$HN$5,'[1]RA Output'!$AY$4:$AY$5,'[1]RA Output'!BC$4:BC$5,0))/[1]Tables!$AT$4, 0),
IFERROR(IF(OR(input_Shift="No", [1]Tables!$BN$4=1), 0, (SUMIFS(rng_out_awp_post_yr4,rng_out_sel_excl_yr_ind, "", rng_out_GB_Medispan, Q$1,rng_out_sel_G_ind,Q$1,rng_out_mail_ind,$B325,rng_out_sel_sp_ind,$D325,rng_out_sel_excl_ind,$E325, rng_out_MSB_excl, $F325)+
SUMIFS(rng_out_awp_post_yr4,rng_out_sel_excl_yr_ind, [1]Tables!$HN$4, rng_out_GB_Medispan, Q$1,rng_out_sel_G_ind,Q$1,rng_out_mail_ind,$B325,rng_out_sel_sp_ind,$D325,rng_out_sel_excl_ind,$E325, rng_out_MSB_excl, $F325)* _xlfn.XLOOKUP([1]Tables!$HN$4,'[1]RA Output'!$AY$4:$AY$5,'[1]RA Output'!BC$4:BC$5,0)  +
SUMIFS(rng_out_awp_post_yr4,rng_out_sel_excl_yr_ind, [1]Tables!$HN$5, rng_out_GB_Medispan, Q$1,rng_out_sel_G_ind,Q$1,rng_out_mail_ind,$B325,rng_out_sel_sp_ind,$D325,rng_out_sel_excl_ind,$E325, rng_out_MSB_excl, $F325)* _xlfn.XLOOKUP([1]Tables!$HN$5,'[1]RA Output'!$AY$4:$AY$5,'[1]RA Output'!BC$4:BC$5,0)+
SUMIFS(rng_out_awp_post_yr4, rng_out_mail_ind, $B325, rng_out_GB_Medispan, L$1, rng_out_sel_G_ind, L$1, rng_out_sel_sp_ind, $D325, rng_out_sel_excl_ind,"N", rng_out_MSB_excl, $F325, rng_out_post_reb_ind_yr4, 0)) * ((1-[1]Tables!$BN$4)/[1]Tables!$BN$4) * [1]Tables!$BN$5)/[1]Tables!$AT$4, 0) +
IFERROR(SUMIFS(rng_out_awp_post_yr4,rng_out_sel_excl_yr_ind, "", rng_out_GB_Medispan, L$1,rng_out_sel_G_ind,L$1,rng_out_mail_ind,$B325,rng_out_sel_sp_ind,$D325,rng_out_sel_excl_ind,$E325)+
SUMIFS(rng_out_awp_post_yr4,rng_out_sel_excl_yr_ind, [1]Tables!$HN$4, rng_out_GB_Medispan, L$1,rng_out_sel_G_ind,L$1,rng_out_mail_ind,$B325,rng_out_sel_sp_ind,$D325,rng_out_sel_excl_ind,$E325)* _xlfn.XLOOKUP([1]Tables!$HN$4,'[1]RA Output'!$AY$4:$AY$5,'[1]RA Output'!BC$4:BC$5,0)  +
SUMIFS(rng_out_awp_post_yr4,rng_out_sel_excl_yr_ind, [1]Tables!$HN$5, rng_out_GB_Medispan, L$1,rng_out_sel_G_ind,L$1,rng_out_mail_ind,$B325,rng_out_sel_sp_ind,$D325,rng_out_sel_excl_ind,$E325)* _xlfn.XLOOKUP([1]Tables!$HN$5,'[1]RA Output'!$AY$4:$AY$5,'[1]RA Output'!BC$4:BC$5,0) + SUMIFS(rng_out_awp_post_yr4, rng_out_GB_Medispan, L$1, rng_out_sel_G_ind, L$1, rng_out_mail_ind, $B325, rng_out_sel_sp_ind, $D325, rng_out_sel_excl_ind,"N", rng_out_post_reb_ind_yr4, 0)/[1]Tables!$AT$4, 0))</f>
        <v>0</v>
      </c>
      <c r="AU325" s="85" cm="1">
        <f t="array" aca="1" ref="AU325" ca="1">IF($E$327="N", IFERROR(IF(OR(input_Shift="No", [1]Tables!$BN$4=1), 0, (SUMIFS(rng_out_awp_post_yr5,rng_out_sel_excl_yr_ind, "", rng_out_GB_Medispan, R$1,rng_out_sel_G_ind,R$1,rng_out_mail_ind,$B325,rng_out_sel_sp_ind,$D325,rng_out_sel_excl_ind,$E325, rng_out_MSB_excl, $F325)+
SUMIFS(rng_out_awp_post_yr5,rng_out_sel_excl_yr_ind, [1]Tables!$HN$4, rng_out_GB_Medispan, R$1,rng_out_sel_G_ind,R$1,rng_out_mail_ind,$B325,rng_out_sel_sp_ind,$D325,rng_out_sel_excl_ind,$E325, rng_out_MSB_excl, $F325)* _xlfn.XLOOKUP([1]Tables!$HN$4,'[1]RA Output'!$AY$4:$AY$5,'[1]RA Output'!BD$4:BD$5,0)  +
SUMIFS(rng_out_awp_post_yr5,rng_out_sel_excl_yr_ind, [1]Tables!$HN$5, rng_out_GB_Medispan, R$1,rng_out_sel_G_ind,R$1,rng_out_mail_ind,$B325,rng_out_sel_sp_ind,$D325,rng_out_sel_excl_ind,$E325, rng_out_MSB_excl, $F325)* _xlfn.XLOOKUP([1]Tables!$HN$5,'[1]RA Output'!$AY$4:$AY$5,'[1]RA Output'!BD$4:BD$5,0)) * ((1-[1]Tables!$BN$4)/[1]Tables!$BN$4) * [1]Tables!$BN$5)/[1]Tables!$AT$4, 0) +
IFERROR((SUMIFS(rng_out_awp_post_yr5,rng_out_sel_excl_yr_ind, "", rng_out_GB_Medispan, M$1,rng_out_sel_G_ind,M$1,rng_out_mail_ind,$B325,rng_out_sel_sp_ind,$D325,rng_out_sel_excl_ind,$E325)+
SUMIFS(rng_out_awp_post_yr5,rng_out_sel_excl_yr_ind, [1]Tables!$HN$4, rng_out_GB_Medispan, M$1,rng_out_sel_G_ind,M$1,rng_out_mail_ind,$B325,rng_out_sel_sp_ind,$D325,rng_out_sel_excl_ind,$E325)* _xlfn.XLOOKUP([1]Tables!$HN$4,'[1]RA Output'!$AY$4:$AY$5,'[1]RA Output'!BD$4:BD$5,0)  +
SUMIFS(rng_out_awp_post_yr5,rng_out_sel_excl_yr_ind, [1]Tables!$HN$5, rng_out_GB_Medispan, M$1,rng_out_sel_G_ind,M$1,rng_out_mail_ind,$B325,rng_out_sel_sp_ind,$D325,rng_out_sel_excl_ind,$E325)* _xlfn.XLOOKUP([1]Tables!$HN$5,'[1]RA Output'!$AY$4:$AY$5,'[1]RA Output'!BD$4:BD$5,0))/[1]Tables!$AT$4, 0),
IFERROR(IF(OR(input_Shift="No", [1]Tables!$BN$4=1), 0, (SUMIFS(rng_out_awp_post_yr5,rng_out_sel_excl_yr_ind, "", rng_out_GB_Medispan, R$1,rng_out_sel_G_ind,R$1,rng_out_mail_ind,$B325,rng_out_sel_sp_ind,$D325,rng_out_sel_excl_ind,$E325, rng_out_MSB_excl, $F325)+
SUMIFS(rng_out_awp_post_yr5,rng_out_sel_excl_yr_ind, [1]Tables!$HN$4, rng_out_GB_Medispan, R$1,rng_out_sel_G_ind,R$1,rng_out_mail_ind,$B325,rng_out_sel_sp_ind,$D325,rng_out_sel_excl_ind,$E325, rng_out_MSB_excl, $F325)* _xlfn.XLOOKUP([1]Tables!$HN$4,'[1]RA Output'!$AY$4:$AY$5,'[1]RA Output'!BD$4:BD$5,0)  +
SUMIFS(rng_out_awp_post_yr5,rng_out_sel_excl_yr_ind, [1]Tables!$HN$5, rng_out_GB_Medispan, R$1,rng_out_sel_G_ind,R$1,rng_out_mail_ind,$B325,rng_out_sel_sp_ind,$D325,rng_out_sel_excl_ind,$E325, rng_out_MSB_excl, $F325)* _xlfn.XLOOKUP([1]Tables!$HN$5,'[1]RA Output'!$AY$4:$AY$5,'[1]RA Output'!BD$4:BD$5,0)+
SUMIFS(rng_out_awp_post_yr5, rng_out_mail_ind, $B325, rng_out_GB_Medispan, M$1, rng_out_sel_G_ind, M$1, rng_out_sel_sp_ind, $D325, rng_out_sel_excl_ind,"N", rng_out_MSB_excl, $F325, rng_out_post_reb_ind_yr5, 0)) * ((1-[1]Tables!$BN$4)/[1]Tables!$BN$4) * [1]Tables!$BN$5)/[1]Tables!$AT$4, 0) +
IFERROR(SUMIFS(rng_out_awp_post_yr5,rng_out_sel_excl_yr_ind, "", rng_out_GB_Medispan, M$1,rng_out_sel_G_ind,M$1,rng_out_mail_ind,$B325,rng_out_sel_sp_ind,$D325,rng_out_sel_excl_ind,$E325)+
SUMIFS(rng_out_awp_post_yr5,rng_out_sel_excl_yr_ind, [1]Tables!$HN$4, rng_out_GB_Medispan, M$1,rng_out_sel_G_ind,M$1,rng_out_mail_ind,$B325,rng_out_sel_sp_ind,$D325,rng_out_sel_excl_ind,$E325)* _xlfn.XLOOKUP([1]Tables!$HN$4,'[1]RA Output'!$AY$4:$AY$5,'[1]RA Output'!BD$4:BD$5,0)  +
SUMIFS(rng_out_awp_post_yr5,rng_out_sel_excl_yr_ind, [1]Tables!$HN$5, rng_out_GB_Medispan, M$1,rng_out_sel_G_ind,M$1,rng_out_mail_ind,$B325,rng_out_sel_sp_ind,$D325,rng_out_sel_excl_ind,$E325)* _xlfn.XLOOKUP([1]Tables!$HN$5,'[1]RA Output'!$AY$4:$AY$5,'[1]RA Output'!BD$4:BD$5,0) + SUMIFS(rng_out_awp_post_yr5, rng_out_GB_Medispan, M$1, rng_out_sel_G_ind, M$1, rng_out_mail_ind, $B325, rng_out_sel_sp_ind, $D325, rng_out_sel_excl_ind,"N", rng_out_post_reb_ind_yr5, 0)/[1]Tables!$AT$4, 0))</f>
        <v>0</v>
      </c>
      <c r="AV325" s="86">
        <f t="shared" ca="1" si="349"/>
        <v>0</v>
      </c>
      <c r="AW325" s="75">
        <f t="shared" ca="1" si="349"/>
        <v>0</v>
      </c>
      <c r="AX325" s="75">
        <f t="shared" ca="1" si="349"/>
        <v>0</v>
      </c>
      <c r="AY325" s="75">
        <f t="shared" ca="1" si="349"/>
        <v>0</v>
      </c>
      <c r="AZ325" s="87">
        <f t="shared" ca="1" si="349"/>
        <v>0</v>
      </c>
      <c r="BG325" s="121" t="s">
        <v>7</v>
      </c>
      <c r="BH325" s="97">
        <f t="shared" ca="1" si="350"/>
        <v>0</v>
      </c>
      <c r="BI325" s="79">
        <f t="shared" ca="1" si="350"/>
        <v>0</v>
      </c>
      <c r="BJ325" s="79">
        <f t="shared" ca="1" si="350"/>
        <v>0</v>
      </c>
      <c r="BK325" s="79">
        <f t="shared" ca="1" si="350"/>
        <v>0</v>
      </c>
      <c r="BL325" s="98">
        <f t="shared" ca="1" si="350"/>
        <v>0</v>
      </c>
      <c r="BM325" s="92">
        <f t="shared" ca="1" si="351"/>
        <v>0</v>
      </c>
      <c r="BN325" s="75">
        <f t="shared" ca="1" si="351"/>
        <v>0</v>
      </c>
      <c r="BO325" s="75">
        <f t="shared" ca="1" si="351"/>
        <v>0</v>
      </c>
      <c r="BP325" s="75">
        <f t="shared" ca="1" si="351"/>
        <v>0</v>
      </c>
      <c r="BQ325" s="93">
        <f t="shared" ca="1" si="351"/>
        <v>0</v>
      </c>
      <c r="BX325" s="121" t="s">
        <v>7</v>
      </c>
      <c r="BY325" s="97">
        <f t="shared" ca="1" si="352"/>
        <v>0</v>
      </c>
      <c r="BZ325" s="79">
        <f t="shared" ca="1" si="352"/>
        <v>0</v>
      </c>
      <c r="CA325" s="79">
        <f t="shared" ca="1" si="352"/>
        <v>0</v>
      </c>
      <c r="CB325" s="79">
        <f t="shared" ca="1" si="352"/>
        <v>0</v>
      </c>
      <c r="CC325" s="98">
        <f t="shared" ca="1" si="352"/>
        <v>0</v>
      </c>
      <c r="CD325" s="92">
        <f t="shared" ca="1" si="353"/>
        <v>0</v>
      </c>
      <c r="CE325" s="75">
        <f t="shared" ca="1" si="353"/>
        <v>0</v>
      </c>
      <c r="CF325" s="75">
        <f t="shared" ca="1" si="353"/>
        <v>0</v>
      </c>
      <c r="CG325" s="75">
        <f t="shared" ca="1" si="353"/>
        <v>0</v>
      </c>
      <c r="CH325" s="93">
        <f t="shared" ca="1" si="353"/>
        <v>0</v>
      </c>
      <c r="CO325" s="213" cm="1">
        <f t="array" aca="1" ref="CO325" ca="1">_xlfn.SINGLE(IFERROR(SUMIFS(rng_out_awp_base, rng_out_GB_Medispan, "G", rng_out_sel_G_ind, "G", rng_out_mail_ind, $B325, rng_out_sel_sp_ind, $D325, rng_out_sel_excl_ind,$E325)/[1]Tables!$AT$4, 0))</f>
        <v>0</v>
      </c>
      <c r="CP325" s="214" cm="1">
        <f t="array" aca="1" ref="CP325" ca="1">_xlfn.SINGLE(IFERROR(SUMIFS(rng_out_awp_base, rng_out_GB_Medispan, "B", rng_out_sel_G_ind, "B", rng_out_mail_ind, $B325, rng_out_sel_sp_ind, $D325, rng_out_sel_excl_ind,$E325)/[1]Tables!$AT$4, 0))</f>
        <v>0</v>
      </c>
      <c r="CQ325" s="220">
        <f ca="1">SUM(CO325:CP325)</f>
        <v>0</v>
      </c>
      <c r="CR325" s="92">
        <f t="shared" ca="1" si="354"/>
        <v>0</v>
      </c>
      <c r="CS325" s="93">
        <f t="shared" ca="1" si="354"/>
        <v>0</v>
      </c>
      <c r="CT325" s="358">
        <f t="shared" ca="1" si="354"/>
        <v>0</v>
      </c>
    </row>
    <row r="326" spans="2:98" ht="15" thickBot="1" x14ac:dyDescent="0.4">
      <c r="B326" s="122"/>
      <c r="C326" s="123"/>
      <c r="D326" s="123" t="s">
        <v>13</v>
      </c>
      <c r="E326" s="124" t="s">
        <v>13</v>
      </c>
      <c r="F326" s="106">
        <v>1</v>
      </c>
      <c r="H326" s="118" t="s">
        <v>17</v>
      </c>
      <c r="I326" s="72" t="e" cm="1">
        <f t="array" aca="1" ref="I326" ca="1">SUMIFS(rng_out_awp_pre_yr1,rng_out_sel_excl_yr_ind, "", rng_out_GB_Medispan, I$1,rng_out_sel_G_ind,I$1,rng_out_sel_sp_ind,$D326,rng_out_sel_excl_ind,$E326)+
SUMIFS(rng_out_awp_pre_yr1,rng_out_sel_excl_yr_ind, [1]Tables!$HN$4, rng_out_GB_Medispan, I$1,rng_out_sel_G_ind,I$1,rng_out_sel_sp_ind,$D326,rng_out_sel_excl_ind,$E326)* _xlfn.XLOOKUP([1]Tables!$HN$4,'[1]RA Output'!$AY$4:$AY$5,'[1]RA Output'!AZ$4:AZ$5,0)  +
SUMIFS(rng_out_awp_pre_yr1,rng_out_sel_excl_yr_ind, [1]Tables!$HN$5, rng_out_GB_Medispan, I$1,rng_out_sel_G_ind,I$1,rng_out_sel_sp_ind,$D326,rng_out_sel_excl_ind,$E326)* _xlfn.XLOOKUP([1]Tables!$HN$5,'[1]RA Output'!$AY$4:$AY$5,'[1]RA Output'!AZ$4:AZ$5,0)+
IF($E$327="N", 0,
SUMIFS(rng_out_awp_pre_yr1, rng_out_GB_Medispan, I$1, rng_out_sel_G_ind, I$1, rng_out_sel_sp_ind, $D326, rng_out_sel_excl_ind,"N", rng_out_post_reb_ind_yr1, 0))</f>
        <v>#VALUE!</v>
      </c>
      <c r="J326" s="5" t="e" cm="1">
        <f t="array" aca="1" ref="J326" ca="1">SUMIFS(rng_out_awp_pre_yr2,rng_out_sel_excl_yr_ind, "", rng_out_GB_Medispan, J$1,rng_out_sel_G_ind,J$1,rng_out_sel_sp_ind,$D326,rng_out_sel_excl_ind,$E326)+
SUMIFS(rng_out_awp_pre_yr2,rng_out_sel_excl_yr_ind, [1]Tables!$HN$4, rng_out_GB_Medispan, J$1,rng_out_sel_G_ind,J$1,rng_out_sel_sp_ind,$D326,rng_out_sel_excl_ind,$E326)* _xlfn.XLOOKUP([1]Tables!$HN$4,'[1]RA Output'!$AY$4:$AY$5,'[1]RA Output'!BA$4:BA$5,0)  +
SUMIFS(rng_out_awp_pre_yr2,rng_out_sel_excl_yr_ind, [1]Tables!$HN$5, rng_out_GB_Medispan, J$1,rng_out_sel_G_ind,J$1,rng_out_sel_sp_ind,$D326,rng_out_sel_excl_ind,$E326)* _xlfn.XLOOKUP([1]Tables!$HN$5,'[1]RA Output'!$AY$4:$AY$5,'[1]RA Output'!BA$4:BA$5,0)+
IF($E$327="N", 0,
SUMIFS(rng_out_awp_pre_yr2, rng_out_GB_Medispan, J$1, rng_out_sel_G_ind, J$1, rng_out_sel_sp_ind, $D326, rng_out_sel_excl_ind,"N", rng_out_post_reb_ind_yr2, 0))</f>
        <v>#VALUE!</v>
      </c>
      <c r="K326" s="5" t="e" cm="1">
        <f t="array" aca="1" ref="K326" ca="1">SUMIFS(rng_out_awp_pre_yr3,rng_out_sel_excl_yr_ind, "", rng_out_GB_Medispan, K$1,rng_out_sel_G_ind,K$1,rng_out_sel_sp_ind,$D326,rng_out_sel_excl_ind,$E326)+
SUMIFS(rng_out_awp_pre_yr3,rng_out_sel_excl_yr_ind, [1]Tables!$HN$4, rng_out_GB_Medispan, K$1,rng_out_sel_G_ind,K$1,rng_out_sel_sp_ind,$D326,rng_out_sel_excl_ind,$E326)* _xlfn.XLOOKUP([1]Tables!$HN$4,'[1]RA Output'!$AY$4:$AY$5,'[1]RA Output'!BB$4:BB$5,0)  +
SUMIFS(rng_out_awp_pre_yr3,rng_out_sel_excl_yr_ind, [1]Tables!$HN$5, rng_out_GB_Medispan, K$1,rng_out_sel_G_ind,K$1,rng_out_sel_sp_ind,$D326,rng_out_sel_excl_ind,$E326)* _xlfn.XLOOKUP([1]Tables!$HN$5,'[1]RA Output'!$AY$4:$AY$5,'[1]RA Output'!BB$4:BB$5,0)+
IF($E$327="N", 0,
SUMIFS(rng_out_awp_pre_yr3, rng_out_GB_Medispan, K$1, rng_out_sel_G_ind, K$1, rng_out_sel_sp_ind, $D326, rng_out_sel_excl_ind,"N", rng_out_post_reb_ind_yr3, 0))</f>
        <v>#VALUE!</v>
      </c>
      <c r="L326" s="5" t="e" cm="1">
        <f t="array" aca="1" ref="L326" ca="1">SUMIFS(rng_out_awp_pre_yr4,rng_out_sel_excl_yr_ind, "", rng_out_GB_Medispan, L$1,rng_out_sel_G_ind,L$1,rng_out_sel_sp_ind,$D326,rng_out_sel_excl_ind,$E326)+
SUMIFS(rng_out_awp_pre_yr4,rng_out_sel_excl_yr_ind, [1]Tables!$HN$4, rng_out_GB_Medispan, L$1,rng_out_sel_G_ind,L$1,rng_out_sel_sp_ind,$D326,rng_out_sel_excl_ind,$E326)* _xlfn.XLOOKUP([1]Tables!$HN$4,'[1]RA Output'!$AY$4:$AY$5,'[1]RA Output'!BC$4:BC$5,0)  +
SUMIFS(rng_out_awp_pre_yr4,rng_out_sel_excl_yr_ind, [1]Tables!$HN$5, rng_out_GB_Medispan, L$1,rng_out_sel_G_ind,L$1,rng_out_sel_sp_ind,$D326,rng_out_sel_excl_ind,$E326)* _xlfn.XLOOKUP([1]Tables!$HN$5,'[1]RA Output'!$AY$4:$AY$5,'[1]RA Output'!BC$4:BC$5,0)+
IF($E$327="N", 0,
SUMIFS(rng_out_awp_pre_yr4, rng_out_GB_Medispan, L$1, rng_out_sel_G_ind, L$1, rng_out_sel_sp_ind, $D326, rng_out_sel_excl_ind,"N", rng_out_post_reb_ind_yr4, 0))</f>
        <v>#VALUE!</v>
      </c>
      <c r="M326" s="125" t="e" cm="1">
        <f t="array" aca="1" ref="M326" ca="1">SUMIFS(rng_out_awp_pre_yr5,rng_out_sel_excl_yr_ind, "", rng_out_GB_Medispan, M$1,rng_out_sel_G_ind,M$1,rng_out_sel_sp_ind,$D326,rng_out_sel_excl_ind,$E326)+
SUMIFS(rng_out_awp_pre_yr5,rng_out_sel_excl_yr_ind, [1]Tables!$HN$4, rng_out_GB_Medispan, M$1,rng_out_sel_G_ind,M$1,rng_out_sel_sp_ind,$D326,rng_out_sel_excl_ind,$E326)* _xlfn.XLOOKUP([1]Tables!$HN$4,'[1]RA Output'!$AY$4:$AY$5,'[1]RA Output'!BD$4:BD$5,0)  +
SUMIFS(rng_out_awp_pre_yr5,rng_out_sel_excl_yr_ind, [1]Tables!$HN$5, rng_out_GB_Medispan, M$1,rng_out_sel_G_ind,M$1,rng_out_sel_sp_ind,$D326,rng_out_sel_excl_ind,$E326)* _xlfn.XLOOKUP([1]Tables!$HN$5,'[1]RA Output'!$AY$4:$AY$5,'[1]RA Output'!BD$4:BD$5,0)+
IF($E$327="N", 0,
SUMIFS(rng_out_awp_pre_yr5, rng_out_GB_Medispan, M$1, rng_out_sel_G_ind, M$1, rng_out_sel_sp_ind, $D326, rng_out_sel_excl_ind,"N", rng_out_post_reb_ind_yr5, 0))</f>
        <v>#VALUE!</v>
      </c>
      <c r="N326" s="74">
        <f t="shared" ca="1" si="347"/>
        <v>0</v>
      </c>
      <c r="O326" s="75">
        <f t="shared" ca="1" si="347"/>
        <v>0</v>
      </c>
      <c r="P326" s="75">
        <f t="shared" ca="1" si="347"/>
        <v>0</v>
      </c>
      <c r="Q326" s="75">
        <f t="shared" ca="1" si="347"/>
        <v>0</v>
      </c>
      <c r="R326" s="126">
        <f t="shared" ca="1" si="347"/>
        <v>0</v>
      </c>
      <c r="Y326" s="119" t="s">
        <v>17</v>
      </c>
      <c r="Z326" s="127">
        <f ca="1">IFERROR(I326/[1]Tables!$AT$4, 0)</f>
        <v>0</v>
      </c>
      <c r="AA326" s="128">
        <f ca="1">IFERROR(J326/[1]Tables!$AT$4, 0)</f>
        <v>0</v>
      </c>
      <c r="AB326" s="128">
        <f ca="1">IFERROR(K326/[1]Tables!$AT$4, 0)</f>
        <v>0</v>
      </c>
      <c r="AC326" s="128">
        <f ca="1">IFERROR(L326/[1]Tables!$AT$4, 0)</f>
        <v>0</v>
      </c>
      <c r="AD326" s="129">
        <f ca="1">IFERROR(M326/[1]Tables!$AT$4, 0)</f>
        <v>0</v>
      </c>
      <c r="AE326" s="130">
        <f t="shared" ca="1" si="348"/>
        <v>0</v>
      </c>
      <c r="AF326" s="131">
        <f t="shared" ca="1" si="348"/>
        <v>0</v>
      </c>
      <c r="AG326" s="131">
        <f t="shared" ca="1" si="348"/>
        <v>0</v>
      </c>
      <c r="AH326" s="131">
        <f t="shared" ca="1" si="348"/>
        <v>0</v>
      </c>
      <c r="AI326" s="132">
        <f t="shared" ca="1" si="348"/>
        <v>0</v>
      </c>
      <c r="AP326" s="120" t="s">
        <v>17</v>
      </c>
      <c r="AQ326" s="167" cm="1">
        <f t="array" aca="1" ref="AQ326" ca="1">IF($E$327="N", IFERROR(IF(OR(input_Shift="No", [1]Tables!$BN$4=1), 0, (SUMIFS(rng_out_awp_post_yr1,rng_out_sel_excl_yr_ind, "", rng_out_GB_Medispan, N$1,rng_out_sel_G_ind,N$1,rng_out_sel_sp_ind,$D326,rng_out_sel_excl_ind,$E326, rng_out_MSB_excl, $F326)+
SUMIFS(rng_out_awp_post_yr1,rng_out_sel_excl_yr_ind, [1]Tables!$HN$4, rng_out_GB_Medispan, N$1,rng_out_sel_G_ind,N$1,rng_out_sel_sp_ind,$D326,rng_out_sel_excl_ind,$E326, rng_out_MSB_excl, $F326)* _xlfn.XLOOKUP([1]Tables!$HN$4,'[1]RA Output'!$AY$4:$AY$5,'[1]RA Output'!AZ$4:AZ$5,0)  +
SUMIFS(rng_out_awp_post_yr1,rng_out_sel_excl_yr_ind, [1]Tables!$HN$5, rng_out_GB_Medispan, N$1,rng_out_sel_G_ind,N$1,rng_out_sel_sp_ind,$D326,rng_out_sel_excl_ind,$E326, rng_out_MSB_excl, $F326)* _xlfn.XLOOKUP([1]Tables!$HN$5,'[1]RA Output'!$AY$4:$AY$5,'[1]RA Output'!AZ$4:AZ$5,0)) * ((1-[1]Tables!$BN$4)/[1]Tables!$BN$4) * [1]Tables!$BN$5)/[1]Tables!$AT$4, 0) +
IFERROR((SUMIFS(rng_out_awp_post_yr1,rng_out_sel_excl_yr_ind, "", rng_out_GB_Medispan, I$1,rng_out_sel_G_ind,I$1,rng_out_sel_sp_ind,$D326,rng_out_sel_excl_ind,$E326)+
SUMIFS(rng_out_awp_post_yr1,rng_out_sel_excl_yr_ind, [1]Tables!$HN$4, rng_out_GB_Medispan, I$1,rng_out_sel_G_ind,I$1,rng_out_sel_sp_ind,$D326,rng_out_sel_excl_ind,$E326)* _xlfn.XLOOKUP([1]Tables!$HN$4,'[1]RA Output'!$AY$4:$AY$5,'[1]RA Output'!AZ$4:AZ$5,0)  +
SUMIFS(rng_out_awp_post_yr1,rng_out_sel_excl_yr_ind, [1]Tables!$HN$5, rng_out_GB_Medispan, I$1,rng_out_sel_G_ind,I$1,rng_out_sel_sp_ind,$D326,rng_out_sel_excl_ind,$E326)* _xlfn.XLOOKUP([1]Tables!$HN$5,'[1]RA Output'!$AY$4:$AY$5,'[1]RA Output'!AZ$4:AZ$5,0))/[1]Tables!$AT$4, 0),
IFERROR(IF(OR(input_Shift="No", [1]Tables!$BN$4=1), 0, (SUMIFS(rng_out_awp_post_yr1,rng_out_sel_excl_yr_ind, "", rng_out_GB_Medispan, N$1,rng_out_sel_G_ind,N$1,rng_out_sel_sp_ind,$D326,rng_out_sel_excl_ind,$E326, rng_out_MSB_excl, $F326)+
SUMIFS(rng_out_awp_post_yr1,rng_out_sel_excl_yr_ind, [1]Tables!$HN$4, rng_out_GB_Medispan, N$1,rng_out_sel_G_ind,N$1,rng_out_sel_sp_ind,$D326,rng_out_sel_excl_ind,$E326, rng_out_MSB_excl, $F326)* _xlfn.XLOOKUP([1]Tables!$HN$4,'[1]RA Output'!$AY$4:$AY$5,'[1]RA Output'!AZ$4:AZ$5,0)  +
SUMIFS(rng_out_awp_post_yr1,rng_out_sel_excl_yr_ind, [1]Tables!$HN$5, rng_out_GB_Medispan, N$1,rng_out_sel_G_ind,N$1,rng_out_sel_sp_ind,$D326,rng_out_sel_excl_ind,$E326, rng_out_MSB_excl, $F326)* _xlfn.XLOOKUP([1]Tables!$HN$5,'[1]RA Output'!$AY$4:$AY$5,'[1]RA Output'!AZ$4:AZ$5,0)+
SUMIFS(rng_out_awp_post_yr1, rng_out_GB_Medispan, I$1, rng_out_sel_G_ind, I$1, rng_out_sel_sp_ind, $D326, rng_out_sel_excl_ind,"N", rng_out_MSB_excl, $F326, rng_out_post_reb_ind_yr1, 0)) * ((1-[1]Tables!$BN$4)/[1]Tables!$BN$4) * [1]Tables!$BN$5)/[1]Tables!$AT$4, 0) +
IFERROR(SUMIFS(rng_out_awp_post_yr1,rng_out_sel_excl_yr_ind, "", rng_out_GB_Medispan, I$1,rng_out_sel_G_ind,I$1,rng_out_sel_sp_ind,$D326,rng_out_sel_excl_ind,$E326)+
SUMIFS(rng_out_awp_post_yr1,rng_out_sel_excl_yr_ind, [1]Tables!$HN$4, rng_out_GB_Medispan, I$1,rng_out_sel_G_ind,I$1,rng_out_sel_sp_ind,$D326,rng_out_sel_excl_ind,$E326)* _xlfn.XLOOKUP([1]Tables!$HN$4,'[1]RA Output'!$AY$4:$AY$5,'[1]RA Output'!AZ$4:AZ$5,0)  +
SUMIFS(rng_out_awp_post_yr1,rng_out_sel_excl_yr_ind, [1]Tables!$HN$5, rng_out_GB_Medispan, I$1,rng_out_sel_G_ind,I$1,rng_out_sel_sp_ind,$D326,rng_out_sel_excl_ind,$E326)* _xlfn.XLOOKUP([1]Tables!$HN$5,'[1]RA Output'!$AY$4:$AY$5,'[1]RA Output'!AZ$4:AZ$5,0) + SUMIFS(rng_out_awp_post_yr1, rng_out_GB_Medispan, I$1, rng_out_sel_G_ind, I$1, rng_out_sel_sp_ind, $D326, rng_out_sel_excl_ind,"N", rng_out_post_reb_ind_yr1, 0)/[1]Tables!$AT$4, 0))</f>
        <v>0</v>
      </c>
      <c r="AR326" s="134" cm="1">
        <f t="array" aca="1" ref="AR326" ca="1">IF($E$327="N", IFERROR(IF(OR(input_Shift="No", [1]Tables!$BN$4=1), 0, (SUMIFS(rng_out_awp_post_yr2,rng_out_sel_excl_yr_ind, "", rng_out_GB_Medispan, O$1,rng_out_sel_G_ind,O$1,rng_out_sel_sp_ind,$D326,rng_out_sel_excl_ind,$E326, rng_out_MSB_excl, $F326)+
SUMIFS(rng_out_awp_post_yr2,rng_out_sel_excl_yr_ind, [1]Tables!$HN$4, rng_out_GB_Medispan, O$1,rng_out_sel_G_ind,O$1,rng_out_sel_sp_ind,$D326,rng_out_sel_excl_ind,$E326, rng_out_MSB_excl, $F326)* _xlfn.XLOOKUP([1]Tables!$HN$4,'[1]RA Output'!$AY$4:$AY$5,'[1]RA Output'!BA$4:BA$5,0)  +
SUMIFS(rng_out_awp_post_yr2,rng_out_sel_excl_yr_ind, [1]Tables!$HN$5, rng_out_GB_Medispan, O$1,rng_out_sel_G_ind,O$1,rng_out_sel_sp_ind,$D326,rng_out_sel_excl_ind,$E326, rng_out_MSB_excl, $F326)* _xlfn.XLOOKUP([1]Tables!$HN$5,'[1]RA Output'!$AY$4:$AY$5,'[1]RA Output'!BA$4:BA$5,0)) * ((1-[1]Tables!$BN$4)/[1]Tables!$BN$4) * [1]Tables!$BN$5)/[1]Tables!$AT$4, 0) +
IFERROR((SUMIFS(rng_out_awp_post_yr2,rng_out_sel_excl_yr_ind, "", rng_out_GB_Medispan, J$1,rng_out_sel_G_ind,J$1,rng_out_sel_sp_ind,$D326,rng_out_sel_excl_ind,$E326)+
SUMIFS(rng_out_awp_post_yr2,rng_out_sel_excl_yr_ind, [1]Tables!$HN$4, rng_out_GB_Medispan, J$1,rng_out_sel_G_ind,J$1,rng_out_sel_sp_ind,$D326,rng_out_sel_excl_ind,$E326)* _xlfn.XLOOKUP([1]Tables!$HN$4,'[1]RA Output'!$AY$4:$AY$5,'[1]RA Output'!BA$4:BA$5,0)  +
SUMIFS(rng_out_awp_post_yr2,rng_out_sel_excl_yr_ind, [1]Tables!$HN$5, rng_out_GB_Medispan, J$1,rng_out_sel_G_ind,J$1,rng_out_sel_sp_ind,$D326,rng_out_sel_excl_ind,$E326)* _xlfn.XLOOKUP([1]Tables!$HN$5,'[1]RA Output'!$AY$4:$AY$5,'[1]RA Output'!BA$4:BA$5,0))/[1]Tables!$AT$4, 0),
IFERROR(IF(OR(input_Shift="No", [1]Tables!$BN$4=1), 0, (SUMIFS(rng_out_awp_post_yr2,rng_out_sel_excl_yr_ind, "", rng_out_GB_Medispan, O$1,rng_out_sel_G_ind,O$1,rng_out_sel_sp_ind,$D326,rng_out_sel_excl_ind,$E326, rng_out_MSB_excl, $F326)+
SUMIFS(rng_out_awp_post_yr2,rng_out_sel_excl_yr_ind, [1]Tables!$HN$4, rng_out_GB_Medispan, O$1,rng_out_sel_G_ind,O$1,rng_out_sel_sp_ind,$D326,rng_out_sel_excl_ind,$E326, rng_out_MSB_excl, $F326)* _xlfn.XLOOKUP([1]Tables!$HN$4,'[1]RA Output'!$AY$4:$AY$5,'[1]RA Output'!BA$4:BA$5,0)  +
SUMIFS(rng_out_awp_post_yr2,rng_out_sel_excl_yr_ind, [1]Tables!$HN$5, rng_out_GB_Medispan, O$1,rng_out_sel_G_ind,O$1,rng_out_sel_sp_ind,$D326,rng_out_sel_excl_ind,$E326, rng_out_MSB_excl, $F326)* _xlfn.XLOOKUP([1]Tables!$HN$5,'[1]RA Output'!$AY$4:$AY$5,'[1]RA Output'!BA$4:BA$5,0)+
SUMIFS(rng_out_awp_post_yr2, rng_out_GB_Medispan, J$1, rng_out_sel_G_ind, J$1, rng_out_sel_sp_ind, $D326, rng_out_sel_excl_ind,"N", rng_out_MSB_excl, $F326, rng_out_post_reb_ind_yr2, 0)) * ((1-[1]Tables!$BN$4)/[1]Tables!$BN$4) * [1]Tables!$BN$5)/[1]Tables!$AT$4, 0) +
IFERROR(SUMIFS(rng_out_awp_post_yr2,rng_out_sel_excl_yr_ind, "", rng_out_GB_Medispan, J$1,rng_out_sel_G_ind,J$1,rng_out_sel_sp_ind,$D326,rng_out_sel_excl_ind,$E326)+
SUMIFS(rng_out_awp_post_yr2,rng_out_sel_excl_yr_ind, [1]Tables!$HN$4, rng_out_GB_Medispan, J$1,rng_out_sel_G_ind,J$1,rng_out_sel_sp_ind,$D326,rng_out_sel_excl_ind,$E326)* _xlfn.XLOOKUP([1]Tables!$HN$4,'[1]RA Output'!$AY$4:$AY$5,'[1]RA Output'!BA$4:BA$5,0)  +
SUMIFS(rng_out_awp_post_yr2,rng_out_sel_excl_yr_ind, [1]Tables!$HN$5, rng_out_GB_Medispan, J$1,rng_out_sel_G_ind,J$1,rng_out_sel_sp_ind,$D326,rng_out_sel_excl_ind,$E326)* _xlfn.XLOOKUP([1]Tables!$HN$5,'[1]RA Output'!$AY$4:$AY$5,'[1]RA Output'!BA$4:BA$5,0) + SUMIFS(rng_out_awp_post_yr2, rng_out_GB_Medispan, J$1, rng_out_sel_G_ind, J$1, rng_out_sel_sp_ind, $D326, rng_out_sel_excl_ind,"N", rng_out_post_reb_ind_yr2, 0)/[1]Tables!$AT$4, 0))</f>
        <v>0</v>
      </c>
      <c r="AS326" s="134" cm="1">
        <f t="array" aca="1" ref="AS326" ca="1">IF($E$327="N", IFERROR(IF(OR(input_Shift="No", [1]Tables!$BN$4=1), 0, (SUMIFS(rng_out_awp_post_yr3,rng_out_sel_excl_yr_ind, "", rng_out_GB_Medispan, P$1,rng_out_sel_G_ind,P$1,rng_out_sel_sp_ind,$D326,rng_out_sel_excl_ind,$E326, rng_out_MSB_excl, $F326)+
SUMIFS(rng_out_awp_post_yr3,rng_out_sel_excl_yr_ind, [1]Tables!$HN$4, rng_out_GB_Medispan, P$1,rng_out_sel_G_ind,P$1,rng_out_sel_sp_ind,$D326,rng_out_sel_excl_ind,$E326, rng_out_MSB_excl, $F326)* _xlfn.XLOOKUP([1]Tables!$HN$4,'[1]RA Output'!$AY$4:$AY$5,'[1]RA Output'!BB$4:BB$5,0)  +
SUMIFS(rng_out_awp_post_yr3,rng_out_sel_excl_yr_ind, [1]Tables!$HN$5, rng_out_GB_Medispan, P$1,rng_out_sel_G_ind,P$1,rng_out_sel_sp_ind,$D326,rng_out_sel_excl_ind,$E326, rng_out_MSB_excl, $F326)* _xlfn.XLOOKUP([1]Tables!$HN$5,'[1]RA Output'!$AY$4:$AY$5,'[1]RA Output'!BB$4:BB$5,0)) * ((1-[1]Tables!$BN$4)/[1]Tables!$BN$4) * [1]Tables!$BN$5)/[1]Tables!$AT$4, 0) +
IFERROR((SUMIFS(rng_out_awp_post_yr3,rng_out_sel_excl_yr_ind, "", rng_out_GB_Medispan, K$1,rng_out_sel_G_ind,K$1,rng_out_sel_sp_ind,$D326,rng_out_sel_excl_ind,$E326)+
SUMIFS(rng_out_awp_post_yr3,rng_out_sel_excl_yr_ind, [1]Tables!$HN$4, rng_out_GB_Medispan, K$1,rng_out_sel_G_ind,K$1,rng_out_sel_sp_ind,$D326,rng_out_sel_excl_ind,$E326)* _xlfn.XLOOKUP([1]Tables!$HN$4,'[1]RA Output'!$AY$4:$AY$5,'[1]RA Output'!BB$4:BB$5,0)  +
SUMIFS(rng_out_awp_post_yr3,rng_out_sel_excl_yr_ind, [1]Tables!$HN$5, rng_out_GB_Medispan, K$1,rng_out_sel_G_ind,K$1,rng_out_sel_sp_ind,$D326,rng_out_sel_excl_ind,$E326)* _xlfn.XLOOKUP([1]Tables!$HN$5,'[1]RA Output'!$AY$4:$AY$5,'[1]RA Output'!BB$4:BB$5,0))/[1]Tables!$AT$4, 0),
IFERROR(IF(OR(input_Shift="No", [1]Tables!$BN$4=1), 0, (SUMIFS(rng_out_awp_post_yr3,rng_out_sel_excl_yr_ind, "", rng_out_GB_Medispan, P$1,rng_out_sel_G_ind,P$1,rng_out_sel_sp_ind,$D326,rng_out_sel_excl_ind,$E326, rng_out_MSB_excl, $F326)+
SUMIFS(rng_out_awp_post_yr3,rng_out_sel_excl_yr_ind, [1]Tables!$HN$4, rng_out_GB_Medispan, P$1,rng_out_sel_G_ind,P$1,rng_out_sel_sp_ind,$D326,rng_out_sel_excl_ind,$E326, rng_out_MSB_excl, $F326)* _xlfn.XLOOKUP([1]Tables!$HN$4,'[1]RA Output'!$AY$4:$AY$5,'[1]RA Output'!BB$4:BB$5,0)  +
SUMIFS(rng_out_awp_post_yr3,rng_out_sel_excl_yr_ind, [1]Tables!$HN$5, rng_out_GB_Medispan, P$1,rng_out_sel_G_ind,P$1,rng_out_sel_sp_ind,$D326,rng_out_sel_excl_ind,$E326, rng_out_MSB_excl, $F326)* _xlfn.XLOOKUP([1]Tables!$HN$5,'[1]RA Output'!$AY$4:$AY$5,'[1]RA Output'!BB$4:BB$5,0)+
SUMIFS(rng_out_awp_post_yr3, rng_out_GB_Medispan, K$1, rng_out_sel_G_ind, K$1, rng_out_sel_sp_ind, $D326, rng_out_sel_excl_ind,"N", rng_out_MSB_excl, $F326, rng_out_post_reb_ind_yr3, 0)) * ((1-[1]Tables!$BN$4)/[1]Tables!$BN$4) * [1]Tables!$BN$5)/[1]Tables!$AT$4, 0) +
IFERROR(SUMIFS(rng_out_awp_post_yr3,rng_out_sel_excl_yr_ind, "", rng_out_GB_Medispan, K$1,rng_out_sel_G_ind,K$1,rng_out_sel_sp_ind,$D326,rng_out_sel_excl_ind,$E326)+
SUMIFS(rng_out_awp_post_yr3,rng_out_sel_excl_yr_ind, [1]Tables!$HN$4, rng_out_GB_Medispan, K$1,rng_out_sel_G_ind,K$1,rng_out_sel_sp_ind,$D326,rng_out_sel_excl_ind,$E326)* _xlfn.XLOOKUP([1]Tables!$HN$4,'[1]RA Output'!$AY$4:$AY$5,'[1]RA Output'!BB$4:BB$5,0)  +
SUMIFS(rng_out_awp_post_yr3,rng_out_sel_excl_yr_ind, [1]Tables!$HN$5, rng_out_GB_Medispan, K$1,rng_out_sel_G_ind,K$1,rng_out_sel_sp_ind,$D326,rng_out_sel_excl_ind,$E326)* _xlfn.XLOOKUP([1]Tables!$HN$5,'[1]RA Output'!$AY$4:$AY$5,'[1]RA Output'!BB$4:BB$5,0) + SUMIFS(rng_out_awp_post_yr3, rng_out_GB_Medispan, K$1, rng_out_sel_G_ind, K$1, rng_out_sel_sp_ind, $D326, rng_out_sel_excl_ind,"N", rng_out_post_reb_ind_yr3, 0)/[1]Tables!$AT$4, 0))</f>
        <v>0</v>
      </c>
      <c r="AT326" s="134" cm="1">
        <f t="array" aca="1" ref="AT326" ca="1">IF($E$327="N", IFERROR(IF(OR(input_Shift="No", [1]Tables!$BN$4=1), 0, (SUMIFS(rng_out_awp_post_yr4,rng_out_sel_excl_yr_ind, "", rng_out_GB_Medispan, Q$1,rng_out_sel_G_ind,Q$1,rng_out_sel_sp_ind,$D326,rng_out_sel_excl_ind,$E326, rng_out_MSB_excl, $F326)+
SUMIFS(rng_out_awp_post_yr4,rng_out_sel_excl_yr_ind, [1]Tables!$HN$4, rng_out_GB_Medispan, Q$1,rng_out_sel_G_ind,Q$1,rng_out_sel_sp_ind,$D326,rng_out_sel_excl_ind,$E326, rng_out_MSB_excl, $F326)* _xlfn.XLOOKUP([1]Tables!$HN$4,'[1]RA Output'!$AY$4:$AY$5,'[1]RA Output'!BC$4:BC$5,0)  +
SUMIFS(rng_out_awp_post_yr4,rng_out_sel_excl_yr_ind, [1]Tables!$HN$5, rng_out_GB_Medispan, Q$1,rng_out_sel_G_ind,Q$1,rng_out_sel_sp_ind,$D326,rng_out_sel_excl_ind,$E326, rng_out_MSB_excl, $F326)* _xlfn.XLOOKUP([1]Tables!$HN$5,'[1]RA Output'!$AY$4:$AY$5,'[1]RA Output'!BC$4:BC$5,0)) * ((1-[1]Tables!$BN$4)/[1]Tables!$BN$4) * [1]Tables!$BN$5)/[1]Tables!$AT$4, 0) +
IFERROR((SUMIFS(rng_out_awp_post_yr4,rng_out_sel_excl_yr_ind, "", rng_out_GB_Medispan, L$1,rng_out_sel_G_ind,L$1,rng_out_sel_sp_ind,$D326,rng_out_sel_excl_ind,$E326)+
SUMIFS(rng_out_awp_post_yr4,rng_out_sel_excl_yr_ind, [1]Tables!$HN$4, rng_out_GB_Medispan, L$1,rng_out_sel_G_ind,L$1,rng_out_sel_sp_ind,$D326,rng_out_sel_excl_ind,$E326)* _xlfn.XLOOKUP([1]Tables!$HN$4,'[1]RA Output'!$AY$4:$AY$5,'[1]RA Output'!BC$4:BC$5,0)  +
SUMIFS(rng_out_awp_post_yr4,rng_out_sel_excl_yr_ind, [1]Tables!$HN$5, rng_out_GB_Medispan, L$1,rng_out_sel_G_ind,L$1,rng_out_sel_sp_ind,$D326,rng_out_sel_excl_ind,$E326)* _xlfn.XLOOKUP([1]Tables!$HN$5,'[1]RA Output'!$AY$4:$AY$5,'[1]RA Output'!BC$4:BC$5,0))/[1]Tables!$AT$4, 0),
IFERROR(IF(OR(input_Shift="No", [1]Tables!$BN$4=1), 0, (SUMIFS(rng_out_awp_post_yr4,rng_out_sel_excl_yr_ind, "", rng_out_GB_Medispan, Q$1,rng_out_sel_G_ind,Q$1,rng_out_sel_sp_ind,$D326,rng_out_sel_excl_ind,$E326, rng_out_MSB_excl, $F326)+
SUMIFS(rng_out_awp_post_yr4,rng_out_sel_excl_yr_ind, [1]Tables!$HN$4, rng_out_GB_Medispan, Q$1,rng_out_sel_G_ind,Q$1,rng_out_sel_sp_ind,$D326,rng_out_sel_excl_ind,$E326, rng_out_MSB_excl, $F326)* _xlfn.XLOOKUP([1]Tables!$HN$4,'[1]RA Output'!$AY$4:$AY$5,'[1]RA Output'!BC$4:BC$5,0)  +
SUMIFS(rng_out_awp_post_yr4,rng_out_sel_excl_yr_ind, [1]Tables!$HN$5, rng_out_GB_Medispan, Q$1,rng_out_sel_G_ind,Q$1,rng_out_sel_sp_ind,$D326,rng_out_sel_excl_ind,$E326, rng_out_MSB_excl, $F326)* _xlfn.XLOOKUP([1]Tables!$HN$5,'[1]RA Output'!$AY$4:$AY$5,'[1]RA Output'!BC$4:BC$5,0)+
SUMIFS(rng_out_awp_post_yr4, rng_out_GB_Medispan, L$1, rng_out_sel_G_ind, L$1, rng_out_sel_sp_ind, $D326, rng_out_sel_excl_ind,"N", rng_out_MSB_excl, $F326, rng_out_post_reb_ind_yr4, 0)) * ((1-[1]Tables!$BN$4)/[1]Tables!$BN$4) * [1]Tables!$BN$5)/[1]Tables!$AT$4, 0) +
IFERROR(SUMIFS(rng_out_awp_post_yr4,rng_out_sel_excl_yr_ind, "", rng_out_GB_Medispan, L$1,rng_out_sel_G_ind,L$1,rng_out_sel_sp_ind,$D326,rng_out_sel_excl_ind,$E326)+
SUMIFS(rng_out_awp_post_yr4,rng_out_sel_excl_yr_ind, [1]Tables!$HN$4, rng_out_GB_Medispan, L$1,rng_out_sel_G_ind,L$1,rng_out_sel_sp_ind,$D326,rng_out_sel_excl_ind,$E326)* _xlfn.XLOOKUP([1]Tables!$HN$4,'[1]RA Output'!$AY$4:$AY$5,'[1]RA Output'!BC$4:BC$5,0)  +
SUMIFS(rng_out_awp_post_yr4,rng_out_sel_excl_yr_ind, [1]Tables!$HN$5, rng_out_GB_Medispan, L$1,rng_out_sel_G_ind,L$1,rng_out_sel_sp_ind,$D326,rng_out_sel_excl_ind,$E326)* _xlfn.XLOOKUP([1]Tables!$HN$5,'[1]RA Output'!$AY$4:$AY$5,'[1]RA Output'!BC$4:BC$5,0) + SUMIFS(rng_out_awp_post_yr4, rng_out_GB_Medispan, L$1, rng_out_sel_G_ind, L$1, rng_out_sel_sp_ind, $D326, rng_out_sel_excl_ind,"N", rng_out_post_reb_ind_yr4, 0)/[1]Tables!$AT$4, 0))</f>
        <v>0</v>
      </c>
      <c r="AU326" s="135" cm="1">
        <f t="array" aca="1" ref="AU326" ca="1">IF($E$327="N", IFERROR(IF(OR(input_Shift="No", [1]Tables!$BN$4=1), 0, (SUMIFS(rng_out_awp_post_yr5,rng_out_sel_excl_yr_ind, "", rng_out_GB_Medispan, R$1,rng_out_sel_G_ind,R$1,rng_out_sel_sp_ind,$D326,rng_out_sel_excl_ind,$E326, rng_out_MSB_excl, $F326)+
SUMIFS(rng_out_awp_post_yr5,rng_out_sel_excl_yr_ind, [1]Tables!$HN$4, rng_out_GB_Medispan, R$1,rng_out_sel_G_ind,R$1,rng_out_sel_sp_ind,$D326,rng_out_sel_excl_ind,$E326, rng_out_MSB_excl, $F326)* _xlfn.XLOOKUP([1]Tables!$HN$4,'[1]RA Output'!$AY$4:$AY$5,'[1]RA Output'!BD$4:BD$5,0)  +
SUMIFS(rng_out_awp_post_yr5,rng_out_sel_excl_yr_ind, [1]Tables!$HN$5, rng_out_GB_Medispan, R$1,rng_out_sel_G_ind,R$1,rng_out_sel_sp_ind,$D326,rng_out_sel_excl_ind,$E326, rng_out_MSB_excl, $F326)* _xlfn.XLOOKUP([1]Tables!$HN$5,'[1]RA Output'!$AY$4:$AY$5,'[1]RA Output'!BD$4:BD$5,0)) * ((1-[1]Tables!$BN$4)/[1]Tables!$BN$4) * [1]Tables!$BN$5)/[1]Tables!$AT$4, 0) +
IFERROR((SUMIFS(rng_out_awp_post_yr5,rng_out_sel_excl_yr_ind, "", rng_out_GB_Medispan, M$1,rng_out_sel_G_ind,M$1,rng_out_sel_sp_ind,$D326,rng_out_sel_excl_ind,$E326)+
SUMIFS(rng_out_awp_post_yr5,rng_out_sel_excl_yr_ind, [1]Tables!$HN$4, rng_out_GB_Medispan, M$1,rng_out_sel_G_ind,M$1,rng_out_sel_sp_ind,$D326,rng_out_sel_excl_ind,$E326)* _xlfn.XLOOKUP([1]Tables!$HN$4,'[1]RA Output'!$AY$4:$AY$5,'[1]RA Output'!BD$4:BD$5,0)  +
SUMIFS(rng_out_awp_post_yr5,rng_out_sel_excl_yr_ind, [1]Tables!$HN$5, rng_out_GB_Medispan, M$1,rng_out_sel_G_ind,M$1,rng_out_sel_sp_ind,$D326,rng_out_sel_excl_ind,$E326)* _xlfn.XLOOKUP([1]Tables!$HN$5,'[1]RA Output'!$AY$4:$AY$5,'[1]RA Output'!BD$4:BD$5,0))/[1]Tables!$AT$4, 0),
IFERROR(IF(OR(input_Shift="No", [1]Tables!$BN$4=1), 0, (SUMIFS(rng_out_awp_post_yr5,rng_out_sel_excl_yr_ind, "", rng_out_GB_Medispan, R$1,rng_out_sel_G_ind,R$1,rng_out_sel_sp_ind,$D326,rng_out_sel_excl_ind,$E326, rng_out_MSB_excl, $F326)+
SUMIFS(rng_out_awp_post_yr5,rng_out_sel_excl_yr_ind, [1]Tables!$HN$4, rng_out_GB_Medispan, R$1,rng_out_sel_G_ind,R$1,rng_out_sel_sp_ind,$D326,rng_out_sel_excl_ind,$E326, rng_out_MSB_excl, $F326)* _xlfn.XLOOKUP([1]Tables!$HN$4,'[1]RA Output'!$AY$4:$AY$5,'[1]RA Output'!BD$4:BD$5,0)  +
SUMIFS(rng_out_awp_post_yr5,rng_out_sel_excl_yr_ind, [1]Tables!$HN$5, rng_out_GB_Medispan, R$1,rng_out_sel_G_ind,R$1,rng_out_sel_sp_ind,$D326,rng_out_sel_excl_ind,$E326, rng_out_MSB_excl, $F326)* _xlfn.XLOOKUP([1]Tables!$HN$5,'[1]RA Output'!$AY$4:$AY$5,'[1]RA Output'!BD$4:BD$5,0)+
SUMIFS(rng_out_awp_post_yr5, rng_out_GB_Medispan, M$1, rng_out_sel_G_ind, M$1, rng_out_sel_sp_ind, $D326, rng_out_sel_excl_ind,"N", rng_out_MSB_excl, $F326, rng_out_post_reb_ind_yr5, 0)) * ((1-[1]Tables!$BN$4)/[1]Tables!$BN$4) * [1]Tables!$BN$5)/[1]Tables!$AT$4, 0) +
IFERROR(SUMIFS(rng_out_awp_post_yr5,rng_out_sel_excl_yr_ind, "", rng_out_GB_Medispan, M$1,rng_out_sel_G_ind,M$1,rng_out_sel_sp_ind,$D326,rng_out_sel_excl_ind,$E326)+
SUMIFS(rng_out_awp_post_yr5,rng_out_sel_excl_yr_ind, [1]Tables!$HN$4, rng_out_GB_Medispan, M$1,rng_out_sel_G_ind,M$1,rng_out_sel_sp_ind,$D326,rng_out_sel_excl_ind,$E326)* _xlfn.XLOOKUP([1]Tables!$HN$4,'[1]RA Output'!$AY$4:$AY$5,'[1]RA Output'!BD$4:BD$5,0)  +
SUMIFS(rng_out_awp_post_yr5,rng_out_sel_excl_yr_ind, [1]Tables!$HN$5, rng_out_GB_Medispan, M$1,rng_out_sel_G_ind,M$1,rng_out_sel_sp_ind,$D326,rng_out_sel_excl_ind,$E326)* _xlfn.XLOOKUP([1]Tables!$HN$5,'[1]RA Output'!$AY$4:$AY$5,'[1]RA Output'!BD$4:BD$5,0) + SUMIFS(rng_out_awp_post_yr5, rng_out_GB_Medispan, M$1, rng_out_sel_G_ind, M$1, rng_out_sel_sp_ind, $D326, rng_out_sel_excl_ind,"N", rng_out_post_reb_ind_yr5, 0)/[1]Tables!$AT$4, 0))</f>
        <v>0</v>
      </c>
      <c r="AV326" s="136">
        <f t="shared" ca="1" si="349"/>
        <v>0</v>
      </c>
      <c r="AW326" s="137">
        <f t="shared" ca="1" si="349"/>
        <v>0</v>
      </c>
      <c r="AX326" s="137">
        <f t="shared" ca="1" si="349"/>
        <v>0</v>
      </c>
      <c r="AY326" s="137">
        <f t="shared" ca="1" si="349"/>
        <v>0</v>
      </c>
      <c r="AZ326" s="138">
        <f t="shared" ca="1" si="349"/>
        <v>0</v>
      </c>
      <c r="BG326" s="121" t="s">
        <v>17</v>
      </c>
      <c r="BH326" s="145">
        <f t="shared" ca="1" si="350"/>
        <v>0</v>
      </c>
      <c r="BI326" s="146">
        <f t="shared" ca="1" si="350"/>
        <v>0</v>
      </c>
      <c r="BJ326" s="146">
        <f t="shared" ca="1" si="350"/>
        <v>0</v>
      </c>
      <c r="BK326" s="146">
        <f t="shared" ca="1" si="350"/>
        <v>0</v>
      </c>
      <c r="BL326" s="147">
        <f t="shared" ca="1" si="350"/>
        <v>0</v>
      </c>
      <c r="BM326" s="142">
        <f t="shared" ca="1" si="351"/>
        <v>0</v>
      </c>
      <c r="BN326" s="143">
        <f t="shared" ca="1" si="351"/>
        <v>0</v>
      </c>
      <c r="BO326" s="143">
        <f t="shared" ca="1" si="351"/>
        <v>0</v>
      </c>
      <c r="BP326" s="143">
        <f t="shared" ca="1" si="351"/>
        <v>0</v>
      </c>
      <c r="BQ326" s="144">
        <f t="shared" ca="1" si="351"/>
        <v>0</v>
      </c>
      <c r="BX326" s="121" t="s">
        <v>17</v>
      </c>
      <c r="BY326" s="145">
        <f t="shared" ca="1" si="352"/>
        <v>0</v>
      </c>
      <c r="BZ326" s="146">
        <f t="shared" ca="1" si="352"/>
        <v>0</v>
      </c>
      <c r="CA326" s="146">
        <f t="shared" ca="1" si="352"/>
        <v>0</v>
      </c>
      <c r="CB326" s="146">
        <f t="shared" ca="1" si="352"/>
        <v>0</v>
      </c>
      <c r="CC326" s="147">
        <f t="shared" ca="1" si="352"/>
        <v>0</v>
      </c>
      <c r="CD326" s="142">
        <f t="shared" ca="1" si="353"/>
        <v>0</v>
      </c>
      <c r="CE326" s="143">
        <f t="shared" ca="1" si="353"/>
        <v>0</v>
      </c>
      <c r="CF326" s="143">
        <f t="shared" ca="1" si="353"/>
        <v>0</v>
      </c>
      <c r="CG326" s="143">
        <f t="shared" ca="1" si="353"/>
        <v>0</v>
      </c>
      <c r="CH326" s="144">
        <f t="shared" ca="1" si="353"/>
        <v>0</v>
      </c>
      <c r="CO326" s="231" cm="1">
        <f t="array" aca="1" ref="CO326" ca="1">_xlfn.SINGLE(IFERROR(SUMIFS(rng_out_awp_base, rng_out_GB_Medispan, "G", rng_out_sel_G_ind, "G", rng_out_sel_sp_ind, $D326, rng_out_sel_excl_ind,$E326)/[1]Tables!$AT$4, 0))</f>
        <v>0</v>
      </c>
      <c r="CP326" s="233" cm="1">
        <f t="array" aca="1" ref="CP326" ca="1">_xlfn.SINGLE(IFERROR(SUMIFS(rng_out_awp_base, rng_out_GB_Medispan, "B", rng_out_sel_G_ind, "B", rng_out_sel_sp_ind, $D326, rng_out_sel_excl_ind,$E326)/[1]Tables!$AT$4, 0))</f>
        <v>0</v>
      </c>
      <c r="CQ326" s="234">
        <f ca="1">SUM(CO326:CP326)</f>
        <v>0</v>
      </c>
      <c r="CR326" s="142">
        <f t="shared" ca="1" si="354"/>
        <v>0</v>
      </c>
      <c r="CS326" s="144">
        <f t="shared" ca="1" si="354"/>
        <v>0</v>
      </c>
      <c r="CT326" s="177">
        <f t="shared" ca="1" si="354"/>
        <v>0</v>
      </c>
    </row>
    <row r="327" spans="2:98" ht="15" thickBot="1" x14ac:dyDescent="0.4">
      <c r="B327" s="106"/>
      <c r="C327" s="236"/>
      <c r="D327" s="236" t="s">
        <v>29</v>
      </c>
      <c r="E327" s="237" t="str">
        <f>IF(sel_excl_nonRebatable=1, "Y", "N")</f>
        <v>N</v>
      </c>
      <c r="H327" s="154" t="s">
        <v>18</v>
      </c>
      <c r="I327" s="155" t="e">
        <f ca="1">SUM(I323:I326)</f>
        <v>#VALUE!</v>
      </c>
      <c r="J327" s="155" t="e">
        <f ca="1">SUM(J323:J326)</f>
        <v>#VALUE!</v>
      </c>
      <c r="K327" s="155" t="e">
        <f ca="1">SUM(K323:K326)</f>
        <v>#VALUE!</v>
      </c>
      <c r="L327" s="155" t="e">
        <f ca="1">SUM(L323:L326)</f>
        <v>#VALUE!</v>
      </c>
      <c r="M327" s="156" t="e">
        <f ca="1">SUM(M323:M326)</f>
        <v>#VALUE!</v>
      </c>
      <c r="N327" s="157">
        <f t="shared" ca="1" si="347"/>
        <v>0</v>
      </c>
      <c r="O327" s="157">
        <f t="shared" ca="1" si="347"/>
        <v>0</v>
      </c>
      <c r="P327" s="157">
        <f t="shared" ca="1" si="347"/>
        <v>0</v>
      </c>
      <c r="Q327" s="157">
        <f t="shared" ca="1" si="347"/>
        <v>0</v>
      </c>
      <c r="R327" s="158">
        <f t="shared" ca="1" si="347"/>
        <v>0</v>
      </c>
      <c r="Y327" s="159" t="s">
        <v>18</v>
      </c>
      <c r="Z327" s="160">
        <f ca="1">SUM(Z323:Z326)</f>
        <v>0</v>
      </c>
      <c r="AA327" s="161">
        <f ca="1">SUM(AA323:AA326)</f>
        <v>0</v>
      </c>
      <c r="AB327" s="161">
        <f ca="1">SUM(AB323:AB326)</f>
        <v>0</v>
      </c>
      <c r="AC327" s="161">
        <f ca="1">SUM(AC323:AC326)</f>
        <v>0</v>
      </c>
      <c r="AD327" s="162">
        <f ca="1">SUM(AD323:AD326)</f>
        <v>0</v>
      </c>
      <c r="AE327" s="163">
        <f t="shared" ca="1" si="348"/>
        <v>0</v>
      </c>
      <c r="AF327" s="164">
        <f t="shared" ca="1" si="348"/>
        <v>0</v>
      </c>
      <c r="AG327" s="164">
        <f t="shared" ca="1" si="348"/>
        <v>0</v>
      </c>
      <c r="AH327" s="164">
        <f t="shared" ca="1" si="348"/>
        <v>0</v>
      </c>
      <c r="AI327" s="165">
        <f t="shared" ca="1" si="348"/>
        <v>0</v>
      </c>
      <c r="AP327" s="166" t="s">
        <v>18</v>
      </c>
      <c r="AQ327" s="167">
        <f ca="1">SUM(AQ323:AQ326)</f>
        <v>0</v>
      </c>
      <c r="AR327" s="134">
        <f ca="1">SUM(AR323:AR326)</f>
        <v>0</v>
      </c>
      <c r="AS327" s="134">
        <f ca="1">SUM(AS323:AS326)</f>
        <v>0</v>
      </c>
      <c r="AT327" s="134">
        <f ca="1">SUM(AT323:AT326)</f>
        <v>0</v>
      </c>
      <c r="AU327" s="135">
        <f ca="1">SUM(AU323:AU326)</f>
        <v>0</v>
      </c>
      <c r="AV327" s="168">
        <f t="shared" ca="1" si="349"/>
        <v>0</v>
      </c>
      <c r="AW327" s="169">
        <f t="shared" ca="1" si="349"/>
        <v>0</v>
      </c>
      <c r="AX327" s="169">
        <f t="shared" ca="1" si="349"/>
        <v>0</v>
      </c>
      <c r="AY327" s="169">
        <f t="shared" ca="1" si="349"/>
        <v>0</v>
      </c>
      <c r="AZ327" s="170">
        <f t="shared" ca="1" si="349"/>
        <v>0</v>
      </c>
      <c r="BG327" s="171" t="s">
        <v>18</v>
      </c>
      <c r="BH327" s="172">
        <f ca="1">SUM(BH323:BH326)</f>
        <v>0</v>
      </c>
      <c r="BI327" s="173">
        <f ca="1">SUM(BI323:BI326)</f>
        <v>0</v>
      </c>
      <c r="BJ327" s="173">
        <f ca="1">SUM(BJ323:BJ326)</f>
        <v>0</v>
      </c>
      <c r="BK327" s="173">
        <f ca="1">SUM(BK323:BK326)</f>
        <v>0</v>
      </c>
      <c r="BL327" s="174">
        <f ca="1">SUM(BL323:BL326)</f>
        <v>0</v>
      </c>
      <c r="BM327" s="175">
        <f t="shared" ca="1" si="351"/>
        <v>0</v>
      </c>
      <c r="BN327" s="176">
        <f t="shared" ca="1" si="351"/>
        <v>0</v>
      </c>
      <c r="BO327" s="176">
        <f t="shared" ca="1" si="351"/>
        <v>0</v>
      </c>
      <c r="BP327" s="176">
        <f t="shared" ca="1" si="351"/>
        <v>0</v>
      </c>
      <c r="BQ327" s="177">
        <f t="shared" ca="1" si="351"/>
        <v>0</v>
      </c>
      <c r="BX327" s="171" t="s">
        <v>18</v>
      </c>
      <c r="BY327" s="172">
        <f ca="1">SUM(BY323:BY326)</f>
        <v>0</v>
      </c>
      <c r="BZ327" s="173">
        <f ca="1">SUM(BZ323:BZ326)</f>
        <v>0</v>
      </c>
      <c r="CA327" s="173">
        <f ca="1">SUM(CA323:CA326)</f>
        <v>0</v>
      </c>
      <c r="CB327" s="173">
        <f ca="1">SUM(CB323:CB326)</f>
        <v>0</v>
      </c>
      <c r="CC327" s="174">
        <f ca="1">SUM(CC323:CC326)</f>
        <v>0</v>
      </c>
      <c r="CD327" s="175">
        <f ca="1">IFERROR(BY327/BY280, 0)</f>
        <v>0</v>
      </c>
      <c r="CE327" s="176">
        <f ca="1">IFERROR(BZ327/BZ280, 0)</f>
        <v>0</v>
      </c>
      <c r="CF327" s="176">
        <f ca="1">IFERROR(CA327/CA280, 0)</f>
        <v>0</v>
      </c>
      <c r="CG327" s="176">
        <f ca="1">IFERROR(CB327/CB280, 0)</f>
        <v>0</v>
      </c>
      <c r="CH327" s="177">
        <f ca="1">IFERROR(CC327/CC280, 0)</f>
        <v>0</v>
      </c>
      <c r="CO327" s="246">
        <f ca="1">SUM(CO323:CO326)</f>
        <v>0</v>
      </c>
      <c r="CP327" s="247">
        <f ca="1">SUM(CP323:CP326)</f>
        <v>0</v>
      </c>
      <c r="CQ327" s="247">
        <f ca="1">SUM(CQ323:CQ326)</f>
        <v>0</v>
      </c>
      <c r="CR327" s="359">
        <f t="shared" ca="1" si="354"/>
        <v>0</v>
      </c>
      <c r="CS327" s="360">
        <f t="shared" ca="1" si="354"/>
        <v>0</v>
      </c>
      <c r="CT327" s="360">
        <f t="shared" ca="1" si="354"/>
        <v>0</v>
      </c>
    </row>
    <row r="328" spans="2:98" ht="15" thickBot="1" x14ac:dyDescent="0.4"/>
    <row r="329" spans="2:98" ht="15" thickBot="1" x14ac:dyDescent="0.4">
      <c r="I329" s="21" t="s">
        <v>75</v>
      </c>
      <c r="J329" s="22"/>
      <c r="K329" s="22"/>
      <c r="L329" s="22"/>
      <c r="M329" s="22"/>
      <c r="N329" s="22"/>
      <c r="O329" s="22"/>
      <c r="P329" s="22"/>
      <c r="Q329" s="22"/>
      <c r="R329" s="23"/>
      <c r="S329" s="301"/>
      <c r="Z329" s="24" t="s">
        <v>75</v>
      </c>
      <c r="AA329" s="25"/>
      <c r="AB329" s="25"/>
      <c r="AC329" s="25"/>
      <c r="AD329" s="25"/>
      <c r="AE329" s="25"/>
      <c r="AF329" s="25"/>
      <c r="AG329" s="25"/>
      <c r="AH329" s="25"/>
      <c r="AI329" s="26"/>
      <c r="AQ329" s="354" t="s">
        <v>75</v>
      </c>
      <c r="AR329" s="29"/>
      <c r="AS329" s="29"/>
      <c r="AT329" s="29"/>
      <c r="AU329" s="29"/>
      <c r="AV329" s="29"/>
      <c r="AW329" s="29"/>
      <c r="AX329" s="29"/>
      <c r="AY329" s="29"/>
      <c r="AZ329" s="355"/>
      <c r="BH329" s="31" t="s">
        <v>75</v>
      </c>
      <c r="BI329" s="32"/>
      <c r="BJ329" s="32"/>
      <c r="BK329" s="32"/>
      <c r="BL329" s="32"/>
      <c r="BM329" s="32"/>
      <c r="BN329" s="32"/>
      <c r="BO329" s="32"/>
      <c r="BP329" s="32"/>
      <c r="BQ329" s="33"/>
      <c r="BY329" s="34" t="s">
        <v>75</v>
      </c>
      <c r="BZ329" s="35"/>
      <c r="CA329" s="35"/>
      <c r="CB329" s="35"/>
      <c r="CC329" s="35"/>
      <c r="CD329" s="35"/>
      <c r="CE329" s="35"/>
      <c r="CF329" s="35"/>
      <c r="CG329" s="35"/>
      <c r="CH329" s="36"/>
      <c r="CO329" s="196" t="s">
        <v>39</v>
      </c>
      <c r="CP329" s="197"/>
      <c r="CQ329" s="197"/>
      <c r="CR329" s="197"/>
      <c r="CS329" s="197"/>
      <c r="CT329" s="198"/>
    </row>
    <row r="330" spans="2:98" ht="15" thickBot="1" x14ac:dyDescent="0.4">
      <c r="H330" s="37"/>
      <c r="I330" s="302" t="s">
        <v>66</v>
      </c>
      <c r="J330" s="303"/>
      <c r="K330" s="303"/>
      <c r="L330" s="303"/>
      <c r="M330" s="304"/>
      <c r="N330" s="302" t="s">
        <v>67</v>
      </c>
      <c r="O330" s="303"/>
      <c r="P330" s="303"/>
      <c r="Q330" s="303"/>
      <c r="R330" s="304"/>
      <c r="Z330" s="41" t="s">
        <v>66</v>
      </c>
      <c r="AA330" s="42"/>
      <c r="AB330" s="42"/>
      <c r="AC330" s="42"/>
      <c r="AD330" s="43"/>
      <c r="AE330" s="41" t="s">
        <v>67</v>
      </c>
      <c r="AF330" s="42"/>
      <c r="AG330" s="42"/>
      <c r="AH330" s="42"/>
      <c r="AI330" s="43"/>
      <c r="AQ330" s="44" t="s">
        <v>66</v>
      </c>
      <c r="AR330" s="45"/>
      <c r="AS330" s="45"/>
      <c r="AT330" s="45"/>
      <c r="AU330" s="46"/>
      <c r="AV330" s="44" t="s">
        <v>67</v>
      </c>
      <c r="AW330" s="45"/>
      <c r="AX330" s="45"/>
      <c r="AY330" s="45"/>
      <c r="AZ330" s="46"/>
      <c r="BH330" s="305" t="s">
        <v>66</v>
      </c>
      <c r="BI330" s="306"/>
      <c r="BJ330" s="306"/>
      <c r="BK330" s="306"/>
      <c r="BL330" s="307"/>
      <c r="BM330" s="305" t="s">
        <v>67</v>
      </c>
      <c r="BN330" s="306"/>
      <c r="BO330" s="306"/>
      <c r="BP330" s="306"/>
      <c r="BQ330" s="307"/>
      <c r="BY330" s="305" t="s">
        <v>66</v>
      </c>
      <c r="BZ330" s="306"/>
      <c r="CA330" s="306"/>
      <c r="CB330" s="306"/>
      <c r="CC330" s="307"/>
      <c r="CD330" s="305" t="s">
        <v>67</v>
      </c>
      <c r="CE330" s="306"/>
      <c r="CF330" s="306"/>
      <c r="CG330" s="306"/>
      <c r="CH330" s="307"/>
      <c r="CO330" s="199" t="s">
        <v>38</v>
      </c>
      <c r="CP330" s="200"/>
      <c r="CQ330" s="200"/>
      <c r="CR330" s="200"/>
      <c r="CS330" s="200"/>
      <c r="CT330" s="201"/>
    </row>
    <row r="331" spans="2:98" ht="29.5" thickBot="1" x14ac:dyDescent="0.4">
      <c r="H331" s="55"/>
      <c r="I331" s="56" t="str">
        <f>[1]Tables!$AA$4</f>
        <v>07/27 - 06/28</v>
      </c>
      <c r="J331" s="55" t="str">
        <f>[1]Tables!$AA$5</f>
        <v>07/28 - 06/29</v>
      </c>
      <c r="K331" s="55" t="str">
        <f>[1]Tables!$AA$6</f>
        <v>07/29 - 06/30</v>
      </c>
      <c r="L331" s="55" t="str">
        <f>[1]Tables!$AA$7</f>
        <v>07/30 - 06/31</v>
      </c>
      <c r="M331" s="57" t="str">
        <f>[1]Tables!$AA$8</f>
        <v>07/31 - 06/32</v>
      </c>
      <c r="N331" s="56" t="str">
        <f>[1]Tables!$AA$4</f>
        <v>07/27 - 06/28</v>
      </c>
      <c r="O331" s="55" t="str">
        <f>[1]Tables!$AA$5</f>
        <v>07/28 - 06/29</v>
      </c>
      <c r="P331" s="55" t="str">
        <f>[1]Tables!$AA$6</f>
        <v>07/29 - 06/30</v>
      </c>
      <c r="Q331" s="55" t="str">
        <f>[1]Tables!$AA$7</f>
        <v>07/30 - 06/31</v>
      </c>
      <c r="R331" s="57" t="str">
        <f>[1]Tables!$AA$8</f>
        <v>07/31 - 06/32</v>
      </c>
      <c r="Y331" s="58"/>
      <c r="Z331" s="59" t="str">
        <f>[1]Tables!$AA$4</f>
        <v>07/27 - 06/28</v>
      </c>
      <c r="AA331" s="60" t="str">
        <f>[1]Tables!$AA$5</f>
        <v>07/28 - 06/29</v>
      </c>
      <c r="AB331" s="60" t="str">
        <f>[1]Tables!$AA$6</f>
        <v>07/29 - 06/30</v>
      </c>
      <c r="AC331" s="60" t="str">
        <f>[1]Tables!$AA$7</f>
        <v>07/30 - 06/31</v>
      </c>
      <c r="AD331" s="61" t="str">
        <f>[1]Tables!$AA$8</f>
        <v>07/31 - 06/32</v>
      </c>
      <c r="AE331" s="59" t="str">
        <f>[1]Tables!$AA$4</f>
        <v>07/27 - 06/28</v>
      </c>
      <c r="AF331" s="60" t="str">
        <f>[1]Tables!$AA$5</f>
        <v>07/28 - 06/29</v>
      </c>
      <c r="AG331" s="60" t="str">
        <f>[1]Tables!$AA$6</f>
        <v>07/29 - 06/30</v>
      </c>
      <c r="AH331" s="60" t="str">
        <f>[1]Tables!$AA$7</f>
        <v>07/30 - 06/31</v>
      </c>
      <c r="AI331" s="61" t="str">
        <f>[1]Tables!$AA$8</f>
        <v>07/31 - 06/32</v>
      </c>
      <c r="AP331" s="58"/>
      <c r="AQ331" s="62" t="str">
        <f>[1]Tables!$AA$4</f>
        <v>07/27 - 06/28</v>
      </c>
      <c r="AR331" s="63" t="str">
        <f>[1]Tables!$AA$5</f>
        <v>07/28 - 06/29</v>
      </c>
      <c r="AS331" s="63" t="str">
        <f>[1]Tables!$AA$6</f>
        <v>07/29 - 06/30</v>
      </c>
      <c r="AT331" s="63" t="str">
        <f>[1]Tables!$AA$7</f>
        <v>07/30 - 06/31</v>
      </c>
      <c r="AU331" s="64" t="str">
        <f>[1]Tables!$AA$8</f>
        <v>07/31 - 06/32</v>
      </c>
      <c r="AV331" s="62" t="str">
        <f>[1]Tables!$AA$4</f>
        <v>07/27 - 06/28</v>
      </c>
      <c r="AW331" s="63" t="str">
        <f>[1]Tables!$AA$5</f>
        <v>07/28 - 06/29</v>
      </c>
      <c r="AX331" s="63" t="str">
        <f>[1]Tables!$AA$6</f>
        <v>07/29 - 06/30</v>
      </c>
      <c r="AY331" s="63" t="str">
        <f>[1]Tables!$AA$7</f>
        <v>07/30 - 06/31</v>
      </c>
      <c r="AZ331" s="64" t="str">
        <f>[1]Tables!$AA$8</f>
        <v>07/31 - 06/32</v>
      </c>
      <c r="BG331" s="58"/>
      <c r="BH331" s="65" t="str">
        <f>[1]Tables!$AA$4</f>
        <v>07/27 - 06/28</v>
      </c>
      <c r="BI331" s="66" t="str">
        <f>[1]Tables!$AA$5</f>
        <v>07/28 - 06/29</v>
      </c>
      <c r="BJ331" s="66" t="str">
        <f>[1]Tables!$AA$6</f>
        <v>07/29 - 06/30</v>
      </c>
      <c r="BK331" s="66" t="str">
        <f>[1]Tables!$AA$7</f>
        <v>07/30 - 06/31</v>
      </c>
      <c r="BL331" s="67" t="str">
        <f>[1]Tables!$AA$8</f>
        <v>07/31 - 06/32</v>
      </c>
      <c r="BM331" s="65" t="str">
        <f>[1]Tables!$AA$4</f>
        <v>07/27 - 06/28</v>
      </c>
      <c r="BN331" s="66" t="str">
        <f>[1]Tables!$AA$5</f>
        <v>07/28 - 06/29</v>
      </c>
      <c r="BO331" s="66" t="str">
        <f>[1]Tables!$AA$6</f>
        <v>07/29 - 06/30</v>
      </c>
      <c r="BP331" s="66" t="str">
        <f>[1]Tables!$AA$7</f>
        <v>07/30 - 06/31</v>
      </c>
      <c r="BQ331" s="67" t="str">
        <f>[1]Tables!$AA$8</f>
        <v>07/31 - 06/32</v>
      </c>
      <c r="BX331" s="58"/>
      <c r="BY331" s="65" t="str">
        <f>[1]Tables!$AA$4</f>
        <v>07/27 - 06/28</v>
      </c>
      <c r="BZ331" s="66" t="str">
        <f>[1]Tables!$AA$5</f>
        <v>07/28 - 06/29</v>
      </c>
      <c r="CA331" s="66" t="str">
        <f>[1]Tables!$AA$6</f>
        <v>07/29 - 06/30</v>
      </c>
      <c r="CB331" s="66" t="str">
        <f>[1]Tables!$AA$7</f>
        <v>07/30 - 06/31</v>
      </c>
      <c r="CC331" s="67" t="str">
        <f>[1]Tables!$AA$8</f>
        <v>07/31 - 06/32</v>
      </c>
      <c r="CD331" s="65" t="str">
        <f>[1]Tables!$AA$4</f>
        <v>07/27 - 06/28</v>
      </c>
      <c r="CE331" s="66" t="str">
        <f>[1]Tables!$AA$5</f>
        <v>07/28 - 06/29</v>
      </c>
      <c r="CF331" s="66" t="str">
        <f>[1]Tables!$AA$6</f>
        <v>07/29 - 06/30</v>
      </c>
      <c r="CG331" s="66" t="str">
        <f>[1]Tables!$AA$7</f>
        <v>07/30 - 06/31</v>
      </c>
      <c r="CH331" s="67" t="str">
        <f>[1]Tables!$AA$8</f>
        <v>07/31 - 06/32</v>
      </c>
      <c r="CO331" s="65" t="s">
        <v>40</v>
      </c>
      <c r="CP331" s="66" t="s">
        <v>42</v>
      </c>
      <c r="CQ331" s="202" t="s">
        <v>18</v>
      </c>
      <c r="CR331" s="65" t="s">
        <v>41</v>
      </c>
      <c r="CS331" s="66" t="s">
        <v>43</v>
      </c>
      <c r="CT331" s="202" t="s">
        <v>44</v>
      </c>
    </row>
    <row r="332" spans="2:98" x14ac:dyDescent="0.35">
      <c r="B332" s="68" t="s">
        <v>11</v>
      </c>
      <c r="C332" s="69">
        <v>30</v>
      </c>
      <c r="D332" s="69" t="s">
        <v>12</v>
      </c>
      <c r="E332" s="70" t="s">
        <v>13</v>
      </c>
      <c r="F332" s="106">
        <v>1</v>
      </c>
      <c r="H332" s="71" t="s">
        <v>14</v>
      </c>
      <c r="I332" s="72" t="e" cm="1">
        <f t="array" aca="1" ref="I332" ca="1">SUMIFS(rng_out_awp_pre_yr1,rng_out_sel_excl_yr_ind, "", rng_out_GB_Medispan, I$1,rng_out_sel_G_ind,N$1,rng_out_mail_ind,$B332,rng_out_ds,$C332,rng_out_sel_sp_ind,$D332,rng_out_sel_excl_ind,$E332)+
SUMIFS(rng_out_awp_pre_yr1,rng_out_sel_excl_yr_ind, [1]Tables!$HN$4, rng_out_GB_Medispan, I$1,rng_out_sel_G_ind,N$1,rng_out_mail_ind,$B332,rng_out_ds,$C332,rng_out_sel_sp_ind,$D332,rng_out_sel_excl_ind,$E332)* _xlfn.XLOOKUP([1]Tables!$HN$4,'[1]RA Output'!$AY$4:$AY$5,'[1]RA Output'!AZ$4:AZ$5,0)  +
SUMIFS(rng_out_awp_pre_yr1,rng_out_sel_excl_yr_ind, [1]Tables!$HN$5, rng_out_GB_Medispan, I$1,rng_out_sel_G_ind,N$1,rng_out_mail_ind,$B332,rng_out_ds,$C332,rng_out_sel_sp_ind,$D332,rng_out_sel_excl_ind,$E332)* _xlfn.XLOOKUP([1]Tables!$HN$5,'[1]RA Output'!$AY$4:$AY$5,'[1]RA Output'!AZ$4:AZ$5,0)+
IF($E$336="N", 0,
SUMIFS(rng_out_awp_pre_yr1, rng_out_GB_Medispan, I$1, rng_out_sel_G_ind, N$1, rng_out_mail_ind, $B332, rng_out_ds, $C332, rng_out_sel_sp_ind, $D332, rng_out_sel_excl_ind,"N", rng_out_post_reb_ind_yr1, 0))</f>
        <v>#VALUE!</v>
      </c>
      <c r="J332" s="5" t="e" cm="1">
        <f t="array" aca="1" ref="J332" ca="1">SUMIFS(rng_out_awp_pre_yr2,rng_out_sel_excl_yr_ind, "", rng_out_GB_Medispan, J$1,rng_out_sel_G_ind,O$1,rng_out_mail_ind,$B332,rng_out_ds,$C332,rng_out_sel_sp_ind,$D332,rng_out_sel_excl_ind,$E332)+
SUMIFS(rng_out_awp_pre_yr2,rng_out_sel_excl_yr_ind, [1]Tables!$HN$4, rng_out_GB_Medispan, J$1,rng_out_sel_G_ind,O$1,rng_out_mail_ind,$B332,rng_out_ds,$C332,rng_out_sel_sp_ind,$D332,rng_out_sel_excl_ind,$E332)* _xlfn.XLOOKUP([1]Tables!$HN$4,'[1]RA Output'!$AY$4:$AY$5,'[1]RA Output'!BA$4:BA$5,0)  +
SUMIFS(rng_out_awp_pre_yr2,rng_out_sel_excl_yr_ind, [1]Tables!$HN$5, rng_out_GB_Medispan, J$1,rng_out_sel_G_ind,O$1,rng_out_mail_ind,$B332,rng_out_ds,$C332,rng_out_sel_sp_ind,$D332,rng_out_sel_excl_ind,$E332)* _xlfn.XLOOKUP([1]Tables!$HN$5,'[1]RA Output'!$AY$4:$AY$5,'[1]RA Output'!BA$4:BA$5,0)+
IF($E$336="N", 0,
SUMIFS(rng_out_awp_pre_yr2, rng_out_GB_Medispan, J$1, rng_out_sel_G_ind, O$1, rng_out_mail_ind, $B332, rng_out_ds, $C332, rng_out_sel_sp_ind, $D332, rng_out_sel_excl_ind,"N", rng_out_post_reb_ind_yr2, 0))</f>
        <v>#VALUE!</v>
      </c>
      <c r="K332" s="5" t="e" cm="1">
        <f t="array" aca="1" ref="K332" ca="1">SUMIFS(rng_out_awp_pre_yr3,rng_out_sel_excl_yr_ind, "", rng_out_GB_Medispan, K$1,rng_out_sel_G_ind,P$1,rng_out_mail_ind,$B332,rng_out_ds,$C332,rng_out_sel_sp_ind,$D332,rng_out_sel_excl_ind,$E332)+
SUMIFS(rng_out_awp_pre_yr3,rng_out_sel_excl_yr_ind, [1]Tables!$HN$4, rng_out_GB_Medispan, K$1,rng_out_sel_G_ind,P$1,rng_out_mail_ind,$B332,rng_out_ds,$C332,rng_out_sel_sp_ind,$D332,rng_out_sel_excl_ind,$E332)* _xlfn.XLOOKUP([1]Tables!$HN$4,'[1]RA Output'!$AY$4:$AY$5,'[1]RA Output'!BB$4:BB$5,0)  +
SUMIFS(rng_out_awp_pre_yr3,rng_out_sel_excl_yr_ind, [1]Tables!$HN$5, rng_out_GB_Medispan, K$1,rng_out_sel_G_ind,P$1,rng_out_mail_ind,$B332,rng_out_ds,$C332,rng_out_sel_sp_ind,$D332,rng_out_sel_excl_ind,$E332)* _xlfn.XLOOKUP([1]Tables!$HN$5,'[1]RA Output'!$AY$4:$AY$5,'[1]RA Output'!BB$4:BB$5,0)+
IF($E$336="N", 0,
SUMIFS(rng_out_awp_pre_yr3, rng_out_GB_Medispan, K$1, rng_out_sel_G_ind, P$1, rng_out_mail_ind, $B332, rng_out_ds, $C332, rng_out_sel_sp_ind, $D332, rng_out_sel_excl_ind,"N", rng_out_post_reb_ind_yr3, 0))</f>
        <v>#VALUE!</v>
      </c>
      <c r="L332" s="5" t="e" cm="1">
        <f t="array" aca="1" ref="L332" ca="1">SUMIFS(rng_out_awp_pre_yr4,rng_out_sel_excl_yr_ind, "", rng_out_GB_Medispan, L$1,rng_out_sel_G_ind,Q$1,rng_out_mail_ind,$B332,rng_out_ds,$C332,rng_out_sel_sp_ind,$D332,rng_out_sel_excl_ind,$E332)+
SUMIFS(rng_out_awp_pre_yr4,rng_out_sel_excl_yr_ind, [1]Tables!$HN$4, rng_out_GB_Medispan, L$1,rng_out_sel_G_ind,Q$1,rng_out_mail_ind,$B332,rng_out_ds,$C332,rng_out_sel_sp_ind,$D332,rng_out_sel_excl_ind,$E332)* _xlfn.XLOOKUP([1]Tables!$HN$4,'[1]RA Output'!$AY$4:$AY$5,'[1]RA Output'!BC$4:BC$5,0)  +
SUMIFS(rng_out_awp_pre_yr4,rng_out_sel_excl_yr_ind, [1]Tables!$HN$5, rng_out_GB_Medispan, L$1,rng_out_sel_G_ind,Q$1,rng_out_mail_ind,$B332,rng_out_ds,$C332,rng_out_sel_sp_ind,$D332,rng_out_sel_excl_ind,$E332)* _xlfn.XLOOKUP([1]Tables!$HN$5,'[1]RA Output'!$AY$4:$AY$5,'[1]RA Output'!BC$4:BC$5,0)+
IF($E$336="N", 0,
SUMIFS(rng_out_awp_pre_yr4, rng_out_GB_Medispan, L$1, rng_out_sel_G_ind, Q$1, rng_out_mail_ind, $B332, rng_out_ds, $C332, rng_out_sel_sp_ind, $D332, rng_out_sel_excl_ind,"N", rng_out_post_reb_ind_yr4, 0))</f>
        <v>#VALUE!</v>
      </c>
      <c r="M332" s="73" t="e" cm="1">
        <f t="array" aca="1" ref="M332" ca="1">SUMIFS(rng_out_awp_pre_yr5,rng_out_sel_excl_yr_ind, "", rng_out_GB_Medispan, M$1,rng_out_sel_G_ind,R$1,rng_out_mail_ind,$B332,rng_out_ds,$C332,rng_out_sel_sp_ind,$D332,rng_out_sel_excl_ind,$E332)+
SUMIFS(rng_out_awp_pre_yr5,rng_out_sel_excl_yr_ind, [1]Tables!$HN$4, rng_out_GB_Medispan, M$1,rng_out_sel_G_ind,R$1,rng_out_mail_ind,$B332,rng_out_ds,$C332,rng_out_sel_sp_ind,$D332,rng_out_sel_excl_ind,$E332)* _xlfn.XLOOKUP([1]Tables!$HN$4,'[1]RA Output'!$AY$4:$AY$5,'[1]RA Output'!BD$4:BD$5,0)  +
SUMIFS(rng_out_awp_pre_yr5,rng_out_sel_excl_yr_ind, [1]Tables!$HN$5, rng_out_GB_Medispan, M$1,rng_out_sel_G_ind,R$1,rng_out_mail_ind,$B332,rng_out_ds,$C332,rng_out_sel_sp_ind,$D332,rng_out_sel_excl_ind,$E332)* _xlfn.XLOOKUP([1]Tables!$HN$5,'[1]RA Output'!$AY$4:$AY$5,'[1]RA Output'!BD$4:BD$5,0)+
IF($E$336="N", 0,
SUMIFS(rng_out_awp_pre_yr5, rng_out_GB_Medispan, M$1, rng_out_sel_G_ind, R$1, rng_out_mail_ind, $B332, rng_out_ds, $C332, rng_out_sel_sp_ind, $D332, rng_out_sel_excl_ind,"N", rng_out_post_reb_ind_yr5, 0))</f>
        <v>#VALUE!</v>
      </c>
      <c r="N332" s="74">
        <f t="shared" ref="N332:R336" ca="1" si="355">IFERROR(I332/I285, 0)</f>
        <v>0</v>
      </c>
      <c r="O332" s="75">
        <f t="shared" ca="1" si="355"/>
        <v>0</v>
      </c>
      <c r="P332" s="75">
        <f t="shared" ca="1" si="355"/>
        <v>0</v>
      </c>
      <c r="Q332" s="75">
        <f t="shared" ca="1" si="355"/>
        <v>0</v>
      </c>
      <c r="R332" s="76">
        <f t="shared" ca="1" si="355"/>
        <v>0</v>
      </c>
      <c r="Y332" s="77" t="s">
        <v>14</v>
      </c>
      <c r="Z332" s="78">
        <f ca="1">IFERROR(I332/[1]Tables!$AT$4, 0)</f>
        <v>0</v>
      </c>
      <c r="AA332" s="79">
        <f ca="1">IFERROR(J332/[1]Tables!$AT$4, 0)</f>
        <v>0</v>
      </c>
      <c r="AB332" s="79">
        <f ca="1">IFERROR(K332/[1]Tables!$AT$4, 0)</f>
        <v>0</v>
      </c>
      <c r="AC332" s="79">
        <f ca="1">IFERROR(L332/[1]Tables!$AT$4, 0)</f>
        <v>0</v>
      </c>
      <c r="AD332" s="80">
        <f ca="1">IFERROR(M332/[1]Tables!$AT$4, 0)</f>
        <v>0</v>
      </c>
      <c r="AE332" s="81">
        <f t="shared" ref="AE332:AI336" ca="1" si="356">IFERROR(Z332/Z285, 0)</f>
        <v>0</v>
      </c>
      <c r="AF332" s="75">
        <f t="shared" ca="1" si="356"/>
        <v>0</v>
      </c>
      <c r="AG332" s="75">
        <f t="shared" ca="1" si="356"/>
        <v>0</v>
      </c>
      <c r="AH332" s="75">
        <f t="shared" ca="1" si="356"/>
        <v>0</v>
      </c>
      <c r="AI332" s="82">
        <f t="shared" ca="1" si="356"/>
        <v>0</v>
      </c>
      <c r="AP332" s="83" t="s">
        <v>14</v>
      </c>
      <c r="AQ332" s="356" cm="1">
        <f t="array" aca="1" ref="AQ332" ca="1">IF($E$327="N", IFERROR(IF(OR(input_Shift="No", [1]Tables!$BN$4=1), 0, (SUMIFS(rng_out_awp_post_yr1,rng_out_sel_excl_yr_ind, "", rng_out_GB_Medispan, N$1,rng_out_sel_G_ind,I$1,rng_out_mail_ind,$B332,rng_out_ds,$C332,rng_out_sel_sp_ind,$D332,rng_out_sel_excl_ind,$E332, rng_out_MSB_excl, $F332)+
SUMIFS(rng_out_awp_post_yr1,rng_out_sel_excl_yr_ind, [1]Tables!$HN$4, rng_out_GB_Medispan, N$1,rng_out_sel_G_ind,I$1,rng_out_mail_ind,$B332,rng_out_ds,$C332,rng_out_sel_sp_ind,$D332,rng_out_sel_excl_ind,$E332, rng_out_MSB_excl, $F332)* _xlfn.XLOOKUP([1]Tables!$HN$4,'[1]RA Output'!$AY$4:$AY$5,'[1]RA Output'!AZ$4:AZ$5,0)  +
SUMIFS(rng_out_awp_post_yr1,rng_out_sel_excl_yr_ind, [1]Tables!$HN$5, rng_out_GB_Medispan, N$1,rng_out_sel_G_ind,I$1,rng_out_mail_ind,$B332,rng_out_ds,$C332,rng_out_sel_sp_ind,$D332,rng_out_sel_excl_ind,$E332, rng_out_MSB_excl, $F332)* _xlfn.XLOOKUP([1]Tables!$HN$5,'[1]RA Output'!$AY$4:$AY$5,'[1]RA Output'!AZ$4:AZ$5,0)) * ((1-[1]Tables!$BN$4)/[1]Tables!$BN$4) * [1]Tables!$BN$5)/[1]Tables!$AT$4, 0) +
IFERROR((SUMIFS(rng_out_awp_post_yr1,rng_out_sel_excl_yr_ind, "", rng_out_GB_Medispan, I$1,rng_out_sel_G_ind,N$1,rng_out_mail_ind,$B332,rng_out_ds,$C332,rng_out_sel_sp_ind,$D332,rng_out_sel_excl_ind,$E332)+
SUMIFS(rng_out_awp_post_yr1,rng_out_sel_excl_yr_ind, [1]Tables!$HN$4, rng_out_GB_Medispan, I$1,rng_out_sel_G_ind,N$1,rng_out_mail_ind,$B332,rng_out_ds,$C332,rng_out_sel_sp_ind,$D332,rng_out_sel_excl_ind,$E332)* _xlfn.XLOOKUP([1]Tables!$HN$4,'[1]RA Output'!$AY$4:$AY$5,'[1]RA Output'!AZ$4:AZ$5,0)  +
SUMIFS(rng_out_awp_post_yr1,rng_out_sel_excl_yr_ind, [1]Tables!$HN$5, rng_out_GB_Medispan, I$1,rng_out_sel_G_ind,N$1,rng_out_mail_ind,$B332,rng_out_ds,$C332,rng_out_sel_sp_ind,$D332,rng_out_sel_excl_ind,$E332)* _xlfn.XLOOKUP([1]Tables!$HN$5,'[1]RA Output'!$AY$4:$AY$5,'[1]RA Output'!AZ$4:AZ$5,0))/[1]Tables!$AT$4, 0),
IFERROR(IF(OR(input_Shift="No", [1]Tables!$BN$4=1), 0, (SUMIFS(rng_out_awp_post_yr1,rng_out_sel_excl_yr_ind, "", rng_out_GB_Medispan, N$1,rng_out_sel_G_ind,I$1,rng_out_mail_ind,$B332,rng_out_ds,$C332,rng_out_sel_sp_ind,$D332,rng_out_sel_excl_ind,$E332, rng_out_MSB_excl, $F332)+
SUMIFS(rng_out_awp_post_yr1,rng_out_sel_excl_yr_ind, [1]Tables!$HN$4, rng_out_GB_Medispan, N$1,rng_out_sel_G_ind,I$1,rng_out_mail_ind,$B332,rng_out_ds,$C332,rng_out_sel_sp_ind,$D332,rng_out_sel_excl_ind,$E332, rng_out_MSB_excl, $F332)* _xlfn.XLOOKUP([1]Tables!$HN$4,'[1]RA Output'!$AY$4:$AY$5,'[1]RA Output'!AZ$4:AZ$5,0)  +
SUMIFS(rng_out_awp_post_yr1,rng_out_sel_excl_yr_ind, [1]Tables!$HN$5, rng_out_GB_Medispan, N$1,rng_out_sel_G_ind,I$1,rng_out_mail_ind,$B332,rng_out_ds,$C332,rng_out_sel_sp_ind,$D332,rng_out_sel_excl_ind,$E332, rng_out_MSB_excl, $F332)* _xlfn.XLOOKUP([1]Tables!$HN$5,'[1]RA Output'!$AY$4:$AY$5,'[1]RA Output'!AZ$4:AZ$5,0)+
SUMIFS(rng_out_awp_post_yr1, rng_out_mail_ind, $B332, rng_out_GB_Medispan, I$1, rng_out_sel_G_ind, N$1, rng_out_ds, $C332, rng_out_sel_sp_ind, $D332, rng_out_sel_excl_ind,"N", rng_out_MSB_excl, $F332, rng_out_post_reb_ind_yr1, 0)) * ((1-[1]Tables!$BN$4)/[1]Tables!$BN$4) * [1]Tables!$BN$5)/[1]Tables!$AT$4, 0) +
IFERROR(SUMIFS(rng_out_awp_post_yr1,rng_out_sel_excl_yr_ind, "", rng_out_GB_Medispan, I$1,rng_out_sel_G_ind,N$1,rng_out_mail_ind,$B332,rng_out_ds,$C332,rng_out_sel_sp_ind,$D332,rng_out_sel_excl_ind,$E332)+
SUMIFS(rng_out_awp_post_yr1,rng_out_sel_excl_yr_ind, [1]Tables!$HN$4, rng_out_GB_Medispan, I$1,rng_out_sel_G_ind,N$1,rng_out_mail_ind,$B332,rng_out_ds,$C332,rng_out_sel_sp_ind,$D332,rng_out_sel_excl_ind,$E332)* _xlfn.XLOOKUP([1]Tables!$HN$4,'[1]RA Output'!$AY$4:$AY$5,'[1]RA Output'!AZ$4:AZ$5,0)  +
SUMIFS(rng_out_awp_post_yr1,rng_out_sel_excl_yr_ind, [1]Tables!$HN$5, rng_out_GB_Medispan, I$1,rng_out_sel_G_ind,N$1,rng_out_mail_ind,$B332,rng_out_ds,$C332,rng_out_sel_sp_ind,$D332,rng_out_sel_excl_ind,$E332)* _xlfn.XLOOKUP([1]Tables!$HN$5,'[1]RA Output'!$AY$4:$AY$5,'[1]RA Output'!AZ$4:AZ$5,0) + SUMIFS(rng_out_awp_post_yr1, rng_out_GB_Medispan, I$1, rng_out_sel_G_ind, N$1, rng_out_mail_ind, $B332, rng_out_ds, $C332, rng_out_sel_sp_ind, $D332, rng_out_sel_excl_ind,"N", rng_out_post_reb_ind_yr1, 0)/[1]Tables!$AT$4, 0))</f>
        <v>0</v>
      </c>
      <c r="AR332" s="5" cm="1">
        <f t="array" aca="1" ref="AR332" ca="1">IF($E$327="N", IFERROR(IF(OR(input_Shift="No", [1]Tables!$BN$4=1), 0, (SUMIFS(rng_out_awp_post_yr2,rng_out_sel_excl_yr_ind, "", rng_out_GB_Medispan, O$1,rng_out_sel_G_ind,J$1,rng_out_mail_ind,$B332,rng_out_ds,$C332,rng_out_sel_sp_ind,$D332,rng_out_sel_excl_ind,$E332, rng_out_MSB_excl, $F332)+
SUMIFS(rng_out_awp_post_yr2,rng_out_sel_excl_yr_ind, [1]Tables!$HN$4, rng_out_GB_Medispan, O$1,rng_out_sel_G_ind,J$1,rng_out_mail_ind,$B332,rng_out_ds,$C332,rng_out_sel_sp_ind,$D332,rng_out_sel_excl_ind,$E332, rng_out_MSB_excl, $F332)* _xlfn.XLOOKUP([1]Tables!$HN$4,'[1]RA Output'!$AY$4:$AY$5,'[1]RA Output'!BA$4:BA$5,0)  +
SUMIFS(rng_out_awp_post_yr2,rng_out_sel_excl_yr_ind, [1]Tables!$HN$5, rng_out_GB_Medispan, O$1,rng_out_sel_G_ind,J$1,rng_out_mail_ind,$B332,rng_out_ds,$C332,rng_out_sel_sp_ind,$D332,rng_out_sel_excl_ind,$E332, rng_out_MSB_excl, $F332)* _xlfn.XLOOKUP([1]Tables!$HN$5,'[1]RA Output'!$AY$4:$AY$5,'[1]RA Output'!BA$4:BA$5,0)) * ((1-[1]Tables!$BN$4)/[1]Tables!$BN$4) * [1]Tables!$BN$5)/[1]Tables!$AT$4, 0) +
IFERROR((SUMIFS(rng_out_awp_post_yr2,rng_out_sel_excl_yr_ind, "", rng_out_GB_Medispan, J$1,rng_out_sel_G_ind,O$1,rng_out_mail_ind,$B332,rng_out_ds,$C332,rng_out_sel_sp_ind,$D332,rng_out_sel_excl_ind,$E332)+
SUMIFS(rng_out_awp_post_yr2,rng_out_sel_excl_yr_ind, [1]Tables!$HN$4, rng_out_GB_Medispan, J$1,rng_out_sel_G_ind,O$1,rng_out_mail_ind,$B332,rng_out_ds,$C332,rng_out_sel_sp_ind,$D332,rng_out_sel_excl_ind,$E332)* _xlfn.XLOOKUP([1]Tables!$HN$4,'[1]RA Output'!$AY$4:$AY$5,'[1]RA Output'!BA$4:BA$5,0)  +
SUMIFS(rng_out_awp_post_yr2,rng_out_sel_excl_yr_ind, [1]Tables!$HN$5, rng_out_GB_Medispan, J$1,rng_out_sel_G_ind,O$1,rng_out_mail_ind,$B332,rng_out_ds,$C332,rng_out_sel_sp_ind,$D332,rng_out_sel_excl_ind,$E332)* _xlfn.XLOOKUP([1]Tables!$HN$5,'[1]RA Output'!$AY$4:$AY$5,'[1]RA Output'!BA$4:BA$5,0))/[1]Tables!$AT$4, 0),
IFERROR(IF(OR(input_Shift="No", [1]Tables!$BN$4=1), 0, (SUMIFS(rng_out_awp_post_yr2,rng_out_sel_excl_yr_ind, "", rng_out_GB_Medispan, O$1,rng_out_sel_G_ind,J$1,rng_out_mail_ind,$B332,rng_out_ds,$C332,rng_out_sel_sp_ind,$D332,rng_out_sel_excl_ind,$E332, rng_out_MSB_excl, $F332)+
SUMIFS(rng_out_awp_post_yr2,rng_out_sel_excl_yr_ind, [1]Tables!$HN$4, rng_out_GB_Medispan, O$1,rng_out_sel_G_ind,J$1,rng_out_mail_ind,$B332,rng_out_ds,$C332,rng_out_sel_sp_ind,$D332,rng_out_sel_excl_ind,$E332, rng_out_MSB_excl, $F332)* _xlfn.XLOOKUP([1]Tables!$HN$4,'[1]RA Output'!$AY$4:$AY$5,'[1]RA Output'!BA$4:BA$5,0)  +
SUMIFS(rng_out_awp_post_yr2,rng_out_sel_excl_yr_ind, [1]Tables!$HN$5, rng_out_GB_Medispan, O$1,rng_out_sel_G_ind,J$1,rng_out_mail_ind,$B332,rng_out_ds,$C332,rng_out_sel_sp_ind,$D332,rng_out_sel_excl_ind,$E332, rng_out_MSB_excl, $F332)* _xlfn.XLOOKUP([1]Tables!$HN$5,'[1]RA Output'!$AY$4:$AY$5,'[1]RA Output'!BA$4:BA$5,0)+
SUMIFS(rng_out_awp_post_yr2, rng_out_mail_ind, $B332, rng_out_GB_Medispan, J$1, rng_out_sel_G_ind, O$1, rng_out_ds, $C332, rng_out_sel_sp_ind, $D332, rng_out_sel_excl_ind,"N", rng_out_MSB_excl, $F332, rng_out_post_reb_ind_yr2, 0)) * ((1-[1]Tables!$BN$4)/[1]Tables!$BN$4) * [1]Tables!$BN$5)/[1]Tables!$AT$4, 0) +
IFERROR(SUMIFS(rng_out_awp_post_yr2,rng_out_sel_excl_yr_ind, "", rng_out_GB_Medispan, J$1,rng_out_sel_G_ind,O$1,rng_out_mail_ind,$B332,rng_out_ds,$C332,rng_out_sel_sp_ind,$D332,rng_out_sel_excl_ind,$E332)+
SUMIFS(rng_out_awp_post_yr2,rng_out_sel_excl_yr_ind, [1]Tables!$HN$4, rng_out_GB_Medispan, J$1,rng_out_sel_G_ind,O$1,rng_out_mail_ind,$B332,rng_out_ds,$C332,rng_out_sel_sp_ind,$D332,rng_out_sel_excl_ind,$E332)* _xlfn.XLOOKUP([1]Tables!$HN$4,'[1]RA Output'!$AY$4:$AY$5,'[1]RA Output'!BA$4:BA$5,0)  +
SUMIFS(rng_out_awp_post_yr2,rng_out_sel_excl_yr_ind, [1]Tables!$HN$5, rng_out_GB_Medispan, J$1,rng_out_sel_G_ind,O$1,rng_out_mail_ind,$B332,rng_out_ds,$C332,rng_out_sel_sp_ind,$D332,rng_out_sel_excl_ind,$E332)* _xlfn.XLOOKUP([1]Tables!$HN$5,'[1]RA Output'!$AY$4:$AY$5,'[1]RA Output'!BA$4:BA$5,0) + SUMIFS(rng_out_awp_post_yr2, rng_out_GB_Medispan, J$1, rng_out_sel_G_ind, O$1, rng_out_mail_ind, $B332, rng_out_ds, $C332, rng_out_sel_sp_ind, $D332, rng_out_sel_excl_ind,"N", rng_out_post_reb_ind_yr2, 0)/[1]Tables!$AT$4, 0))</f>
        <v>0</v>
      </c>
      <c r="AS332" s="5" cm="1">
        <f t="array" aca="1" ref="AS332" ca="1">IF($E$327="N", IFERROR(IF(OR(input_Shift="No", [1]Tables!$BN$4=1), 0, (SUMIFS(rng_out_awp_post_yr3,rng_out_sel_excl_yr_ind, "", rng_out_GB_Medispan, P$1,rng_out_sel_G_ind,K$1,rng_out_mail_ind,$B332,rng_out_ds,$C332,rng_out_sel_sp_ind,$D332,rng_out_sel_excl_ind,$E332, rng_out_MSB_excl, $F332)+
SUMIFS(rng_out_awp_post_yr3,rng_out_sel_excl_yr_ind, [1]Tables!$HN$4, rng_out_GB_Medispan, P$1,rng_out_sel_G_ind,K$1,rng_out_mail_ind,$B332,rng_out_ds,$C332,rng_out_sel_sp_ind,$D332,rng_out_sel_excl_ind,$E332, rng_out_MSB_excl, $F332)* _xlfn.XLOOKUP([1]Tables!$HN$4,'[1]RA Output'!$AY$4:$AY$5,'[1]RA Output'!BB$4:BB$5,0)  +
SUMIFS(rng_out_awp_post_yr3,rng_out_sel_excl_yr_ind, [1]Tables!$HN$5, rng_out_GB_Medispan, P$1,rng_out_sel_G_ind,K$1,rng_out_mail_ind,$B332,rng_out_ds,$C332,rng_out_sel_sp_ind,$D332,rng_out_sel_excl_ind,$E332, rng_out_MSB_excl, $F332)* _xlfn.XLOOKUP([1]Tables!$HN$5,'[1]RA Output'!$AY$4:$AY$5,'[1]RA Output'!BB$4:BB$5,0)) * ((1-[1]Tables!$BN$4)/[1]Tables!$BN$4) * [1]Tables!$BN$5)/[1]Tables!$AT$4, 0) +
IFERROR((SUMIFS(rng_out_awp_post_yr3,rng_out_sel_excl_yr_ind, "", rng_out_GB_Medispan, K$1,rng_out_sel_G_ind,P$1,rng_out_mail_ind,$B332,rng_out_ds,$C332,rng_out_sel_sp_ind,$D332,rng_out_sel_excl_ind,$E332)+
SUMIFS(rng_out_awp_post_yr3,rng_out_sel_excl_yr_ind, [1]Tables!$HN$4, rng_out_GB_Medispan, K$1,rng_out_sel_G_ind,P$1,rng_out_mail_ind,$B332,rng_out_ds,$C332,rng_out_sel_sp_ind,$D332,rng_out_sel_excl_ind,$E332)* _xlfn.XLOOKUP([1]Tables!$HN$4,'[1]RA Output'!$AY$4:$AY$5,'[1]RA Output'!BB$4:BB$5,0)  +
SUMIFS(rng_out_awp_post_yr3,rng_out_sel_excl_yr_ind, [1]Tables!$HN$5, rng_out_GB_Medispan, K$1,rng_out_sel_G_ind,P$1,rng_out_mail_ind,$B332,rng_out_ds,$C332,rng_out_sel_sp_ind,$D332,rng_out_sel_excl_ind,$E332)* _xlfn.XLOOKUP([1]Tables!$HN$5,'[1]RA Output'!$AY$4:$AY$5,'[1]RA Output'!BB$4:BB$5,0))/[1]Tables!$AT$4, 0),
IFERROR(IF(OR(input_Shift="No", [1]Tables!$BN$4=1), 0, (SUMIFS(rng_out_awp_post_yr3,rng_out_sel_excl_yr_ind, "", rng_out_GB_Medispan, P$1,rng_out_sel_G_ind,K$1,rng_out_mail_ind,$B332,rng_out_ds,$C332,rng_out_sel_sp_ind,$D332,rng_out_sel_excl_ind,$E332, rng_out_MSB_excl, $F332)+
SUMIFS(rng_out_awp_post_yr3,rng_out_sel_excl_yr_ind, [1]Tables!$HN$4, rng_out_GB_Medispan, P$1,rng_out_sel_G_ind,K$1,rng_out_mail_ind,$B332,rng_out_ds,$C332,rng_out_sel_sp_ind,$D332,rng_out_sel_excl_ind,$E332, rng_out_MSB_excl, $F332)* _xlfn.XLOOKUP([1]Tables!$HN$4,'[1]RA Output'!$AY$4:$AY$5,'[1]RA Output'!BB$4:BB$5,0)  +
SUMIFS(rng_out_awp_post_yr3,rng_out_sel_excl_yr_ind, [1]Tables!$HN$5, rng_out_GB_Medispan, P$1,rng_out_sel_G_ind,K$1,rng_out_mail_ind,$B332,rng_out_ds,$C332,rng_out_sel_sp_ind,$D332,rng_out_sel_excl_ind,$E332, rng_out_MSB_excl, $F332)* _xlfn.XLOOKUP([1]Tables!$HN$5,'[1]RA Output'!$AY$4:$AY$5,'[1]RA Output'!BB$4:BB$5,0)+
SUMIFS(rng_out_awp_post_yr3, rng_out_mail_ind, $B332, rng_out_GB_Medispan, K$1, rng_out_sel_G_ind, P$1, rng_out_ds, $C332, rng_out_sel_sp_ind, $D332, rng_out_sel_excl_ind,"N", rng_out_MSB_excl, $F332, rng_out_post_reb_ind_yr3, 0)) * ((1-[1]Tables!$BN$4)/[1]Tables!$BN$4) * [1]Tables!$BN$5)/[1]Tables!$AT$4, 0) +
IFERROR(SUMIFS(rng_out_awp_post_yr3,rng_out_sel_excl_yr_ind, "", rng_out_GB_Medispan, K$1,rng_out_sel_G_ind,P$1,rng_out_mail_ind,$B332,rng_out_ds,$C332,rng_out_sel_sp_ind,$D332,rng_out_sel_excl_ind,$E332)+
SUMIFS(rng_out_awp_post_yr3,rng_out_sel_excl_yr_ind, [1]Tables!$HN$4, rng_out_GB_Medispan, K$1,rng_out_sel_G_ind,P$1,rng_out_mail_ind,$B332,rng_out_ds,$C332,rng_out_sel_sp_ind,$D332,rng_out_sel_excl_ind,$E332)* _xlfn.XLOOKUP([1]Tables!$HN$4,'[1]RA Output'!$AY$4:$AY$5,'[1]RA Output'!BB$4:BB$5,0)  +
SUMIFS(rng_out_awp_post_yr3,rng_out_sel_excl_yr_ind, [1]Tables!$HN$5, rng_out_GB_Medispan, K$1,rng_out_sel_G_ind,P$1,rng_out_mail_ind,$B332,rng_out_ds,$C332,rng_out_sel_sp_ind,$D332,rng_out_sel_excl_ind,$E332)* _xlfn.XLOOKUP([1]Tables!$HN$5,'[1]RA Output'!$AY$4:$AY$5,'[1]RA Output'!BB$4:BB$5,0) + SUMIFS(rng_out_awp_post_yr3, rng_out_GB_Medispan, K$1, rng_out_sel_G_ind, P$1, rng_out_mail_ind, $B332, rng_out_ds, $C332, rng_out_sel_sp_ind, $D332, rng_out_sel_excl_ind,"N", rng_out_post_reb_ind_yr3, 0)/[1]Tables!$AT$4, 0))</f>
        <v>0</v>
      </c>
      <c r="AT332" s="5" cm="1">
        <f t="array" aca="1" ref="AT332" ca="1">IF($E$327="N", IFERROR(IF(OR(input_Shift="No", [1]Tables!$BN$4=1), 0, (SUMIFS(rng_out_awp_post_yr4,rng_out_sel_excl_yr_ind, "", rng_out_GB_Medispan, Q$1,rng_out_sel_G_ind,L$1,rng_out_mail_ind,$B332,rng_out_ds,$C332,rng_out_sel_sp_ind,$D332,rng_out_sel_excl_ind,$E332, rng_out_MSB_excl, $F332)+
SUMIFS(rng_out_awp_post_yr4,rng_out_sel_excl_yr_ind, [1]Tables!$HN$4, rng_out_GB_Medispan, Q$1,rng_out_sel_G_ind,L$1,rng_out_mail_ind,$B332,rng_out_ds,$C332,rng_out_sel_sp_ind,$D332,rng_out_sel_excl_ind,$E332, rng_out_MSB_excl, $F332)* _xlfn.XLOOKUP([1]Tables!$HN$4,'[1]RA Output'!$AY$4:$AY$5,'[1]RA Output'!BC$4:BC$5,0)  +
SUMIFS(rng_out_awp_post_yr4,rng_out_sel_excl_yr_ind, [1]Tables!$HN$5, rng_out_GB_Medispan, Q$1,rng_out_sel_G_ind,L$1,rng_out_mail_ind,$B332,rng_out_ds,$C332,rng_out_sel_sp_ind,$D332,rng_out_sel_excl_ind,$E332, rng_out_MSB_excl, $F332)* _xlfn.XLOOKUP([1]Tables!$HN$5,'[1]RA Output'!$AY$4:$AY$5,'[1]RA Output'!BC$4:BC$5,0)) * ((1-[1]Tables!$BN$4)/[1]Tables!$BN$4) * [1]Tables!$BN$5)/[1]Tables!$AT$4, 0) +
IFERROR((SUMIFS(rng_out_awp_post_yr4,rng_out_sel_excl_yr_ind, "", rng_out_GB_Medispan, L$1,rng_out_sel_G_ind,Q$1,rng_out_mail_ind,$B332,rng_out_ds,$C332,rng_out_sel_sp_ind,$D332,rng_out_sel_excl_ind,$E332)+
SUMIFS(rng_out_awp_post_yr4,rng_out_sel_excl_yr_ind, [1]Tables!$HN$4, rng_out_GB_Medispan, L$1,rng_out_sel_G_ind,Q$1,rng_out_mail_ind,$B332,rng_out_ds,$C332,rng_out_sel_sp_ind,$D332,rng_out_sel_excl_ind,$E332)* _xlfn.XLOOKUP([1]Tables!$HN$4,'[1]RA Output'!$AY$4:$AY$5,'[1]RA Output'!BC$4:BC$5,0)  +
SUMIFS(rng_out_awp_post_yr4,rng_out_sel_excl_yr_ind, [1]Tables!$HN$5, rng_out_GB_Medispan, L$1,rng_out_sel_G_ind,Q$1,rng_out_mail_ind,$B332,rng_out_ds,$C332,rng_out_sel_sp_ind,$D332,rng_out_sel_excl_ind,$E332)* _xlfn.XLOOKUP([1]Tables!$HN$5,'[1]RA Output'!$AY$4:$AY$5,'[1]RA Output'!BC$4:BC$5,0))/[1]Tables!$AT$4, 0),
IFERROR(IF(OR(input_Shift="No", [1]Tables!$BN$4=1), 0, (SUMIFS(rng_out_awp_post_yr4,rng_out_sel_excl_yr_ind, "", rng_out_GB_Medispan, Q$1,rng_out_sel_G_ind,L$1,rng_out_mail_ind,$B332,rng_out_ds,$C332,rng_out_sel_sp_ind,$D332,rng_out_sel_excl_ind,$E332, rng_out_MSB_excl, $F332)+
SUMIFS(rng_out_awp_post_yr4,rng_out_sel_excl_yr_ind, [1]Tables!$HN$4, rng_out_GB_Medispan, Q$1,rng_out_sel_G_ind,L$1,rng_out_mail_ind,$B332,rng_out_ds,$C332,rng_out_sel_sp_ind,$D332,rng_out_sel_excl_ind,$E332, rng_out_MSB_excl, $F332)* _xlfn.XLOOKUP([1]Tables!$HN$4,'[1]RA Output'!$AY$4:$AY$5,'[1]RA Output'!BC$4:BC$5,0)  +
SUMIFS(rng_out_awp_post_yr4,rng_out_sel_excl_yr_ind, [1]Tables!$HN$5, rng_out_GB_Medispan, Q$1,rng_out_sel_G_ind,L$1,rng_out_mail_ind,$B332,rng_out_ds,$C332,rng_out_sel_sp_ind,$D332,rng_out_sel_excl_ind,$E332, rng_out_MSB_excl, $F332)* _xlfn.XLOOKUP([1]Tables!$HN$5,'[1]RA Output'!$AY$4:$AY$5,'[1]RA Output'!BC$4:BC$5,0)+
SUMIFS(rng_out_awp_post_yr4, rng_out_mail_ind, $B332, rng_out_GB_Medispan, L$1, rng_out_sel_G_ind, Q$1, rng_out_ds, $C332, rng_out_sel_sp_ind, $D332, rng_out_sel_excl_ind,"N", rng_out_MSB_excl, $F332, rng_out_post_reb_ind_yr4, 0)) * ((1-[1]Tables!$BN$4)/[1]Tables!$BN$4) * [1]Tables!$BN$5)/[1]Tables!$AT$4, 0) +
IFERROR(SUMIFS(rng_out_awp_post_yr4,rng_out_sel_excl_yr_ind, "", rng_out_GB_Medispan, L$1,rng_out_sel_G_ind,Q$1,rng_out_mail_ind,$B332,rng_out_ds,$C332,rng_out_sel_sp_ind,$D332,rng_out_sel_excl_ind,$E332)+
SUMIFS(rng_out_awp_post_yr4,rng_out_sel_excl_yr_ind, [1]Tables!$HN$4, rng_out_GB_Medispan, L$1,rng_out_sel_G_ind,Q$1,rng_out_mail_ind,$B332,rng_out_ds,$C332,rng_out_sel_sp_ind,$D332,rng_out_sel_excl_ind,$E332)* _xlfn.XLOOKUP([1]Tables!$HN$4,'[1]RA Output'!$AY$4:$AY$5,'[1]RA Output'!BC$4:BC$5,0)  +
SUMIFS(rng_out_awp_post_yr4,rng_out_sel_excl_yr_ind, [1]Tables!$HN$5, rng_out_GB_Medispan, L$1,rng_out_sel_G_ind,Q$1,rng_out_mail_ind,$B332,rng_out_ds,$C332,rng_out_sel_sp_ind,$D332,rng_out_sel_excl_ind,$E332)* _xlfn.XLOOKUP([1]Tables!$HN$5,'[1]RA Output'!$AY$4:$AY$5,'[1]RA Output'!BC$4:BC$5,0) + SUMIFS(rng_out_awp_post_yr4, rng_out_GB_Medispan, L$1, rng_out_sel_G_ind, Q$1, rng_out_mail_ind, $B332, rng_out_ds, $C332, rng_out_sel_sp_ind, $D332, rng_out_sel_excl_ind,"N", rng_out_post_reb_ind_yr4, 0)/[1]Tables!$AT$4, 0))</f>
        <v>0</v>
      </c>
      <c r="AU332" s="85" cm="1">
        <f t="array" aca="1" ref="AU332" ca="1">IF($E$327="N", IFERROR(IF(OR(input_Shift="No", [1]Tables!$BN$4=1), 0, (SUMIFS(rng_out_awp_post_yr5,rng_out_sel_excl_yr_ind, "", rng_out_GB_Medispan, R$1,rng_out_sel_G_ind,M$1,rng_out_mail_ind,$B332,rng_out_ds,$C332,rng_out_sel_sp_ind,$D332,rng_out_sel_excl_ind,$E332, rng_out_MSB_excl, $F332)+
SUMIFS(rng_out_awp_post_yr5,rng_out_sel_excl_yr_ind, [1]Tables!$HN$4, rng_out_GB_Medispan, R$1,rng_out_sel_G_ind,M$1,rng_out_mail_ind,$B332,rng_out_ds,$C332,rng_out_sel_sp_ind,$D332,rng_out_sel_excl_ind,$E332, rng_out_MSB_excl, $F332)* _xlfn.XLOOKUP([1]Tables!$HN$4,'[1]RA Output'!$AY$4:$AY$5,'[1]RA Output'!BD$4:BD$5,0)  +
SUMIFS(rng_out_awp_post_yr5,rng_out_sel_excl_yr_ind, [1]Tables!$HN$5, rng_out_GB_Medispan, R$1,rng_out_sel_G_ind,M$1,rng_out_mail_ind,$B332,rng_out_ds,$C332,rng_out_sel_sp_ind,$D332,rng_out_sel_excl_ind,$E332, rng_out_MSB_excl, $F332)* _xlfn.XLOOKUP([1]Tables!$HN$5,'[1]RA Output'!$AY$4:$AY$5,'[1]RA Output'!BD$4:BD$5,0)) * ((1-[1]Tables!$BN$4)/[1]Tables!$BN$4) * [1]Tables!$BN$5)/[1]Tables!$AT$4, 0) +
IFERROR((SUMIFS(rng_out_awp_post_yr5,rng_out_sel_excl_yr_ind, "", rng_out_GB_Medispan, M$1,rng_out_sel_G_ind,R$1,rng_out_mail_ind,$B332,rng_out_ds,$C332,rng_out_sel_sp_ind,$D332,rng_out_sel_excl_ind,$E332)+
SUMIFS(rng_out_awp_post_yr5,rng_out_sel_excl_yr_ind, [1]Tables!$HN$4, rng_out_GB_Medispan, M$1,rng_out_sel_G_ind,R$1,rng_out_mail_ind,$B332,rng_out_ds,$C332,rng_out_sel_sp_ind,$D332,rng_out_sel_excl_ind,$E332)* _xlfn.XLOOKUP([1]Tables!$HN$4,'[1]RA Output'!$AY$4:$AY$5,'[1]RA Output'!BD$4:BD$5,0)  +
SUMIFS(rng_out_awp_post_yr5,rng_out_sel_excl_yr_ind, [1]Tables!$HN$5, rng_out_GB_Medispan, M$1,rng_out_sel_G_ind,R$1,rng_out_mail_ind,$B332,rng_out_ds,$C332,rng_out_sel_sp_ind,$D332,rng_out_sel_excl_ind,$E332)* _xlfn.XLOOKUP([1]Tables!$HN$5,'[1]RA Output'!$AY$4:$AY$5,'[1]RA Output'!BD$4:BD$5,0))/[1]Tables!$AT$4, 0),
IFERROR(IF(OR(input_Shift="No", [1]Tables!$BN$4=1), 0, (SUMIFS(rng_out_awp_post_yr5,rng_out_sel_excl_yr_ind, "", rng_out_GB_Medispan, R$1,rng_out_sel_G_ind,M$1,rng_out_mail_ind,$B332,rng_out_ds,$C332,rng_out_sel_sp_ind,$D332,rng_out_sel_excl_ind,$E332, rng_out_MSB_excl, $F332)+
SUMIFS(rng_out_awp_post_yr5,rng_out_sel_excl_yr_ind, [1]Tables!$HN$4, rng_out_GB_Medispan, R$1,rng_out_sel_G_ind,M$1,rng_out_mail_ind,$B332,rng_out_ds,$C332,rng_out_sel_sp_ind,$D332,rng_out_sel_excl_ind,$E332, rng_out_MSB_excl, $F332)* _xlfn.XLOOKUP([1]Tables!$HN$4,'[1]RA Output'!$AY$4:$AY$5,'[1]RA Output'!BD$4:BD$5,0)  +
SUMIFS(rng_out_awp_post_yr5,rng_out_sel_excl_yr_ind, [1]Tables!$HN$5, rng_out_GB_Medispan, R$1,rng_out_sel_G_ind,M$1,rng_out_mail_ind,$B332,rng_out_ds,$C332,rng_out_sel_sp_ind,$D332,rng_out_sel_excl_ind,$E332, rng_out_MSB_excl, $F332)* _xlfn.XLOOKUP([1]Tables!$HN$5,'[1]RA Output'!$AY$4:$AY$5,'[1]RA Output'!BD$4:BD$5,0)+
SUMIFS(rng_out_awp_post_yr5, rng_out_mail_ind, $B332, rng_out_GB_Medispan, M$1, rng_out_sel_G_ind, R$1, rng_out_ds, $C332, rng_out_sel_sp_ind, $D332, rng_out_sel_excl_ind,"N", rng_out_MSB_excl, $F332, rng_out_post_reb_ind_yr5, 0)) * ((1-[1]Tables!$BN$4)/[1]Tables!$BN$4) * [1]Tables!$BN$5)/[1]Tables!$AT$4, 0) +
IFERROR(SUMIFS(rng_out_awp_post_yr5,rng_out_sel_excl_yr_ind, "", rng_out_GB_Medispan, M$1,rng_out_sel_G_ind,R$1,rng_out_mail_ind,$B332,rng_out_ds,$C332,rng_out_sel_sp_ind,$D332,rng_out_sel_excl_ind,$E332)+
SUMIFS(rng_out_awp_post_yr5,rng_out_sel_excl_yr_ind, [1]Tables!$HN$4, rng_out_GB_Medispan, M$1,rng_out_sel_G_ind,R$1,rng_out_mail_ind,$B332,rng_out_ds,$C332,rng_out_sel_sp_ind,$D332,rng_out_sel_excl_ind,$E332)* _xlfn.XLOOKUP([1]Tables!$HN$4,'[1]RA Output'!$AY$4:$AY$5,'[1]RA Output'!BD$4:BD$5,0)  +
SUMIFS(rng_out_awp_post_yr5,rng_out_sel_excl_yr_ind, [1]Tables!$HN$5, rng_out_GB_Medispan, M$1,rng_out_sel_G_ind,R$1,rng_out_mail_ind,$B332,rng_out_ds,$C332,rng_out_sel_sp_ind,$D332,rng_out_sel_excl_ind,$E332)* _xlfn.XLOOKUP([1]Tables!$HN$5,'[1]RA Output'!$AY$4:$AY$5,'[1]RA Output'!BD$4:BD$5,0) + SUMIFS(rng_out_awp_post_yr5, rng_out_GB_Medispan, M$1, rng_out_sel_G_ind, R$1, rng_out_mail_ind, $B332, rng_out_ds, $C332, rng_out_sel_sp_ind, $D332, rng_out_sel_excl_ind,"N", rng_out_post_reb_ind_yr5, 0)/[1]Tables!$AT$4, 0))</f>
        <v>0</v>
      </c>
      <c r="AV332" s="86">
        <f t="shared" ref="AV332:AZ336" ca="1" si="357">IFERROR(AQ332/AQ285, 0)</f>
        <v>0</v>
      </c>
      <c r="AW332" s="75">
        <f t="shared" ca="1" si="357"/>
        <v>0</v>
      </c>
      <c r="AX332" s="75">
        <f t="shared" ca="1" si="357"/>
        <v>0</v>
      </c>
      <c r="AY332" s="75">
        <f t="shared" ca="1" si="357"/>
        <v>0</v>
      </c>
      <c r="AZ332" s="87">
        <f t="shared" ca="1" si="357"/>
        <v>0</v>
      </c>
      <c r="BG332" s="88" t="s">
        <v>14</v>
      </c>
      <c r="BH332" s="97">
        <f t="shared" ref="BH332:BL335" ca="1" si="358">AQ332</f>
        <v>0</v>
      </c>
      <c r="BI332" s="79">
        <f t="shared" ca="1" si="358"/>
        <v>0</v>
      </c>
      <c r="BJ332" s="79">
        <f t="shared" ca="1" si="358"/>
        <v>0</v>
      </c>
      <c r="BK332" s="79">
        <f t="shared" ca="1" si="358"/>
        <v>0</v>
      </c>
      <c r="BL332" s="98">
        <f t="shared" ca="1" si="358"/>
        <v>0</v>
      </c>
      <c r="BM332" s="92">
        <f t="shared" ref="BM332:BQ336" ca="1" si="359">IFERROR(BH332/BH285, 0)</f>
        <v>0</v>
      </c>
      <c r="BN332" s="75">
        <f t="shared" ca="1" si="359"/>
        <v>0</v>
      </c>
      <c r="BO332" s="75">
        <f t="shared" ca="1" si="359"/>
        <v>0</v>
      </c>
      <c r="BP332" s="75">
        <f t="shared" ca="1" si="359"/>
        <v>0</v>
      </c>
      <c r="BQ332" s="93">
        <f t="shared" ca="1" si="359"/>
        <v>0</v>
      </c>
      <c r="BX332" s="88" t="s">
        <v>14</v>
      </c>
      <c r="BY332" s="97">
        <f t="shared" ref="BY332:CC335" ca="1" si="360">CD332*BY285</f>
        <v>0</v>
      </c>
      <c r="BZ332" s="79">
        <f t="shared" ca="1" si="360"/>
        <v>0</v>
      </c>
      <c r="CA332" s="79">
        <f t="shared" ca="1" si="360"/>
        <v>0</v>
      </c>
      <c r="CB332" s="79">
        <f t="shared" ca="1" si="360"/>
        <v>0</v>
      </c>
      <c r="CC332" s="98">
        <f t="shared" ca="1" si="360"/>
        <v>0</v>
      </c>
      <c r="CD332" s="92">
        <f t="shared" ref="CD332:CH335" ca="1" si="361">BM332</f>
        <v>0</v>
      </c>
      <c r="CE332" s="75">
        <f t="shared" ca="1" si="361"/>
        <v>0</v>
      </c>
      <c r="CF332" s="75">
        <f t="shared" ca="1" si="361"/>
        <v>0</v>
      </c>
      <c r="CG332" s="75">
        <f t="shared" ca="1" si="361"/>
        <v>0</v>
      </c>
      <c r="CH332" s="93">
        <f t="shared" ca="1" si="361"/>
        <v>0</v>
      </c>
      <c r="CO332" s="215" cm="1">
        <f t="array" aca="1" ref="CO332" ca="1">_xlfn.SINGLE(IFERROR(SUMIFS(rng_out_awp_base, rng_out_GB_Medispan, "G", rng_out_sel_G_ind, "B", rng_out_mail_ind, $B332, rng_out_ds, $C332, rng_out_sel_sp_ind, $D332, rng_out_sel_excl_ind,$E332)/[1]Tables!$AT$4, 0))</f>
        <v>0</v>
      </c>
      <c r="CP332" s="217" cm="1">
        <f t="array" aca="1" ref="CP332" ca="1">_xlfn.SINGLE(IFERROR(SUMIFS(rng_out_awp_base, rng_out_GB_Medispan, "B", rng_out_sel_G_ind, "G", rng_out_mail_ind, $B332, rng_out_ds, $C332, rng_out_sel_sp_ind, $D332, rng_out_sel_excl_ind,$E332)/[1]Tables!$AT$4, 0))</f>
        <v>0</v>
      </c>
      <c r="CQ332" s="218">
        <f ca="1">SUM(CO332:CP332)</f>
        <v>0</v>
      </c>
      <c r="CR332" s="94">
        <f t="shared" ref="CR332:CT336" ca="1" si="362">IFERROR(CO332/CO285, 0)</f>
        <v>0</v>
      </c>
      <c r="CS332" s="96">
        <f t="shared" ca="1" si="362"/>
        <v>0</v>
      </c>
      <c r="CT332" s="357">
        <f t="shared" ca="1" si="362"/>
        <v>0</v>
      </c>
    </row>
    <row r="333" spans="2:98" x14ac:dyDescent="0.35">
      <c r="B333" s="105" t="s">
        <v>11</v>
      </c>
      <c r="C333" s="106">
        <v>90</v>
      </c>
      <c r="D333" s="106" t="s">
        <v>12</v>
      </c>
      <c r="E333" s="107" t="s">
        <v>13</v>
      </c>
      <c r="F333" s="106">
        <v>1</v>
      </c>
      <c r="H333" s="108" t="s">
        <v>15</v>
      </c>
      <c r="I333" s="72" t="e" cm="1">
        <f t="array" aca="1" ref="I333" ca="1">SUMIFS(rng_out_awp_pre_yr1,rng_out_sel_excl_yr_ind, "", rng_out_GB_Medispan, I$1,rng_out_sel_G_ind,N$1,rng_out_mail_ind,$B333,rng_out_ds,$C333,rng_out_sel_sp_ind,$D333,rng_out_sel_excl_ind,$E333)+
SUMIFS(rng_out_awp_pre_yr1,rng_out_sel_excl_yr_ind, [1]Tables!$HN$4, rng_out_GB_Medispan, I$1,rng_out_sel_G_ind,N$1,rng_out_mail_ind,$B333,rng_out_ds,$C333,rng_out_sel_sp_ind,$D333,rng_out_sel_excl_ind,$E333)* _xlfn.XLOOKUP([1]Tables!$HN$4,'[1]RA Output'!$AY$4:$AY$5,'[1]RA Output'!AZ$4:AZ$5,0)  +
SUMIFS(rng_out_awp_pre_yr1,rng_out_sel_excl_yr_ind, [1]Tables!$HN$5, rng_out_GB_Medispan, I$1,rng_out_sel_G_ind,N$1,rng_out_mail_ind,$B333,rng_out_ds,$C333,rng_out_sel_sp_ind,$D333,rng_out_sel_excl_ind,$E333)* _xlfn.XLOOKUP([1]Tables!$HN$5,'[1]RA Output'!$AY$4:$AY$5,'[1]RA Output'!AZ$4:AZ$5,0)+
IF($E$336="N", 0,
SUMIFS(rng_out_awp_pre_yr1, rng_out_GB_Medispan, I$1, rng_out_sel_G_ind, N$1, rng_out_mail_ind, $B333, rng_out_ds, $C333, rng_out_sel_sp_ind, $D333, rng_out_sel_excl_ind,"N", rng_out_post_reb_ind_yr1, 0))</f>
        <v>#VALUE!</v>
      </c>
      <c r="J333" s="5" t="e" cm="1">
        <f t="array" aca="1" ref="J333" ca="1">SUMIFS(rng_out_awp_pre_yr2,rng_out_sel_excl_yr_ind, "", rng_out_GB_Medispan, J$1,rng_out_sel_G_ind,O$1,rng_out_mail_ind,$B333,rng_out_ds,$C333,rng_out_sel_sp_ind,$D333,rng_out_sel_excl_ind,$E333)+
SUMIFS(rng_out_awp_pre_yr2,rng_out_sel_excl_yr_ind, [1]Tables!$HN$4, rng_out_GB_Medispan, J$1,rng_out_sel_G_ind,O$1,rng_out_mail_ind,$B333,rng_out_ds,$C333,rng_out_sel_sp_ind,$D333,rng_out_sel_excl_ind,$E333)* _xlfn.XLOOKUP([1]Tables!$HN$4,'[1]RA Output'!$AY$4:$AY$5,'[1]RA Output'!BA$4:BA$5,0)  +
SUMIFS(rng_out_awp_pre_yr2,rng_out_sel_excl_yr_ind, [1]Tables!$HN$5, rng_out_GB_Medispan, J$1,rng_out_sel_G_ind,O$1,rng_out_mail_ind,$B333,rng_out_ds,$C333,rng_out_sel_sp_ind,$D333,rng_out_sel_excl_ind,$E333)* _xlfn.XLOOKUP([1]Tables!$HN$5,'[1]RA Output'!$AY$4:$AY$5,'[1]RA Output'!BA$4:BA$5,0)+
IF($E$336="N", 0,
SUMIFS(rng_out_awp_pre_yr2, rng_out_GB_Medispan, J$1, rng_out_sel_G_ind, O$1, rng_out_mail_ind, $B333, rng_out_ds, $C333, rng_out_sel_sp_ind, $D333, rng_out_sel_excl_ind,"N", rng_out_post_reb_ind_yr2, 0))</f>
        <v>#VALUE!</v>
      </c>
      <c r="K333" s="5" t="e" cm="1">
        <f t="array" aca="1" ref="K333" ca="1">SUMIFS(rng_out_awp_pre_yr3,rng_out_sel_excl_yr_ind, "", rng_out_GB_Medispan, K$1,rng_out_sel_G_ind,P$1,rng_out_mail_ind,$B333,rng_out_ds,$C333,rng_out_sel_sp_ind,$D333,rng_out_sel_excl_ind,$E333)+
SUMIFS(rng_out_awp_pre_yr3,rng_out_sel_excl_yr_ind, [1]Tables!$HN$4, rng_out_GB_Medispan, K$1,rng_out_sel_G_ind,P$1,rng_out_mail_ind,$B333,rng_out_ds,$C333,rng_out_sel_sp_ind,$D333,rng_out_sel_excl_ind,$E333)* _xlfn.XLOOKUP([1]Tables!$HN$4,'[1]RA Output'!$AY$4:$AY$5,'[1]RA Output'!BB$4:BB$5,0)  +
SUMIFS(rng_out_awp_pre_yr3,rng_out_sel_excl_yr_ind, [1]Tables!$HN$5, rng_out_GB_Medispan, K$1,rng_out_sel_G_ind,P$1,rng_out_mail_ind,$B333,rng_out_ds,$C333,rng_out_sel_sp_ind,$D333,rng_out_sel_excl_ind,$E333)* _xlfn.XLOOKUP([1]Tables!$HN$5,'[1]RA Output'!$AY$4:$AY$5,'[1]RA Output'!BB$4:BB$5,0)+
IF($E$336="N", 0,
SUMIFS(rng_out_awp_pre_yr3, rng_out_GB_Medispan, K$1, rng_out_sel_G_ind, P$1, rng_out_mail_ind, $B333, rng_out_ds, $C333, rng_out_sel_sp_ind, $D333, rng_out_sel_excl_ind,"N", rng_out_post_reb_ind_yr3, 0))</f>
        <v>#VALUE!</v>
      </c>
      <c r="L333" s="5" t="e" cm="1">
        <f t="array" aca="1" ref="L333" ca="1">SUMIFS(rng_out_awp_pre_yr4,rng_out_sel_excl_yr_ind, "", rng_out_GB_Medispan, L$1,rng_out_sel_G_ind,Q$1,rng_out_mail_ind,$B333,rng_out_ds,$C333,rng_out_sel_sp_ind,$D333,rng_out_sel_excl_ind,$E333)+
SUMIFS(rng_out_awp_pre_yr4,rng_out_sel_excl_yr_ind, [1]Tables!$HN$4, rng_out_GB_Medispan, L$1,rng_out_sel_G_ind,Q$1,rng_out_mail_ind,$B333,rng_out_ds,$C333,rng_out_sel_sp_ind,$D333,rng_out_sel_excl_ind,$E333)* _xlfn.XLOOKUP([1]Tables!$HN$4,'[1]RA Output'!$AY$4:$AY$5,'[1]RA Output'!BC$4:BC$5,0)  +
SUMIFS(rng_out_awp_pre_yr4,rng_out_sel_excl_yr_ind, [1]Tables!$HN$5, rng_out_GB_Medispan, L$1,rng_out_sel_G_ind,Q$1,rng_out_mail_ind,$B333,rng_out_ds,$C333,rng_out_sel_sp_ind,$D333,rng_out_sel_excl_ind,$E333)* _xlfn.XLOOKUP([1]Tables!$HN$5,'[1]RA Output'!$AY$4:$AY$5,'[1]RA Output'!BC$4:BC$5,0)+
IF($E$336="N", 0,
SUMIFS(rng_out_awp_pre_yr4, rng_out_GB_Medispan, L$1, rng_out_sel_G_ind, Q$1, rng_out_mail_ind, $B333, rng_out_ds, $C333, rng_out_sel_sp_ind, $D333, rng_out_sel_excl_ind,"N", rng_out_post_reb_ind_yr4, 0))</f>
        <v>#VALUE!</v>
      </c>
      <c r="M333" s="73" t="e" cm="1">
        <f t="array" aca="1" ref="M333" ca="1">SUMIFS(rng_out_awp_pre_yr5,rng_out_sel_excl_yr_ind, "", rng_out_GB_Medispan, M$1,rng_out_sel_G_ind,R$1,rng_out_mail_ind,$B333,rng_out_ds,$C333,rng_out_sel_sp_ind,$D333,rng_out_sel_excl_ind,$E333)+
SUMIFS(rng_out_awp_pre_yr5,rng_out_sel_excl_yr_ind, [1]Tables!$HN$4, rng_out_GB_Medispan, M$1,rng_out_sel_G_ind,R$1,rng_out_mail_ind,$B333,rng_out_ds,$C333,rng_out_sel_sp_ind,$D333,rng_out_sel_excl_ind,$E333)* _xlfn.XLOOKUP([1]Tables!$HN$4,'[1]RA Output'!$AY$4:$AY$5,'[1]RA Output'!BD$4:BD$5,0)  +
SUMIFS(rng_out_awp_pre_yr5,rng_out_sel_excl_yr_ind, [1]Tables!$HN$5, rng_out_GB_Medispan, M$1,rng_out_sel_G_ind,R$1,rng_out_mail_ind,$B333,rng_out_ds,$C333,rng_out_sel_sp_ind,$D333,rng_out_sel_excl_ind,$E333)* _xlfn.XLOOKUP([1]Tables!$HN$5,'[1]RA Output'!$AY$4:$AY$5,'[1]RA Output'!BD$4:BD$5,0)+
IF($E$336="N", 0,
SUMIFS(rng_out_awp_pre_yr5, rng_out_GB_Medispan, M$1, rng_out_sel_G_ind, R$1, rng_out_mail_ind, $B333, rng_out_ds, $C333, rng_out_sel_sp_ind, $D333, rng_out_sel_excl_ind,"N", rng_out_post_reb_ind_yr5, 0))</f>
        <v>#VALUE!</v>
      </c>
      <c r="N333" s="74">
        <f t="shared" ca="1" si="355"/>
        <v>0</v>
      </c>
      <c r="O333" s="75">
        <f t="shared" ca="1" si="355"/>
        <v>0</v>
      </c>
      <c r="P333" s="75">
        <f t="shared" ca="1" si="355"/>
        <v>0</v>
      </c>
      <c r="Q333" s="75">
        <f t="shared" ca="1" si="355"/>
        <v>0</v>
      </c>
      <c r="R333" s="76">
        <f t="shared" ca="1" si="355"/>
        <v>0</v>
      </c>
      <c r="Y333" s="109" t="s">
        <v>15</v>
      </c>
      <c r="Z333" s="78">
        <f ca="1">IFERROR(I333/[1]Tables!$AT$4, 0)</f>
        <v>0</v>
      </c>
      <c r="AA333" s="79">
        <f ca="1">IFERROR(J333/[1]Tables!$AT$4, 0)</f>
        <v>0</v>
      </c>
      <c r="AB333" s="79">
        <f ca="1">IFERROR(K333/[1]Tables!$AT$4, 0)</f>
        <v>0</v>
      </c>
      <c r="AC333" s="79">
        <f ca="1">IFERROR(L333/[1]Tables!$AT$4, 0)</f>
        <v>0</v>
      </c>
      <c r="AD333" s="80">
        <f ca="1">IFERROR(M333/[1]Tables!$AT$4, 0)</f>
        <v>0</v>
      </c>
      <c r="AE333" s="81">
        <f t="shared" ca="1" si="356"/>
        <v>0</v>
      </c>
      <c r="AF333" s="75">
        <f t="shared" ca="1" si="356"/>
        <v>0</v>
      </c>
      <c r="AG333" s="75">
        <f t="shared" ca="1" si="356"/>
        <v>0</v>
      </c>
      <c r="AH333" s="75">
        <f t="shared" ca="1" si="356"/>
        <v>0</v>
      </c>
      <c r="AI333" s="82">
        <f t="shared" ca="1" si="356"/>
        <v>0</v>
      </c>
      <c r="AP333" s="110" t="s">
        <v>15</v>
      </c>
      <c r="AQ333" s="356" cm="1">
        <f t="array" aca="1" ref="AQ333" ca="1">IF($E$327="N", IFERROR(IF(OR(input_Shift="No", [1]Tables!$BN$4=1), 0, (SUMIFS(rng_out_awp_post_yr1,rng_out_sel_excl_yr_ind, "", rng_out_GB_Medispan, N$1,rng_out_sel_G_ind,I$1,rng_out_mail_ind,$B333,rng_out_ds,$C333,rng_out_sel_sp_ind,$D333,rng_out_sel_excl_ind,$E333, rng_out_MSB_excl, $F333)+
SUMIFS(rng_out_awp_post_yr1,rng_out_sel_excl_yr_ind, [1]Tables!$HN$4, rng_out_GB_Medispan, N$1,rng_out_sel_G_ind,I$1,rng_out_mail_ind,$B333,rng_out_ds,$C333,rng_out_sel_sp_ind,$D333,rng_out_sel_excl_ind,$E333, rng_out_MSB_excl, $F333)* _xlfn.XLOOKUP([1]Tables!$HN$4,'[1]RA Output'!$AY$4:$AY$5,'[1]RA Output'!AZ$4:AZ$5,0)  +
SUMIFS(rng_out_awp_post_yr1,rng_out_sel_excl_yr_ind, [1]Tables!$HN$5, rng_out_GB_Medispan, N$1,rng_out_sel_G_ind,I$1,rng_out_mail_ind,$B333,rng_out_ds,$C333,rng_out_sel_sp_ind,$D333,rng_out_sel_excl_ind,$E333, rng_out_MSB_excl, $F333)* _xlfn.XLOOKUP([1]Tables!$HN$5,'[1]RA Output'!$AY$4:$AY$5,'[1]RA Output'!AZ$4:AZ$5,0)) * ((1-[1]Tables!$BN$4)/[1]Tables!$BN$4) * [1]Tables!$BN$5)/[1]Tables!$AT$4, 0) +
IFERROR((SUMIFS(rng_out_awp_post_yr1,rng_out_sel_excl_yr_ind, "", rng_out_GB_Medispan, I$1,rng_out_sel_G_ind,N$1,rng_out_mail_ind,$B333,rng_out_ds,$C333,rng_out_sel_sp_ind,$D333,rng_out_sel_excl_ind,$E333)+
SUMIFS(rng_out_awp_post_yr1,rng_out_sel_excl_yr_ind, [1]Tables!$HN$4, rng_out_GB_Medispan, I$1,rng_out_sel_G_ind,N$1,rng_out_mail_ind,$B333,rng_out_ds,$C333,rng_out_sel_sp_ind,$D333,rng_out_sel_excl_ind,$E333)* _xlfn.XLOOKUP([1]Tables!$HN$4,'[1]RA Output'!$AY$4:$AY$5,'[1]RA Output'!AZ$4:AZ$5,0)  +
SUMIFS(rng_out_awp_post_yr1,rng_out_sel_excl_yr_ind, [1]Tables!$HN$5, rng_out_GB_Medispan, I$1,rng_out_sel_G_ind,N$1,rng_out_mail_ind,$B333,rng_out_ds,$C333,rng_out_sel_sp_ind,$D333,rng_out_sel_excl_ind,$E333)* _xlfn.XLOOKUP([1]Tables!$HN$5,'[1]RA Output'!$AY$4:$AY$5,'[1]RA Output'!AZ$4:AZ$5,0))/[1]Tables!$AT$4, 0),
IFERROR(IF(OR(input_Shift="No", [1]Tables!$BN$4=1), 0, (SUMIFS(rng_out_awp_post_yr1,rng_out_sel_excl_yr_ind, "", rng_out_GB_Medispan, N$1,rng_out_sel_G_ind,I$1,rng_out_mail_ind,$B333,rng_out_ds,$C333,rng_out_sel_sp_ind,$D333,rng_out_sel_excl_ind,$E333, rng_out_MSB_excl, $F333)+
SUMIFS(rng_out_awp_post_yr1,rng_out_sel_excl_yr_ind, [1]Tables!$HN$4, rng_out_GB_Medispan, N$1,rng_out_sel_G_ind,I$1,rng_out_mail_ind,$B333,rng_out_ds,$C333,rng_out_sel_sp_ind,$D333,rng_out_sel_excl_ind,$E333, rng_out_MSB_excl, $F333)* _xlfn.XLOOKUP([1]Tables!$HN$4,'[1]RA Output'!$AY$4:$AY$5,'[1]RA Output'!AZ$4:AZ$5,0)  +
SUMIFS(rng_out_awp_post_yr1,rng_out_sel_excl_yr_ind, [1]Tables!$HN$5, rng_out_GB_Medispan, N$1,rng_out_sel_G_ind,I$1,rng_out_mail_ind,$B333,rng_out_ds,$C333,rng_out_sel_sp_ind,$D333,rng_out_sel_excl_ind,$E333, rng_out_MSB_excl, $F333)* _xlfn.XLOOKUP([1]Tables!$HN$5,'[1]RA Output'!$AY$4:$AY$5,'[1]RA Output'!AZ$4:AZ$5,0)+
SUMIFS(rng_out_awp_post_yr1, rng_out_mail_ind, $B333, rng_out_GB_Medispan, I$1, rng_out_sel_G_ind, N$1, rng_out_ds, $C333, rng_out_sel_sp_ind, $D333, rng_out_sel_excl_ind,"N", rng_out_MSB_excl, $F333, rng_out_post_reb_ind_yr1, 0)) * ((1-[1]Tables!$BN$4)/[1]Tables!$BN$4) * [1]Tables!$BN$5)/[1]Tables!$AT$4, 0) +
IFERROR(SUMIFS(rng_out_awp_post_yr1,rng_out_sel_excl_yr_ind, "", rng_out_GB_Medispan, I$1,rng_out_sel_G_ind,N$1,rng_out_mail_ind,$B333,rng_out_ds,$C333,rng_out_sel_sp_ind,$D333,rng_out_sel_excl_ind,$E333)+
SUMIFS(rng_out_awp_post_yr1,rng_out_sel_excl_yr_ind, [1]Tables!$HN$4, rng_out_GB_Medispan, I$1,rng_out_sel_G_ind,N$1,rng_out_mail_ind,$B333,rng_out_ds,$C333,rng_out_sel_sp_ind,$D333,rng_out_sel_excl_ind,$E333)* _xlfn.XLOOKUP([1]Tables!$HN$4,'[1]RA Output'!$AY$4:$AY$5,'[1]RA Output'!AZ$4:AZ$5,0)  +
SUMIFS(rng_out_awp_post_yr1,rng_out_sel_excl_yr_ind, [1]Tables!$HN$5, rng_out_GB_Medispan, I$1,rng_out_sel_G_ind,N$1,rng_out_mail_ind,$B333,rng_out_ds,$C333,rng_out_sel_sp_ind,$D333,rng_out_sel_excl_ind,$E333)* _xlfn.XLOOKUP([1]Tables!$HN$5,'[1]RA Output'!$AY$4:$AY$5,'[1]RA Output'!AZ$4:AZ$5,0) + SUMIFS(rng_out_awp_post_yr1, rng_out_GB_Medispan, I$1, rng_out_sel_G_ind, N$1, rng_out_mail_ind, $B333, rng_out_ds, $C333, rng_out_sel_sp_ind, $D333, rng_out_sel_excl_ind,"N", rng_out_post_reb_ind_yr1, 0)/[1]Tables!$AT$4, 0))</f>
        <v>0</v>
      </c>
      <c r="AR333" s="5" cm="1">
        <f t="array" aca="1" ref="AR333" ca="1">IF($E$327="N", IFERROR(IF(OR(input_Shift="No", [1]Tables!$BN$4=1), 0, (SUMIFS(rng_out_awp_post_yr2,rng_out_sel_excl_yr_ind, "", rng_out_GB_Medispan, O$1,rng_out_sel_G_ind,J$1,rng_out_mail_ind,$B333,rng_out_ds,$C333,rng_out_sel_sp_ind,$D333,rng_out_sel_excl_ind,$E333, rng_out_MSB_excl, $F333)+
SUMIFS(rng_out_awp_post_yr2,rng_out_sel_excl_yr_ind, [1]Tables!$HN$4, rng_out_GB_Medispan, O$1,rng_out_sel_G_ind,J$1,rng_out_mail_ind,$B333,rng_out_ds,$C333,rng_out_sel_sp_ind,$D333,rng_out_sel_excl_ind,$E333, rng_out_MSB_excl, $F333)* _xlfn.XLOOKUP([1]Tables!$HN$4,'[1]RA Output'!$AY$4:$AY$5,'[1]RA Output'!BA$4:BA$5,0)  +
SUMIFS(rng_out_awp_post_yr2,rng_out_sel_excl_yr_ind, [1]Tables!$HN$5, rng_out_GB_Medispan, O$1,rng_out_sel_G_ind,J$1,rng_out_mail_ind,$B333,rng_out_ds,$C333,rng_out_sel_sp_ind,$D333,rng_out_sel_excl_ind,$E333, rng_out_MSB_excl, $F333)* _xlfn.XLOOKUP([1]Tables!$HN$5,'[1]RA Output'!$AY$4:$AY$5,'[1]RA Output'!BA$4:BA$5,0)) * ((1-[1]Tables!$BN$4)/[1]Tables!$BN$4) * [1]Tables!$BN$5)/[1]Tables!$AT$4, 0) +
IFERROR((SUMIFS(rng_out_awp_post_yr2,rng_out_sel_excl_yr_ind, "", rng_out_GB_Medispan, J$1,rng_out_sel_G_ind,O$1,rng_out_mail_ind,$B333,rng_out_ds,$C333,rng_out_sel_sp_ind,$D333,rng_out_sel_excl_ind,$E333)+
SUMIFS(rng_out_awp_post_yr2,rng_out_sel_excl_yr_ind, [1]Tables!$HN$4, rng_out_GB_Medispan, J$1,rng_out_sel_G_ind,O$1,rng_out_mail_ind,$B333,rng_out_ds,$C333,rng_out_sel_sp_ind,$D333,rng_out_sel_excl_ind,$E333)* _xlfn.XLOOKUP([1]Tables!$HN$4,'[1]RA Output'!$AY$4:$AY$5,'[1]RA Output'!BA$4:BA$5,0)  +
SUMIFS(rng_out_awp_post_yr2,rng_out_sel_excl_yr_ind, [1]Tables!$HN$5, rng_out_GB_Medispan, J$1,rng_out_sel_G_ind,O$1,rng_out_mail_ind,$B333,rng_out_ds,$C333,rng_out_sel_sp_ind,$D333,rng_out_sel_excl_ind,$E333)* _xlfn.XLOOKUP([1]Tables!$HN$5,'[1]RA Output'!$AY$4:$AY$5,'[1]RA Output'!BA$4:BA$5,0))/[1]Tables!$AT$4, 0),
IFERROR(IF(OR(input_Shift="No", [1]Tables!$BN$4=1), 0, (SUMIFS(rng_out_awp_post_yr2,rng_out_sel_excl_yr_ind, "", rng_out_GB_Medispan, O$1,rng_out_sel_G_ind,J$1,rng_out_mail_ind,$B333,rng_out_ds,$C333,rng_out_sel_sp_ind,$D333,rng_out_sel_excl_ind,$E333, rng_out_MSB_excl, $F333)+
SUMIFS(rng_out_awp_post_yr2,rng_out_sel_excl_yr_ind, [1]Tables!$HN$4, rng_out_GB_Medispan, O$1,rng_out_sel_G_ind,J$1,rng_out_mail_ind,$B333,rng_out_ds,$C333,rng_out_sel_sp_ind,$D333,rng_out_sel_excl_ind,$E333, rng_out_MSB_excl, $F333)* _xlfn.XLOOKUP([1]Tables!$HN$4,'[1]RA Output'!$AY$4:$AY$5,'[1]RA Output'!BA$4:BA$5,0)  +
SUMIFS(rng_out_awp_post_yr2,rng_out_sel_excl_yr_ind, [1]Tables!$HN$5, rng_out_GB_Medispan, O$1,rng_out_sel_G_ind,J$1,rng_out_mail_ind,$B333,rng_out_ds,$C333,rng_out_sel_sp_ind,$D333,rng_out_sel_excl_ind,$E333, rng_out_MSB_excl, $F333)* _xlfn.XLOOKUP([1]Tables!$HN$5,'[1]RA Output'!$AY$4:$AY$5,'[1]RA Output'!BA$4:BA$5,0)+
SUMIFS(rng_out_awp_post_yr2, rng_out_mail_ind, $B333, rng_out_GB_Medispan, J$1, rng_out_sel_G_ind, O$1, rng_out_ds, $C333, rng_out_sel_sp_ind, $D333, rng_out_sel_excl_ind,"N", rng_out_MSB_excl, $F333, rng_out_post_reb_ind_yr2, 0)) * ((1-[1]Tables!$BN$4)/[1]Tables!$BN$4) * [1]Tables!$BN$5)/[1]Tables!$AT$4, 0) +
IFERROR(SUMIFS(rng_out_awp_post_yr2,rng_out_sel_excl_yr_ind, "", rng_out_GB_Medispan, J$1,rng_out_sel_G_ind,O$1,rng_out_mail_ind,$B333,rng_out_ds,$C333,rng_out_sel_sp_ind,$D333,rng_out_sel_excl_ind,$E333)+
SUMIFS(rng_out_awp_post_yr2,rng_out_sel_excl_yr_ind, [1]Tables!$HN$4, rng_out_GB_Medispan, J$1,rng_out_sel_G_ind,O$1,rng_out_mail_ind,$B333,rng_out_ds,$C333,rng_out_sel_sp_ind,$D333,rng_out_sel_excl_ind,$E333)* _xlfn.XLOOKUP([1]Tables!$HN$4,'[1]RA Output'!$AY$4:$AY$5,'[1]RA Output'!BA$4:BA$5,0)  +
SUMIFS(rng_out_awp_post_yr2,rng_out_sel_excl_yr_ind, [1]Tables!$HN$5, rng_out_GB_Medispan, J$1,rng_out_sel_G_ind,O$1,rng_out_mail_ind,$B333,rng_out_ds,$C333,rng_out_sel_sp_ind,$D333,rng_out_sel_excl_ind,$E333)* _xlfn.XLOOKUP([1]Tables!$HN$5,'[1]RA Output'!$AY$4:$AY$5,'[1]RA Output'!BA$4:BA$5,0) + SUMIFS(rng_out_awp_post_yr2, rng_out_GB_Medispan, J$1, rng_out_sel_G_ind, O$1, rng_out_mail_ind, $B333, rng_out_ds, $C333, rng_out_sel_sp_ind, $D333, rng_out_sel_excl_ind,"N", rng_out_post_reb_ind_yr2, 0)/[1]Tables!$AT$4, 0))</f>
        <v>0</v>
      </c>
      <c r="AS333" s="5" cm="1">
        <f t="array" aca="1" ref="AS333" ca="1">IF($E$327="N", IFERROR(IF(OR(input_Shift="No", [1]Tables!$BN$4=1), 0, (SUMIFS(rng_out_awp_post_yr3,rng_out_sel_excl_yr_ind, "", rng_out_GB_Medispan, P$1,rng_out_sel_G_ind,K$1,rng_out_mail_ind,$B333,rng_out_ds,$C333,rng_out_sel_sp_ind,$D333,rng_out_sel_excl_ind,$E333, rng_out_MSB_excl, $F333)+
SUMIFS(rng_out_awp_post_yr3,rng_out_sel_excl_yr_ind, [1]Tables!$HN$4, rng_out_GB_Medispan, P$1,rng_out_sel_G_ind,K$1,rng_out_mail_ind,$B333,rng_out_ds,$C333,rng_out_sel_sp_ind,$D333,rng_out_sel_excl_ind,$E333, rng_out_MSB_excl, $F333)* _xlfn.XLOOKUP([1]Tables!$HN$4,'[1]RA Output'!$AY$4:$AY$5,'[1]RA Output'!BB$4:BB$5,0)  +
SUMIFS(rng_out_awp_post_yr3,rng_out_sel_excl_yr_ind, [1]Tables!$HN$5, rng_out_GB_Medispan, P$1,rng_out_sel_G_ind,K$1,rng_out_mail_ind,$B333,rng_out_ds,$C333,rng_out_sel_sp_ind,$D333,rng_out_sel_excl_ind,$E333, rng_out_MSB_excl, $F333)* _xlfn.XLOOKUP([1]Tables!$HN$5,'[1]RA Output'!$AY$4:$AY$5,'[1]RA Output'!BB$4:BB$5,0)) * ((1-[1]Tables!$BN$4)/[1]Tables!$BN$4) * [1]Tables!$BN$5)/[1]Tables!$AT$4, 0) +
IFERROR((SUMIFS(rng_out_awp_post_yr3,rng_out_sel_excl_yr_ind, "", rng_out_GB_Medispan, K$1,rng_out_sel_G_ind,P$1,rng_out_mail_ind,$B333,rng_out_ds,$C333,rng_out_sel_sp_ind,$D333,rng_out_sel_excl_ind,$E333)+
SUMIFS(rng_out_awp_post_yr3,rng_out_sel_excl_yr_ind, [1]Tables!$HN$4, rng_out_GB_Medispan, K$1,rng_out_sel_G_ind,P$1,rng_out_mail_ind,$B333,rng_out_ds,$C333,rng_out_sel_sp_ind,$D333,rng_out_sel_excl_ind,$E333)* _xlfn.XLOOKUP([1]Tables!$HN$4,'[1]RA Output'!$AY$4:$AY$5,'[1]RA Output'!BB$4:BB$5,0)  +
SUMIFS(rng_out_awp_post_yr3,rng_out_sel_excl_yr_ind, [1]Tables!$HN$5, rng_out_GB_Medispan, K$1,rng_out_sel_G_ind,P$1,rng_out_mail_ind,$B333,rng_out_ds,$C333,rng_out_sel_sp_ind,$D333,rng_out_sel_excl_ind,$E333)* _xlfn.XLOOKUP([1]Tables!$HN$5,'[1]RA Output'!$AY$4:$AY$5,'[1]RA Output'!BB$4:BB$5,0))/[1]Tables!$AT$4, 0),
IFERROR(IF(OR(input_Shift="No", [1]Tables!$BN$4=1), 0, (SUMIFS(rng_out_awp_post_yr3,rng_out_sel_excl_yr_ind, "", rng_out_GB_Medispan, P$1,rng_out_sel_G_ind,K$1,rng_out_mail_ind,$B333,rng_out_ds,$C333,rng_out_sel_sp_ind,$D333,rng_out_sel_excl_ind,$E333, rng_out_MSB_excl, $F333)+
SUMIFS(rng_out_awp_post_yr3,rng_out_sel_excl_yr_ind, [1]Tables!$HN$4, rng_out_GB_Medispan, P$1,rng_out_sel_G_ind,K$1,rng_out_mail_ind,$B333,rng_out_ds,$C333,rng_out_sel_sp_ind,$D333,rng_out_sel_excl_ind,$E333, rng_out_MSB_excl, $F333)* _xlfn.XLOOKUP([1]Tables!$HN$4,'[1]RA Output'!$AY$4:$AY$5,'[1]RA Output'!BB$4:BB$5,0)  +
SUMIFS(rng_out_awp_post_yr3,rng_out_sel_excl_yr_ind, [1]Tables!$HN$5, rng_out_GB_Medispan, P$1,rng_out_sel_G_ind,K$1,rng_out_mail_ind,$B333,rng_out_ds,$C333,rng_out_sel_sp_ind,$D333,rng_out_sel_excl_ind,$E333, rng_out_MSB_excl, $F333)* _xlfn.XLOOKUP([1]Tables!$HN$5,'[1]RA Output'!$AY$4:$AY$5,'[1]RA Output'!BB$4:BB$5,0)+
SUMIFS(rng_out_awp_post_yr3, rng_out_mail_ind, $B333, rng_out_GB_Medispan, K$1, rng_out_sel_G_ind, P$1, rng_out_ds, $C333, rng_out_sel_sp_ind, $D333, rng_out_sel_excl_ind,"N", rng_out_MSB_excl, $F333, rng_out_post_reb_ind_yr3, 0)) * ((1-[1]Tables!$BN$4)/[1]Tables!$BN$4) * [1]Tables!$BN$5)/[1]Tables!$AT$4, 0) +
IFERROR(SUMIFS(rng_out_awp_post_yr3,rng_out_sel_excl_yr_ind, "", rng_out_GB_Medispan, K$1,rng_out_sel_G_ind,P$1,rng_out_mail_ind,$B333,rng_out_ds,$C333,rng_out_sel_sp_ind,$D333,rng_out_sel_excl_ind,$E333)+
SUMIFS(rng_out_awp_post_yr3,rng_out_sel_excl_yr_ind, [1]Tables!$HN$4, rng_out_GB_Medispan, K$1,rng_out_sel_G_ind,P$1,rng_out_mail_ind,$B333,rng_out_ds,$C333,rng_out_sel_sp_ind,$D333,rng_out_sel_excl_ind,$E333)* _xlfn.XLOOKUP([1]Tables!$HN$4,'[1]RA Output'!$AY$4:$AY$5,'[1]RA Output'!BB$4:BB$5,0)  +
SUMIFS(rng_out_awp_post_yr3,rng_out_sel_excl_yr_ind, [1]Tables!$HN$5, rng_out_GB_Medispan, K$1,rng_out_sel_G_ind,P$1,rng_out_mail_ind,$B333,rng_out_ds,$C333,rng_out_sel_sp_ind,$D333,rng_out_sel_excl_ind,$E333)* _xlfn.XLOOKUP([1]Tables!$HN$5,'[1]RA Output'!$AY$4:$AY$5,'[1]RA Output'!BB$4:BB$5,0) + SUMIFS(rng_out_awp_post_yr3, rng_out_GB_Medispan, K$1, rng_out_sel_G_ind, P$1, rng_out_mail_ind, $B333, rng_out_ds, $C333, rng_out_sel_sp_ind, $D333, rng_out_sel_excl_ind,"N", rng_out_post_reb_ind_yr3, 0)/[1]Tables!$AT$4, 0))</f>
        <v>0</v>
      </c>
      <c r="AT333" s="5" cm="1">
        <f t="array" aca="1" ref="AT333" ca="1">IF($E$327="N", IFERROR(IF(OR(input_Shift="No", [1]Tables!$BN$4=1), 0, (SUMIFS(rng_out_awp_post_yr4,rng_out_sel_excl_yr_ind, "", rng_out_GB_Medispan, Q$1,rng_out_sel_G_ind,L$1,rng_out_mail_ind,$B333,rng_out_ds,$C333,rng_out_sel_sp_ind,$D333,rng_out_sel_excl_ind,$E333, rng_out_MSB_excl, $F333)+
SUMIFS(rng_out_awp_post_yr4,rng_out_sel_excl_yr_ind, [1]Tables!$HN$4, rng_out_GB_Medispan, Q$1,rng_out_sel_G_ind,L$1,rng_out_mail_ind,$B333,rng_out_ds,$C333,rng_out_sel_sp_ind,$D333,rng_out_sel_excl_ind,$E333, rng_out_MSB_excl, $F333)* _xlfn.XLOOKUP([1]Tables!$HN$4,'[1]RA Output'!$AY$4:$AY$5,'[1]RA Output'!BC$4:BC$5,0)  +
SUMIFS(rng_out_awp_post_yr4,rng_out_sel_excl_yr_ind, [1]Tables!$HN$5, rng_out_GB_Medispan, Q$1,rng_out_sel_G_ind,L$1,rng_out_mail_ind,$B333,rng_out_ds,$C333,rng_out_sel_sp_ind,$D333,rng_out_sel_excl_ind,$E333, rng_out_MSB_excl, $F333)* _xlfn.XLOOKUP([1]Tables!$HN$5,'[1]RA Output'!$AY$4:$AY$5,'[1]RA Output'!BC$4:BC$5,0)) * ((1-[1]Tables!$BN$4)/[1]Tables!$BN$4) * [1]Tables!$BN$5)/[1]Tables!$AT$4, 0) +
IFERROR((SUMIFS(rng_out_awp_post_yr4,rng_out_sel_excl_yr_ind, "", rng_out_GB_Medispan, L$1,rng_out_sel_G_ind,Q$1,rng_out_mail_ind,$B333,rng_out_ds,$C333,rng_out_sel_sp_ind,$D333,rng_out_sel_excl_ind,$E333)+
SUMIFS(rng_out_awp_post_yr4,rng_out_sel_excl_yr_ind, [1]Tables!$HN$4, rng_out_GB_Medispan, L$1,rng_out_sel_G_ind,Q$1,rng_out_mail_ind,$B333,rng_out_ds,$C333,rng_out_sel_sp_ind,$D333,rng_out_sel_excl_ind,$E333)* _xlfn.XLOOKUP([1]Tables!$HN$4,'[1]RA Output'!$AY$4:$AY$5,'[1]RA Output'!BC$4:BC$5,0)  +
SUMIFS(rng_out_awp_post_yr4,rng_out_sel_excl_yr_ind, [1]Tables!$HN$5, rng_out_GB_Medispan, L$1,rng_out_sel_G_ind,Q$1,rng_out_mail_ind,$B333,rng_out_ds,$C333,rng_out_sel_sp_ind,$D333,rng_out_sel_excl_ind,$E333)* _xlfn.XLOOKUP([1]Tables!$HN$5,'[1]RA Output'!$AY$4:$AY$5,'[1]RA Output'!BC$4:BC$5,0))/[1]Tables!$AT$4, 0),
IFERROR(IF(OR(input_Shift="No", [1]Tables!$BN$4=1), 0, (SUMIFS(rng_out_awp_post_yr4,rng_out_sel_excl_yr_ind, "", rng_out_GB_Medispan, Q$1,rng_out_sel_G_ind,L$1,rng_out_mail_ind,$B333,rng_out_ds,$C333,rng_out_sel_sp_ind,$D333,rng_out_sel_excl_ind,$E333, rng_out_MSB_excl, $F333)+
SUMIFS(rng_out_awp_post_yr4,rng_out_sel_excl_yr_ind, [1]Tables!$HN$4, rng_out_GB_Medispan, Q$1,rng_out_sel_G_ind,L$1,rng_out_mail_ind,$B333,rng_out_ds,$C333,rng_out_sel_sp_ind,$D333,rng_out_sel_excl_ind,$E333, rng_out_MSB_excl, $F333)* _xlfn.XLOOKUP([1]Tables!$HN$4,'[1]RA Output'!$AY$4:$AY$5,'[1]RA Output'!BC$4:BC$5,0)  +
SUMIFS(rng_out_awp_post_yr4,rng_out_sel_excl_yr_ind, [1]Tables!$HN$5, rng_out_GB_Medispan, Q$1,rng_out_sel_G_ind,L$1,rng_out_mail_ind,$B333,rng_out_ds,$C333,rng_out_sel_sp_ind,$D333,rng_out_sel_excl_ind,$E333, rng_out_MSB_excl, $F333)* _xlfn.XLOOKUP([1]Tables!$HN$5,'[1]RA Output'!$AY$4:$AY$5,'[1]RA Output'!BC$4:BC$5,0)+
SUMIFS(rng_out_awp_post_yr4, rng_out_mail_ind, $B333, rng_out_GB_Medispan, L$1, rng_out_sel_G_ind, Q$1, rng_out_ds, $C333, rng_out_sel_sp_ind, $D333, rng_out_sel_excl_ind,"N", rng_out_MSB_excl, $F333, rng_out_post_reb_ind_yr4, 0)) * ((1-[1]Tables!$BN$4)/[1]Tables!$BN$4) * [1]Tables!$BN$5)/[1]Tables!$AT$4, 0) +
IFERROR(SUMIFS(rng_out_awp_post_yr4,rng_out_sel_excl_yr_ind, "", rng_out_GB_Medispan, L$1,rng_out_sel_G_ind,Q$1,rng_out_mail_ind,$B333,rng_out_ds,$C333,rng_out_sel_sp_ind,$D333,rng_out_sel_excl_ind,$E333)+
SUMIFS(rng_out_awp_post_yr4,rng_out_sel_excl_yr_ind, [1]Tables!$HN$4, rng_out_GB_Medispan, L$1,rng_out_sel_G_ind,Q$1,rng_out_mail_ind,$B333,rng_out_ds,$C333,rng_out_sel_sp_ind,$D333,rng_out_sel_excl_ind,$E333)* _xlfn.XLOOKUP([1]Tables!$HN$4,'[1]RA Output'!$AY$4:$AY$5,'[1]RA Output'!BC$4:BC$5,0)  +
SUMIFS(rng_out_awp_post_yr4,rng_out_sel_excl_yr_ind, [1]Tables!$HN$5, rng_out_GB_Medispan, L$1,rng_out_sel_G_ind,Q$1,rng_out_mail_ind,$B333,rng_out_ds,$C333,rng_out_sel_sp_ind,$D333,rng_out_sel_excl_ind,$E333)* _xlfn.XLOOKUP([1]Tables!$HN$5,'[1]RA Output'!$AY$4:$AY$5,'[1]RA Output'!BC$4:BC$5,0) + SUMIFS(rng_out_awp_post_yr4, rng_out_GB_Medispan, L$1, rng_out_sel_G_ind, Q$1, rng_out_mail_ind, $B333, rng_out_ds, $C333, rng_out_sel_sp_ind, $D333, rng_out_sel_excl_ind,"N", rng_out_post_reb_ind_yr4, 0)/[1]Tables!$AT$4, 0))</f>
        <v>0</v>
      </c>
      <c r="AU333" s="85" cm="1">
        <f t="array" aca="1" ref="AU333" ca="1">IF($E$327="N", IFERROR(IF(OR(input_Shift="No", [1]Tables!$BN$4=1), 0, (SUMIFS(rng_out_awp_post_yr5,rng_out_sel_excl_yr_ind, "", rng_out_GB_Medispan, R$1,rng_out_sel_G_ind,M$1,rng_out_mail_ind,$B333,rng_out_ds,$C333,rng_out_sel_sp_ind,$D333,rng_out_sel_excl_ind,$E333, rng_out_MSB_excl, $F333)+
SUMIFS(rng_out_awp_post_yr5,rng_out_sel_excl_yr_ind, [1]Tables!$HN$4, rng_out_GB_Medispan, R$1,rng_out_sel_G_ind,M$1,rng_out_mail_ind,$B333,rng_out_ds,$C333,rng_out_sel_sp_ind,$D333,rng_out_sel_excl_ind,$E333, rng_out_MSB_excl, $F333)* _xlfn.XLOOKUP([1]Tables!$HN$4,'[1]RA Output'!$AY$4:$AY$5,'[1]RA Output'!BD$4:BD$5,0)  +
SUMIFS(rng_out_awp_post_yr5,rng_out_sel_excl_yr_ind, [1]Tables!$HN$5, rng_out_GB_Medispan, R$1,rng_out_sel_G_ind,M$1,rng_out_mail_ind,$B333,rng_out_ds,$C333,rng_out_sel_sp_ind,$D333,rng_out_sel_excl_ind,$E333, rng_out_MSB_excl, $F333)* _xlfn.XLOOKUP([1]Tables!$HN$5,'[1]RA Output'!$AY$4:$AY$5,'[1]RA Output'!BD$4:BD$5,0)) * ((1-[1]Tables!$BN$4)/[1]Tables!$BN$4) * [1]Tables!$BN$5)/[1]Tables!$AT$4, 0) +
IFERROR((SUMIFS(rng_out_awp_post_yr5,rng_out_sel_excl_yr_ind, "", rng_out_GB_Medispan, M$1,rng_out_sel_G_ind,R$1,rng_out_mail_ind,$B333,rng_out_ds,$C333,rng_out_sel_sp_ind,$D333,rng_out_sel_excl_ind,$E333)+
SUMIFS(rng_out_awp_post_yr5,rng_out_sel_excl_yr_ind, [1]Tables!$HN$4, rng_out_GB_Medispan, M$1,rng_out_sel_G_ind,R$1,rng_out_mail_ind,$B333,rng_out_ds,$C333,rng_out_sel_sp_ind,$D333,rng_out_sel_excl_ind,$E333)* _xlfn.XLOOKUP([1]Tables!$HN$4,'[1]RA Output'!$AY$4:$AY$5,'[1]RA Output'!BD$4:BD$5,0)  +
SUMIFS(rng_out_awp_post_yr5,rng_out_sel_excl_yr_ind, [1]Tables!$HN$5, rng_out_GB_Medispan, M$1,rng_out_sel_G_ind,R$1,rng_out_mail_ind,$B333,rng_out_ds,$C333,rng_out_sel_sp_ind,$D333,rng_out_sel_excl_ind,$E333)* _xlfn.XLOOKUP([1]Tables!$HN$5,'[1]RA Output'!$AY$4:$AY$5,'[1]RA Output'!BD$4:BD$5,0))/[1]Tables!$AT$4, 0),
IFERROR(IF(OR(input_Shift="No", [1]Tables!$BN$4=1), 0, (SUMIFS(rng_out_awp_post_yr5,rng_out_sel_excl_yr_ind, "", rng_out_GB_Medispan, R$1,rng_out_sel_G_ind,M$1,rng_out_mail_ind,$B333,rng_out_ds,$C333,rng_out_sel_sp_ind,$D333,rng_out_sel_excl_ind,$E333, rng_out_MSB_excl, $F333)+
SUMIFS(rng_out_awp_post_yr5,rng_out_sel_excl_yr_ind, [1]Tables!$HN$4, rng_out_GB_Medispan, R$1,rng_out_sel_G_ind,M$1,rng_out_mail_ind,$B333,rng_out_ds,$C333,rng_out_sel_sp_ind,$D333,rng_out_sel_excl_ind,$E333, rng_out_MSB_excl, $F333)* _xlfn.XLOOKUP([1]Tables!$HN$4,'[1]RA Output'!$AY$4:$AY$5,'[1]RA Output'!BD$4:BD$5,0)  +
SUMIFS(rng_out_awp_post_yr5,rng_out_sel_excl_yr_ind, [1]Tables!$HN$5, rng_out_GB_Medispan, R$1,rng_out_sel_G_ind,M$1,rng_out_mail_ind,$B333,rng_out_ds,$C333,rng_out_sel_sp_ind,$D333,rng_out_sel_excl_ind,$E333, rng_out_MSB_excl, $F333)* _xlfn.XLOOKUP([1]Tables!$HN$5,'[1]RA Output'!$AY$4:$AY$5,'[1]RA Output'!BD$4:BD$5,0)+
SUMIFS(rng_out_awp_post_yr5, rng_out_mail_ind, $B333, rng_out_GB_Medispan, M$1, rng_out_sel_G_ind, R$1, rng_out_ds, $C333, rng_out_sel_sp_ind, $D333, rng_out_sel_excl_ind,"N", rng_out_MSB_excl, $F333, rng_out_post_reb_ind_yr5, 0)) * ((1-[1]Tables!$BN$4)/[1]Tables!$BN$4) * [1]Tables!$BN$5)/[1]Tables!$AT$4, 0) +
IFERROR(SUMIFS(rng_out_awp_post_yr5,rng_out_sel_excl_yr_ind, "", rng_out_GB_Medispan, M$1,rng_out_sel_G_ind,R$1,rng_out_mail_ind,$B333,rng_out_ds,$C333,rng_out_sel_sp_ind,$D333,rng_out_sel_excl_ind,$E333)+
SUMIFS(rng_out_awp_post_yr5,rng_out_sel_excl_yr_ind, [1]Tables!$HN$4, rng_out_GB_Medispan, M$1,rng_out_sel_G_ind,R$1,rng_out_mail_ind,$B333,rng_out_ds,$C333,rng_out_sel_sp_ind,$D333,rng_out_sel_excl_ind,$E333)* _xlfn.XLOOKUP([1]Tables!$HN$4,'[1]RA Output'!$AY$4:$AY$5,'[1]RA Output'!BD$4:BD$5,0)  +
SUMIFS(rng_out_awp_post_yr5,rng_out_sel_excl_yr_ind, [1]Tables!$HN$5, rng_out_GB_Medispan, M$1,rng_out_sel_G_ind,R$1,rng_out_mail_ind,$B333,rng_out_ds,$C333,rng_out_sel_sp_ind,$D333,rng_out_sel_excl_ind,$E333)* _xlfn.XLOOKUP([1]Tables!$HN$5,'[1]RA Output'!$AY$4:$AY$5,'[1]RA Output'!BD$4:BD$5,0) + SUMIFS(rng_out_awp_post_yr5, rng_out_GB_Medispan, M$1, rng_out_sel_G_ind, R$1, rng_out_mail_ind, $B333, rng_out_ds, $C333, rng_out_sel_sp_ind, $D333, rng_out_sel_excl_ind,"N", rng_out_post_reb_ind_yr5, 0)/[1]Tables!$AT$4, 0))</f>
        <v>0</v>
      </c>
      <c r="AV333" s="86">
        <f t="shared" ca="1" si="357"/>
        <v>0</v>
      </c>
      <c r="AW333" s="75">
        <f t="shared" ca="1" si="357"/>
        <v>0</v>
      </c>
      <c r="AX333" s="75">
        <f t="shared" ca="1" si="357"/>
        <v>0</v>
      </c>
      <c r="AY333" s="75">
        <f t="shared" ca="1" si="357"/>
        <v>0</v>
      </c>
      <c r="AZ333" s="87">
        <f t="shared" ca="1" si="357"/>
        <v>0</v>
      </c>
      <c r="BG333" s="111" t="s">
        <v>15</v>
      </c>
      <c r="BH333" s="97">
        <f t="shared" ca="1" si="358"/>
        <v>0</v>
      </c>
      <c r="BI333" s="79">
        <f t="shared" ca="1" si="358"/>
        <v>0</v>
      </c>
      <c r="BJ333" s="79">
        <f t="shared" ca="1" si="358"/>
        <v>0</v>
      </c>
      <c r="BK333" s="79">
        <f t="shared" ca="1" si="358"/>
        <v>0</v>
      </c>
      <c r="BL333" s="98">
        <f t="shared" ca="1" si="358"/>
        <v>0</v>
      </c>
      <c r="BM333" s="92">
        <f t="shared" ca="1" si="359"/>
        <v>0</v>
      </c>
      <c r="BN333" s="75">
        <f t="shared" ca="1" si="359"/>
        <v>0</v>
      </c>
      <c r="BO333" s="75">
        <f t="shared" ca="1" si="359"/>
        <v>0</v>
      </c>
      <c r="BP333" s="75">
        <f t="shared" ca="1" si="359"/>
        <v>0</v>
      </c>
      <c r="BQ333" s="93">
        <f t="shared" ca="1" si="359"/>
        <v>0</v>
      </c>
      <c r="BX333" s="111" t="s">
        <v>15</v>
      </c>
      <c r="BY333" s="97">
        <f t="shared" ca="1" si="360"/>
        <v>0</v>
      </c>
      <c r="BZ333" s="79">
        <f t="shared" ca="1" si="360"/>
        <v>0</v>
      </c>
      <c r="CA333" s="79">
        <f t="shared" ca="1" si="360"/>
        <v>0</v>
      </c>
      <c r="CB333" s="79">
        <f t="shared" ca="1" si="360"/>
        <v>0</v>
      </c>
      <c r="CC333" s="98">
        <f t="shared" ca="1" si="360"/>
        <v>0</v>
      </c>
      <c r="CD333" s="92">
        <f t="shared" ca="1" si="361"/>
        <v>0</v>
      </c>
      <c r="CE333" s="75">
        <f t="shared" ca="1" si="361"/>
        <v>0</v>
      </c>
      <c r="CF333" s="75">
        <f t="shared" ca="1" si="361"/>
        <v>0</v>
      </c>
      <c r="CG333" s="75">
        <f t="shared" ca="1" si="361"/>
        <v>0</v>
      </c>
      <c r="CH333" s="93">
        <f t="shared" ca="1" si="361"/>
        <v>0</v>
      </c>
      <c r="CO333" s="213" cm="1">
        <f t="array" aca="1" ref="CO333" ca="1">_xlfn.SINGLE(IFERROR(SUMIFS(rng_out_awp_base, rng_out_GB_Medispan, "G", rng_out_sel_G_ind, "B", rng_out_mail_ind, $B333, rng_out_ds, $C333, rng_out_sel_sp_ind, $D333, rng_out_sel_excl_ind,$E333)/[1]Tables!$AT$4, 0))</f>
        <v>0</v>
      </c>
      <c r="CP333" s="214" cm="1">
        <f t="array" aca="1" ref="CP333" ca="1">_xlfn.SINGLE(IFERROR(SUMIFS(rng_out_awp_base, rng_out_GB_Medispan, "B", rng_out_sel_G_ind, "G", rng_out_mail_ind, $B333, rng_out_ds, $C333, rng_out_sel_sp_ind, $D333, rng_out_sel_excl_ind,$E333)/[1]Tables!$AT$4, 0))</f>
        <v>0</v>
      </c>
      <c r="CQ333" s="220">
        <f ca="1">SUM(CO333:CP333)</f>
        <v>0</v>
      </c>
      <c r="CR333" s="92">
        <f t="shared" ca="1" si="362"/>
        <v>0</v>
      </c>
      <c r="CS333" s="93">
        <f t="shared" ca="1" si="362"/>
        <v>0</v>
      </c>
      <c r="CT333" s="358">
        <f t="shared" ca="1" si="362"/>
        <v>0</v>
      </c>
    </row>
    <row r="334" spans="2:98" x14ac:dyDescent="0.35">
      <c r="B334" s="105" t="s">
        <v>16</v>
      </c>
      <c r="C334" s="106"/>
      <c r="D334" s="106" t="s">
        <v>12</v>
      </c>
      <c r="E334" s="107" t="s">
        <v>13</v>
      </c>
      <c r="F334" s="106">
        <v>1</v>
      </c>
      <c r="H334" s="118" t="s">
        <v>7</v>
      </c>
      <c r="I334" s="72" t="e" cm="1">
        <f t="array" aca="1" ref="I334" ca="1">SUMIFS(rng_out_awp_pre_yr1,rng_out_sel_excl_yr_ind, "", rng_out_GB_Medispan, I$1,rng_out_sel_G_ind,N$1,rng_out_mail_ind,$B334,rng_out_sel_sp_ind,$D334,rng_out_sel_excl_ind,$E334)+
SUMIFS(rng_out_awp_pre_yr1,rng_out_sel_excl_yr_ind, [1]Tables!$HN$4, rng_out_GB_Medispan, I$1,rng_out_sel_G_ind,N$1,rng_out_mail_ind,$B334,rng_out_sel_sp_ind,$D334,rng_out_sel_excl_ind,$E334)* _xlfn.XLOOKUP([1]Tables!$HN$4,'[1]RA Output'!$AY$4:$AY$5,'[1]RA Output'!AZ$4:AZ$5,0)  +
SUMIFS(rng_out_awp_pre_yr1,rng_out_sel_excl_yr_ind, [1]Tables!$HN$5, rng_out_GB_Medispan, I$1,rng_out_sel_G_ind,N$1,rng_out_mail_ind,$B334,rng_out_sel_sp_ind,$D334,rng_out_sel_excl_ind,$E334)* _xlfn.XLOOKUP([1]Tables!$HN$5,'[1]RA Output'!$AY$4:$AY$5,'[1]RA Output'!AZ$4:AZ$5,0)+
IF($E$336="N", 0,
SUMIFS(rng_out_awp_pre_yr1, rng_out_GB_Medispan, I$1, rng_out_sel_G_ind, N$1, rng_out_mail_ind, $B334, rng_out_sel_sp_ind, $D334, rng_out_sel_excl_ind,"N", rng_out_post_reb_ind_yr1, 0))</f>
        <v>#VALUE!</v>
      </c>
      <c r="J334" s="5" t="e" cm="1">
        <f t="array" aca="1" ref="J334" ca="1">SUMIFS(rng_out_awp_pre_yr2,rng_out_sel_excl_yr_ind, "", rng_out_GB_Medispan, J$1,rng_out_sel_G_ind,O$1,rng_out_mail_ind,$B334,rng_out_sel_sp_ind,$D334,rng_out_sel_excl_ind,$E334)+
SUMIFS(rng_out_awp_pre_yr2,rng_out_sel_excl_yr_ind, [1]Tables!$HN$4, rng_out_GB_Medispan, J$1,rng_out_sel_G_ind,O$1,rng_out_mail_ind,$B334,rng_out_sel_sp_ind,$D334,rng_out_sel_excl_ind,$E334)* _xlfn.XLOOKUP([1]Tables!$HN$4,'[1]RA Output'!$AY$4:$AY$5,'[1]RA Output'!BA$4:BA$5,0)  +
SUMIFS(rng_out_awp_pre_yr2,rng_out_sel_excl_yr_ind, [1]Tables!$HN$5, rng_out_GB_Medispan, J$1,rng_out_sel_G_ind,O$1,rng_out_mail_ind,$B334,rng_out_sel_sp_ind,$D334,rng_out_sel_excl_ind,$E334)* _xlfn.XLOOKUP([1]Tables!$HN$5,'[1]RA Output'!$AY$4:$AY$5,'[1]RA Output'!BA$4:BA$5,0)+
IF($E$336="N", 0,
SUMIFS(rng_out_awp_pre_yr2, rng_out_GB_Medispan, J$1, rng_out_sel_G_ind, O$1, rng_out_mail_ind, $B334, rng_out_sel_sp_ind, $D334, rng_out_sel_excl_ind,"N", rng_out_post_reb_ind_yr2, 0))</f>
        <v>#VALUE!</v>
      </c>
      <c r="K334" s="5" t="e" cm="1">
        <f t="array" aca="1" ref="K334" ca="1">SUMIFS(rng_out_awp_pre_yr3,rng_out_sel_excl_yr_ind, "", rng_out_GB_Medispan, K$1,rng_out_sel_G_ind,P$1,rng_out_mail_ind,$B334,rng_out_sel_sp_ind,$D334,rng_out_sel_excl_ind,$E334)+
SUMIFS(rng_out_awp_pre_yr3,rng_out_sel_excl_yr_ind, [1]Tables!$HN$4, rng_out_GB_Medispan, K$1,rng_out_sel_G_ind,P$1,rng_out_mail_ind,$B334,rng_out_sel_sp_ind,$D334,rng_out_sel_excl_ind,$E334)* _xlfn.XLOOKUP([1]Tables!$HN$4,'[1]RA Output'!$AY$4:$AY$5,'[1]RA Output'!BB$4:BB$5,0)  +
SUMIFS(rng_out_awp_pre_yr3,rng_out_sel_excl_yr_ind, [1]Tables!$HN$5, rng_out_GB_Medispan, K$1,rng_out_sel_G_ind,P$1,rng_out_mail_ind,$B334,rng_out_sel_sp_ind,$D334,rng_out_sel_excl_ind,$E334)* _xlfn.XLOOKUP([1]Tables!$HN$5,'[1]RA Output'!$AY$4:$AY$5,'[1]RA Output'!BB$4:BB$5,0)+
IF($E$336="N", 0,
SUMIFS(rng_out_awp_pre_yr3, rng_out_GB_Medispan, K$1, rng_out_sel_G_ind, P$1, rng_out_mail_ind, $B334, rng_out_sel_sp_ind, $D334, rng_out_sel_excl_ind,"N", rng_out_post_reb_ind_yr3, 0))</f>
        <v>#VALUE!</v>
      </c>
      <c r="L334" s="5" t="e" cm="1">
        <f t="array" aca="1" ref="L334" ca="1">SUMIFS(rng_out_awp_pre_yr4,rng_out_sel_excl_yr_ind, "", rng_out_GB_Medispan, L$1,rng_out_sel_G_ind,Q$1,rng_out_mail_ind,$B334,rng_out_sel_sp_ind,$D334,rng_out_sel_excl_ind,$E334)+
SUMIFS(rng_out_awp_pre_yr4,rng_out_sel_excl_yr_ind, [1]Tables!$HN$4, rng_out_GB_Medispan, L$1,rng_out_sel_G_ind,Q$1,rng_out_mail_ind,$B334,rng_out_sel_sp_ind,$D334,rng_out_sel_excl_ind,$E334)* _xlfn.XLOOKUP([1]Tables!$HN$4,'[1]RA Output'!$AY$4:$AY$5,'[1]RA Output'!BC$4:BC$5,0)  +
SUMIFS(rng_out_awp_pre_yr4,rng_out_sel_excl_yr_ind, [1]Tables!$HN$5, rng_out_GB_Medispan, L$1,rng_out_sel_G_ind,Q$1,rng_out_mail_ind,$B334,rng_out_sel_sp_ind,$D334,rng_out_sel_excl_ind,$E334)* _xlfn.XLOOKUP([1]Tables!$HN$5,'[1]RA Output'!$AY$4:$AY$5,'[1]RA Output'!BC$4:BC$5,0)+
IF($E$336="N", 0,
SUMIFS(rng_out_awp_pre_yr4, rng_out_GB_Medispan, L$1, rng_out_sel_G_ind, Q$1, rng_out_mail_ind, $B334, rng_out_sel_sp_ind, $D334, rng_out_sel_excl_ind,"N", rng_out_post_reb_ind_yr4, 0))</f>
        <v>#VALUE!</v>
      </c>
      <c r="M334" s="73" t="e" cm="1">
        <f t="array" aca="1" ref="M334" ca="1">SUMIFS(rng_out_awp_pre_yr5,rng_out_sel_excl_yr_ind, "", rng_out_GB_Medispan, M$1,rng_out_sel_G_ind,R$1,rng_out_mail_ind,$B334,rng_out_sel_sp_ind,$D334,rng_out_sel_excl_ind,$E334)+
SUMIFS(rng_out_awp_pre_yr5,rng_out_sel_excl_yr_ind, [1]Tables!$HN$4, rng_out_GB_Medispan, M$1,rng_out_sel_G_ind,R$1,rng_out_mail_ind,$B334,rng_out_sel_sp_ind,$D334,rng_out_sel_excl_ind,$E334)* _xlfn.XLOOKUP([1]Tables!$HN$4,'[1]RA Output'!$AY$4:$AY$5,'[1]RA Output'!BD$4:BD$5,0)  +
SUMIFS(rng_out_awp_pre_yr5,rng_out_sel_excl_yr_ind, [1]Tables!$HN$5, rng_out_GB_Medispan, M$1,rng_out_sel_G_ind,R$1,rng_out_mail_ind,$B334,rng_out_sel_sp_ind,$D334,rng_out_sel_excl_ind,$E334)* _xlfn.XLOOKUP([1]Tables!$HN$5,'[1]RA Output'!$AY$4:$AY$5,'[1]RA Output'!BD$4:BD$5,0)+
IF($E$336="N", 0,
SUMIFS(rng_out_awp_pre_yr5, rng_out_GB_Medispan, M$1, rng_out_sel_G_ind, R$1, rng_out_mail_ind, $B334, rng_out_sel_sp_ind, $D334, rng_out_sel_excl_ind,"N", rng_out_post_reb_ind_yr5, 0))</f>
        <v>#VALUE!</v>
      </c>
      <c r="N334" s="74">
        <f t="shared" ca="1" si="355"/>
        <v>0</v>
      </c>
      <c r="O334" s="75">
        <f t="shared" ca="1" si="355"/>
        <v>0</v>
      </c>
      <c r="P334" s="75">
        <f t="shared" ca="1" si="355"/>
        <v>0</v>
      </c>
      <c r="Q334" s="75">
        <f t="shared" ca="1" si="355"/>
        <v>0</v>
      </c>
      <c r="R334" s="76">
        <f t="shared" ca="1" si="355"/>
        <v>0</v>
      </c>
      <c r="Y334" s="119" t="s">
        <v>7</v>
      </c>
      <c r="Z334" s="78">
        <f ca="1">IFERROR(I334/[1]Tables!$AT$4, 0)</f>
        <v>0</v>
      </c>
      <c r="AA334" s="79">
        <f ca="1">IFERROR(J334/[1]Tables!$AT$4, 0)</f>
        <v>0</v>
      </c>
      <c r="AB334" s="79">
        <f ca="1">IFERROR(K334/[1]Tables!$AT$4, 0)</f>
        <v>0</v>
      </c>
      <c r="AC334" s="79">
        <f ca="1">IFERROR(L334/[1]Tables!$AT$4, 0)</f>
        <v>0</v>
      </c>
      <c r="AD334" s="80">
        <f ca="1">IFERROR(M334/[1]Tables!$AT$4, 0)</f>
        <v>0</v>
      </c>
      <c r="AE334" s="81">
        <f t="shared" ca="1" si="356"/>
        <v>0</v>
      </c>
      <c r="AF334" s="75">
        <f t="shared" ca="1" si="356"/>
        <v>0</v>
      </c>
      <c r="AG334" s="75">
        <f t="shared" ca="1" si="356"/>
        <v>0</v>
      </c>
      <c r="AH334" s="75">
        <f t="shared" ca="1" si="356"/>
        <v>0</v>
      </c>
      <c r="AI334" s="82">
        <f t="shared" ca="1" si="356"/>
        <v>0</v>
      </c>
      <c r="AP334" s="120" t="s">
        <v>7</v>
      </c>
      <c r="AQ334" s="356" cm="1">
        <f t="array" aca="1" ref="AQ334" ca="1">IF($E$327="N", IFERROR(IF(OR(input_Shift="No", [1]Tables!$BN$4=1), 0, (SUMIFS(rng_out_awp_post_yr1,rng_out_sel_excl_yr_ind, "", rng_out_GB_Medispan, N$1,rng_out_sel_G_ind,I$1,rng_out_mail_ind,$B334,rng_out_sel_sp_ind,$D334,rng_out_sel_excl_ind,$E334, rng_out_MSB_excl, $F334)+
SUMIFS(rng_out_awp_post_yr1,rng_out_sel_excl_yr_ind, [1]Tables!$HN$4, rng_out_GB_Medispan, N$1,rng_out_sel_G_ind,I$1,rng_out_mail_ind,$B334,rng_out_sel_sp_ind,$D334,rng_out_sel_excl_ind,$E334, rng_out_MSB_excl, $F334)* _xlfn.XLOOKUP([1]Tables!$HN$4,'[1]RA Output'!$AY$4:$AY$5,'[1]RA Output'!AZ$4:AZ$5,0)  +
SUMIFS(rng_out_awp_post_yr1,rng_out_sel_excl_yr_ind, [1]Tables!$HN$5, rng_out_GB_Medispan, N$1,rng_out_sel_G_ind,I$1,rng_out_mail_ind,$B334,rng_out_sel_sp_ind,$D334,rng_out_sel_excl_ind,$E334, rng_out_MSB_excl, $F334)* _xlfn.XLOOKUP([1]Tables!$HN$5,'[1]RA Output'!$AY$4:$AY$5,'[1]RA Output'!AZ$4:AZ$5,0)) * ((1-[1]Tables!$BN$4)/[1]Tables!$BN$4) * [1]Tables!$BN$5)/[1]Tables!$AT$4, 0) +
IFERROR((SUMIFS(rng_out_awp_post_yr1,rng_out_sel_excl_yr_ind, "", rng_out_GB_Medispan, I$1,rng_out_sel_G_ind,N$1,rng_out_mail_ind,$B334,rng_out_sel_sp_ind,$D334,rng_out_sel_excl_ind,$E334)+
SUMIFS(rng_out_awp_post_yr1,rng_out_sel_excl_yr_ind, [1]Tables!$HN$4, rng_out_GB_Medispan, I$1,rng_out_sel_G_ind,N$1,rng_out_mail_ind,$B334,rng_out_sel_sp_ind,$D334,rng_out_sel_excl_ind,$E334)* _xlfn.XLOOKUP([1]Tables!$HN$4,'[1]RA Output'!$AY$4:$AY$5,'[1]RA Output'!AZ$4:AZ$5,0)  +
SUMIFS(rng_out_awp_post_yr1,rng_out_sel_excl_yr_ind, [1]Tables!$HN$5, rng_out_GB_Medispan, I$1,rng_out_sel_G_ind,N$1,rng_out_mail_ind,$B334,rng_out_sel_sp_ind,$D334,rng_out_sel_excl_ind,$E334)* _xlfn.XLOOKUP([1]Tables!$HN$5,'[1]RA Output'!$AY$4:$AY$5,'[1]RA Output'!AZ$4:AZ$5,0))/[1]Tables!$AT$4, 0),
IFERROR(IF(OR(input_Shift="No", [1]Tables!$BN$4=1), 0, (SUMIFS(rng_out_awp_post_yr1,rng_out_sel_excl_yr_ind, "", rng_out_GB_Medispan, N$1,rng_out_sel_G_ind,I$1,rng_out_mail_ind,$B334,rng_out_sel_sp_ind,$D334,rng_out_sel_excl_ind,$E334, rng_out_MSB_excl, $F334)+
SUMIFS(rng_out_awp_post_yr1,rng_out_sel_excl_yr_ind, [1]Tables!$HN$4, rng_out_GB_Medispan, N$1,rng_out_sel_G_ind,I$1,rng_out_mail_ind,$B334,rng_out_sel_sp_ind,$D334,rng_out_sel_excl_ind,$E334, rng_out_MSB_excl, $F334)* _xlfn.XLOOKUP([1]Tables!$HN$4,'[1]RA Output'!$AY$4:$AY$5,'[1]RA Output'!AZ$4:AZ$5,0)  +
SUMIFS(rng_out_awp_post_yr1,rng_out_sel_excl_yr_ind, [1]Tables!$HN$5, rng_out_GB_Medispan, N$1,rng_out_sel_G_ind,I$1,rng_out_mail_ind,$B334,rng_out_sel_sp_ind,$D334,rng_out_sel_excl_ind,$E334, rng_out_MSB_excl, $F334)* _xlfn.XLOOKUP([1]Tables!$HN$5,'[1]RA Output'!$AY$4:$AY$5,'[1]RA Output'!AZ$4:AZ$5,0)+
SUMIFS(rng_out_awp_post_yr1, rng_out_mail_ind, $B334, rng_out_GB_Medispan, I$1, rng_out_sel_G_ind, N$1, rng_out_sel_sp_ind, $D334, rng_out_sel_excl_ind,"N", rng_out_MSB_excl, $F334, rng_out_post_reb_ind_yr1, 0)) * ((1-[1]Tables!$BN$4)/[1]Tables!$BN$4) * [1]Tables!$BN$5)/[1]Tables!$AT$4, 0) +
IFERROR(SUMIFS(rng_out_awp_post_yr1,rng_out_sel_excl_yr_ind, "", rng_out_GB_Medispan, I$1,rng_out_sel_G_ind,N$1,rng_out_mail_ind,$B334,rng_out_sel_sp_ind,$D334,rng_out_sel_excl_ind,$E334)+
SUMIFS(rng_out_awp_post_yr1,rng_out_sel_excl_yr_ind, [1]Tables!$HN$4, rng_out_GB_Medispan, I$1,rng_out_sel_G_ind,N$1,rng_out_mail_ind,$B334,rng_out_sel_sp_ind,$D334,rng_out_sel_excl_ind,$E334)* _xlfn.XLOOKUP([1]Tables!$HN$4,'[1]RA Output'!$AY$4:$AY$5,'[1]RA Output'!AZ$4:AZ$5,0)  +
SUMIFS(rng_out_awp_post_yr1,rng_out_sel_excl_yr_ind, [1]Tables!$HN$5, rng_out_GB_Medispan, I$1,rng_out_sel_G_ind,N$1,rng_out_mail_ind,$B334,rng_out_sel_sp_ind,$D334,rng_out_sel_excl_ind,$E334)* _xlfn.XLOOKUP([1]Tables!$HN$5,'[1]RA Output'!$AY$4:$AY$5,'[1]RA Output'!AZ$4:AZ$5,0) + SUMIFS(rng_out_awp_post_yr1, rng_out_GB_Medispan, I$1, rng_out_sel_G_ind, N$1, rng_out_mail_ind, $B334, rng_out_sel_sp_ind, $D334, rng_out_sel_excl_ind,"N", rng_out_post_reb_ind_yr1, 0)/[1]Tables!$AT$4, 0))</f>
        <v>0</v>
      </c>
      <c r="AR334" s="5" cm="1">
        <f t="array" aca="1" ref="AR334" ca="1">IF($E$327="N", IFERROR(IF(OR(input_Shift="No", [1]Tables!$BN$4=1), 0, (SUMIFS(rng_out_awp_post_yr2,rng_out_sel_excl_yr_ind, "", rng_out_GB_Medispan, O$1,rng_out_sel_G_ind,J$1,rng_out_mail_ind,$B334,rng_out_sel_sp_ind,$D334,rng_out_sel_excl_ind,$E334, rng_out_MSB_excl, $F334)+
SUMIFS(rng_out_awp_post_yr2,rng_out_sel_excl_yr_ind, [1]Tables!$HN$4, rng_out_GB_Medispan, O$1,rng_out_sel_G_ind,J$1,rng_out_mail_ind,$B334,rng_out_sel_sp_ind,$D334,rng_out_sel_excl_ind,$E334, rng_out_MSB_excl, $F334)* _xlfn.XLOOKUP([1]Tables!$HN$4,'[1]RA Output'!$AY$4:$AY$5,'[1]RA Output'!BA$4:BA$5,0)  +
SUMIFS(rng_out_awp_post_yr2,rng_out_sel_excl_yr_ind, [1]Tables!$HN$5, rng_out_GB_Medispan, O$1,rng_out_sel_G_ind,J$1,rng_out_mail_ind,$B334,rng_out_sel_sp_ind,$D334,rng_out_sel_excl_ind,$E334, rng_out_MSB_excl, $F334)* _xlfn.XLOOKUP([1]Tables!$HN$5,'[1]RA Output'!$AY$4:$AY$5,'[1]RA Output'!BA$4:BA$5,0)) * ((1-[1]Tables!$BN$4)/[1]Tables!$BN$4) * [1]Tables!$BN$5)/[1]Tables!$AT$4, 0) +
IFERROR((SUMIFS(rng_out_awp_post_yr2,rng_out_sel_excl_yr_ind, "", rng_out_GB_Medispan, J$1,rng_out_sel_G_ind,O$1,rng_out_mail_ind,$B334,rng_out_sel_sp_ind,$D334,rng_out_sel_excl_ind,$E334)+
SUMIFS(rng_out_awp_post_yr2,rng_out_sel_excl_yr_ind, [1]Tables!$HN$4, rng_out_GB_Medispan, J$1,rng_out_sel_G_ind,O$1,rng_out_mail_ind,$B334,rng_out_sel_sp_ind,$D334,rng_out_sel_excl_ind,$E334)* _xlfn.XLOOKUP([1]Tables!$HN$4,'[1]RA Output'!$AY$4:$AY$5,'[1]RA Output'!BA$4:BA$5,0)  +
SUMIFS(rng_out_awp_post_yr2,rng_out_sel_excl_yr_ind, [1]Tables!$HN$5, rng_out_GB_Medispan, J$1,rng_out_sel_G_ind,O$1,rng_out_mail_ind,$B334,rng_out_sel_sp_ind,$D334,rng_out_sel_excl_ind,$E334)* _xlfn.XLOOKUP([1]Tables!$HN$5,'[1]RA Output'!$AY$4:$AY$5,'[1]RA Output'!BA$4:BA$5,0))/[1]Tables!$AT$4, 0),
IFERROR(IF(OR(input_Shift="No", [1]Tables!$BN$4=1), 0, (SUMIFS(rng_out_awp_post_yr2,rng_out_sel_excl_yr_ind, "", rng_out_GB_Medispan, O$1,rng_out_sel_G_ind,J$1,rng_out_mail_ind,$B334,rng_out_sel_sp_ind,$D334,rng_out_sel_excl_ind,$E334, rng_out_MSB_excl, $F334)+
SUMIFS(rng_out_awp_post_yr2,rng_out_sel_excl_yr_ind, [1]Tables!$HN$4, rng_out_GB_Medispan, O$1,rng_out_sel_G_ind,J$1,rng_out_mail_ind,$B334,rng_out_sel_sp_ind,$D334,rng_out_sel_excl_ind,$E334, rng_out_MSB_excl, $F334)* _xlfn.XLOOKUP([1]Tables!$HN$4,'[1]RA Output'!$AY$4:$AY$5,'[1]RA Output'!BA$4:BA$5,0)  +
SUMIFS(rng_out_awp_post_yr2,rng_out_sel_excl_yr_ind, [1]Tables!$HN$5, rng_out_GB_Medispan, O$1,rng_out_sel_G_ind,J$1,rng_out_mail_ind,$B334,rng_out_sel_sp_ind,$D334,rng_out_sel_excl_ind,$E334, rng_out_MSB_excl, $F334)* _xlfn.XLOOKUP([1]Tables!$HN$5,'[1]RA Output'!$AY$4:$AY$5,'[1]RA Output'!BA$4:BA$5,0)+
SUMIFS(rng_out_awp_post_yr2, rng_out_mail_ind, $B334, rng_out_GB_Medispan, J$1, rng_out_sel_G_ind, O$1, rng_out_sel_sp_ind, $D334, rng_out_sel_excl_ind,"N", rng_out_MSB_excl, $F334, rng_out_post_reb_ind_yr2, 0)) * ((1-[1]Tables!$BN$4)/[1]Tables!$BN$4) * [1]Tables!$BN$5)/[1]Tables!$AT$4, 0) +
IFERROR(SUMIFS(rng_out_awp_post_yr2,rng_out_sel_excl_yr_ind, "", rng_out_GB_Medispan, J$1,rng_out_sel_G_ind,O$1,rng_out_mail_ind,$B334,rng_out_sel_sp_ind,$D334,rng_out_sel_excl_ind,$E334)+
SUMIFS(rng_out_awp_post_yr2,rng_out_sel_excl_yr_ind, [1]Tables!$HN$4, rng_out_GB_Medispan, J$1,rng_out_sel_G_ind,O$1,rng_out_mail_ind,$B334,rng_out_sel_sp_ind,$D334,rng_out_sel_excl_ind,$E334)* _xlfn.XLOOKUP([1]Tables!$HN$4,'[1]RA Output'!$AY$4:$AY$5,'[1]RA Output'!BA$4:BA$5,0)  +
SUMIFS(rng_out_awp_post_yr2,rng_out_sel_excl_yr_ind, [1]Tables!$HN$5, rng_out_GB_Medispan, J$1,rng_out_sel_G_ind,O$1,rng_out_mail_ind,$B334,rng_out_sel_sp_ind,$D334,rng_out_sel_excl_ind,$E334)* _xlfn.XLOOKUP([1]Tables!$HN$5,'[1]RA Output'!$AY$4:$AY$5,'[1]RA Output'!BA$4:BA$5,0) + SUMIFS(rng_out_awp_post_yr2, rng_out_GB_Medispan, J$1, rng_out_sel_G_ind, O$1, rng_out_mail_ind, $B334, rng_out_sel_sp_ind, $D334, rng_out_sel_excl_ind,"N", rng_out_post_reb_ind_yr2, 0)/[1]Tables!$AT$4, 0))</f>
        <v>0</v>
      </c>
      <c r="AS334" s="5" cm="1">
        <f t="array" aca="1" ref="AS334" ca="1">IF($E$327="N", IFERROR(IF(OR(input_Shift="No", [1]Tables!$BN$4=1), 0, (SUMIFS(rng_out_awp_post_yr3,rng_out_sel_excl_yr_ind, "", rng_out_GB_Medispan, P$1,rng_out_sel_G_ind,K$1,rng_out_mail_ind,$B334,rng_out_sel_sp_ind,$D334,rng_out_sel_excl_ind,$E334, rng_out_MSB_excl, $F334)+
SUMIFS(rng_out_awp_post_yr3,rng_out_sel_excl_yr_ind, [1]Tables!$HN$4, rng_out_GB_Medispan, P$1,rng_out_sel_G_ind,K$1,rng_out_mail_ind,$B334,rng_out_sel_sp_ind,$D334,rng_out_sel_excl_ind,$E334, rng_out_MSB_excl, $F334)* _xlfn.XLOOKUP([1]Tables!$HN$4,'[1]RA Output'!$AY$4:$AY$5,'[1]RA Output'!BB$4:BB$5,0)  +
SUMIFS(rng_out_awp_post_yr3,rng_out_sel_excl_yr_ind, [1]Tables!$HN$5, rng_out_GB_Medispan, P$1,rng_out_sel_G_ind,K$1,rng_out_mail_ind,$B334,rng_out_sel_sp_ind,$D334,rng_out_sel_excl_ind,$E334, rng_out_MSB_excl, $F334)* _xlfn.XLOOKUP([1]Tables!$HN$5,'[1]RA Output'!$AY$4:$AY$5,'[1]RA Output'!BB$4:BB$5,0)) * ((1-[1]Tables!$BN$4)/[1]Tables!$BN$4) * [1]Tables!$BN$5)/[1]Tables!$AT$4, 0) +
IFERROR((SUMIFS(rng_out_awp_post_yr3,rng_out_sel_excl_yr_ind, "", rng_out_GB_Medispan, K$1,rng_out_sel_G_ind,P$1,rng_out_mail_ind,$B334,rng_out_sel_sp_ind,$D334,rng_out_sel_excl_ind,$E334)+
SUMIFS(rng_out_awp_post_yr3,rng_out_sel_excl_yr_ind, [1]Tables!$HN$4, rng_out_GB_Medispan, K$1,rng_out_sel_G_ind,P$1,rng_out_mail_ind,$B334,rng_out_sel_sp_ind,$D334,rng_out_sel_excl_ind,$E334)* _xlfn.XLOOKUP([1]Tables!$HN$4,'[1]RA Output'!$AY$4:$AY$5,'[1]RA Output'!BB$4:BB$5,0)  +
SUMIFS(rng_out_awp_post_yr3,rng_out_sel_excl_yr_ind, [1]Tables!$HN$5, rng_out_GB_Medispan, K$1,rng_out_sel_G_ind,P$1,rng_out_mail_ind,$B334,rng_out_sel_sp_ind,$D334,rng_out_sel_excl_ind,$E334)* _xlfn.XLOOKUP([1]Tables!$HN$5,'[1]RA Output'!$AY$4:$AY$5,'[1]RA Output'!BB$4:BB$5,0))/[1]Tables!$AT$4, 0),
IFERROR(IF(OR(input_Shift="No", [1]Tables!$BN$4=1), 0, (SUMIFS(rng_out_awp_post_yr3,rng_out_sel_excl_yr_ind, "", rng_out_GB_Medispan, P$1,rng_out_sel_G_ind,K$1,rng_out_mail_ind,$B334,rng_out_sel_sp_ind,$D334,rng_out_sel_excl_ind,$E334, rng_out_MSB_excl, $F334)+
SUMIFS(rng_out_awp_post_yr3,rng_out_sel_excl_yr_ind, [1]Tables!$HN$4, rng_out_GB_Medispan, P$1,rng_out_sel_G_ind,K$1,rng_out_mail_ind,$B334,rng_out_sel_sp_ind,$D334,rng_out_sel_excl_ind,$E334, rng_out_MSB_excl, $F334)* _xlfn.XLOOKUP([1]Tables!$HN$4,'[1]RA Output'!$AY$4:$AY$5,'[1]RA Output'!BB$4:BB$5,0)  +
SUMIFS(rng_out_awp_post_yr3,rng_out_sel_excl_yr_ind, [1]Tables!$HN$5, rng_out_GB_Medispan, P$1,rng_out_sel_G_ind,K$1,rng_out_mail_ind,$B334,rng_out_sel_sp_ind,$D334,rng_out_sel_excl_ind,$E334, rng_out_MSB_excl, $F334)* _xlfn.XLOOKUP([1]Tables!$HN$5,'[1]RA Output'!$AY$4:$AY$5,'[1]RA Output'!BB$4:BB$5,0)+
SUMIFS(rng_out_awp_post_yr3, rng_out_mail_ind, $B334, rng_out_GB_Medispan, K$1, rng_out_sel_G_ind, P$1, rng_out_sel_sp_ind, $D334, rng_out_sel_excl_ind,"N", rng_out_MSB_excl, $F334, rng_out_post_reb_ind_yr3, 0)) * ((1-[1]Tables!$BN$4)/[1]Tables!$BN$4) * [1]Tables!$BN$5)/[1]Tables!$AT$4, 0) +
IFERROR(SUMIFS(rng_out_awp_post_yr3,rng_out_sel_excl_yr_ind, "", rng_out_GB_Medispan, K$1,rng_out_sel_G_ind,P$1,rng_out_mail_ind,$B334,rng_out_sel_sp_ind,$D334,rng_out_sel_excl_ind,$E334)+
SUMIFS(rng_out_awp_post_yr3,rng_out_sel_excl_yr_ind, [1]Tables!$HN$4, rng_out_GB_Medispan, K$1,rng_out_sel_G_ind,P$1,rng_out_mail_ind,$B334,rng_out_sel_sp_ind,$D334,rng_out_sel_excl_ind,$E334)* _xlfn.XLOOKUP([1]Tables!$HN$4,'[1]RA Output'!$AY$4:$AY$5,'[1]RA Output'!BB$4:BB$5,0)  +
SUMIFS(rng_out_awp_post_yr3,rng_out_sel_excl_yr_ind, [1]Tables!$HN$5, rng_out_GB_Medispan, K$1,rng_out_sel_G_ind,P$1,rng_out_mail_ind,$B334,rng_out_sel_sp_ind,$D334,rng_out_sel_excl_ind,$E334)* _xlfn.XLOOKUP([1]Tables!$HN$5,'[1]RA Output'!$AY$4:$AY$5,'[1]RA Output'!BB$4:BB$5,0) + SUMIFS(rng_out_awp_post_yr3, rng_out_GB_Medispan, K$1, rng_out_sel_G_ind, P$1, rng_out_mail_ind, $B334, rng_out_sel_sp_ind, $D334, rng_out_sel_excl_ind,"N", rng_out_post_reb_ind_yr3, 0)/[1]Tables!$AT$4, 0))</f>
        <v>0</v>
      </c>
      <c r="AT334" s="5" cm="1">
        <f t="array" aca="1" ref="AT334" ca="1">IF($E$327="N", IFERROR(IF(OR(input_Shift="No", [1]Tables!$BN$4=1), 0, (SUMIFS(rng_out_awp_post_yr4,rng_out_sel_excl_yr_ind, "", rng_out_GB_Medispan, Q$1,rng_out_sel_G_ind,L$1,rng_out_mail_ind,$B334,rng_out_sel_sp_ind,$D334,rng_out_sel_excl_ind,$E334, rng_out_MSB_excl, $F334)+
SUMIFS(rng_out_awp_post_yr4,rng_out_sel_excl_yr_ind, [1]Tables!$HN$4, rng_out_GB_Medispan, Q$1,rng_out_sel_G_ind,L$1,rng_out_mail_ind,$B334,rng_out_sel_sp_ind,$D334,rng_out_sel_excl_ind,$E334, rng_out_MSB_excl, $F334)* _xlfn.XLOOKUP([1]Tables!$HN$4,'[1]RA Output'!$AY$4:$AY$5,'[1]RA Output'!BC$4:BC$5,0)  +
SUMIFS(rng_out_awp_post_yr4,rng_out_sel_excl_yr_ind, [1]Tables!$HN$5, rng_out_GB_Medispan, Q$1,rng_out_sel_G_ind,L$1,rng_out_mail_ind,$B334,rng_out_sel_sp_ind,$D334,rng_out_sel_excl_ind,$E334, rng_out_MSB_excl, $F334)* _xlfn.XLOOKUP([1]Tables!$HN$5,'[1]RA Output'!$AY$4:$AY$5,'[1]RA Output'!BC$4:BC$5,0)) * ((1-[1]Tables!$BN$4)/[1]Tables!$BN$4) * [1]Tables!$BN$5)/[1]Tables!$AT$4, 0) +
IFERROR((SUMIFS(rng_out_awp_post_yr4,rng_out_sel_excl_yr_ind, "", rng_out_GB_Medispan, L$1,rng_out_sel_G_ind,Q$1,rng_out_mail_ind,$B334,rng_out_sel_sp_ind,$D334,rng_out_sel_excl_ind,$E334)+
SUMIFS(rng_out_awp_post_yr4,rng_out_sel_excl_yr_ind, [1]Tables!$HN$4, rng_out_GB_Medispan, L$1,rng_out_sel_G_ind,Q$1,rng_out_mail_ind,$B334,rng_out_sel_sp_ind,$D334,rng_out_sel_excl_ind,$E334)* _xlfn.XLOOKUP([1]Tables!$HN$4,'[1]RA Output'!$AY$4:$AY$5,'[1]RA Output'!BC$4:BC$5,0)  +
SUMIFS(rng_out_awp_post_yr4,rng_out_sel_excl_yr_ind, [1]Tables!$HN$5, rng_out_GB_Medispan, L$1,rng_out_sel_G_ind,Q$1,rng_out_mail_ind,$B334,rng_out_sel_sp_ind,$D334,rng_out_sel_excl_ind,$E334)* _xlfn.XLOOKUP([1]Tables!$HN$5,'[1]RA Output'!$AY$4:$AY$5,'[1]RA Output'!BC$4:BC$5,0))/[1]Tables!$AT$4, 0),
IFERROR(IF(OR(input_Shift="No", [1]Tables!$BN$4=1), 0, (SUMIFS(rng_out_awp_post_yr4,rng_out_sel_excl_yr_ind, "", rng_out_GB_Medispan, Q$1,rng_out_sel_G_ind,L$1,rng_out_mail_ind,$B334,rng_out_sel_sp_ind,$D334,rng_out_sel_excl_ind,$E334, rng_out_MSB_excl, $F334)+
SUMIFS(rng_out_awp_post_yr4,rng_out_sel_excl_yr_ind, [1]Tables!$HN$4, rng_out_GB_Medispan, Q$1,rng_out_sel_G_ind,L$1,rng_out_mail_ind,$B334,rng_out_sel_sp_ind,$D334,rng_out_sel_excl_ind,$E334, rng_out_MSB_excl, $F334)* _xlfn.XLOOKUP([1]Tables!$HN$4,'[1]RA Output'!$AY$4:$AY$5,'[1]RA Output'!BC$4:BC$5,0)  +
SUMIFS(rng_out_awp_post_yr4,rng_out_sel_excl_yr_ind, [1]Tables!$HN$5, rng_out_GB_Medispan, Q$1,rng_out_sel_G_ind,L$1,rng_out_mail_ind,$B334,rng_out_sel_sp_ind,$D334,rng_out_sel_excl_ind,$E334, rng_out_MSB_excl, $F334)* _xlfn.XLOOKUP([1]Tables!$HN$5,'[1]RA Output'!$AY$4:$AY$5,'[1]RA Output'!BC$4:BC$5,0)+
SUMIFS(rng_out_awp_post_yr4, rng_out_mail_ind, $B334, rng_out_GB_Medispan, L$1, rng_out_sel_G_ind, Q$1, rng_out_sel_sp_ind, $D334, rng_out_sel_excl_ind,"N", rng_out_MSB_excl, $F334, rng_out_post_reb_ind_yr4, 0)) * ((1-[1]Tables!$BN$4)/[1]Tables!$BN$4) * [1]Tables!$BN$5)/[1]Tables!$AT$4, 0) +
IFERROR(SUMIFS(rng_out_awp_post_yr4,rng_out_sel_excl_yr_ind, "", rng_out_GB_Medispan, L$1,rng_out_sel_G_ind,Q$1,rng_out_mail_ind,$B334,rng_out_sel_sp_ind,$D334,rng_out_sel_excl_ind,$E334)+
SUMIFS(rng_out_awp_post_yr4,rng_out_sel_excl_yr_ind, [1]Tables!$HN$4, rng_out_GB_Medispan, L$1,rng_out_sel_G_ind,Q$1,rng_out_mail_ind,$B334,rng_out_sel_sp_ind,$D334,rng_out_sel_excl_ind,$E334)* _xlfn.XLOOKUP([1]Tables!$HN$4,'[1]RA Output'!$AY$4:$AY$5,'[1]RA Output'!BC$4:BC$5,0)  +
SUMIFS(rng_out_awp_post_yr4,rng_out_sel_excl_yr_ind, [1]Tables!$HN$5, rng_out_GB_Medispan, L$1,rng_out_sel_G_ind,Q$1,rng_out_mail_ind,$B334,rng_out_sel_sp_ind,$D334,rng_out_sel_excl_ind,$E334)* _xlfn.XLOOKUP([1]Tables!$HN$5,'[1]RA Output'!$AY$4:$AY$5,'[1]RA Output'!BC$4:BC$5,0) + SUMIFS(rng_out_awp_post_yr4, rng_out_GB_Medispan, L$1, rng_out_sel_G_ind, Q$1, rng_out_mail_ind, $B334, rng_out_sel_sp_ind, $D334, rng_out_sel_excl_ind,"N", rng_out_post_reb_ind_yr4, 0)/[1]Tables!$AT$4, 0))</f>
        <v>0</v>
      </c>
      <c r="AU334" s="85" cm="1">
        <f t="array" aca="1" ref="AU334" ca="1">IF($E$327="N", IFERROR(IF(OR(input_Shift="No", [1]Tables!$BN$4=1), 0, (SUMIFS(rng_out_awp_post_yr5,rng_out_sel_excl_yr_ind, "", rng_out_GB_Medispan, R$1,rng_out_sel_G_ind,M$1,rng_out_mail_ind,$B334,rng_out_sel_sp_ind,$D334,rng_out_sel_excl_ind,$E334, rng_out_MSB_excl, $F334)+
SUMIFS(rng_out_awp_post_yr5,rng_out_sel_excl_yr_ind, [1]Tables!$HN$4, rng_out_GB_Medispan, R$1,rng_out_sel_G_ind,M$1,rng_out_mail_ind,$B334,rng_out_sel_sp_ind,$D334,rng_out_sel_excl_ind,$E334, rng_out_MSB_excl, $F334)* _xlfn.XLOOKUP([1]Tables!$HN$4,'[1]RA Output'!$AY$4:$AY$5,'[1]RA Output'!BD$4:BD$5,0)  +
SUMIFS(rng_out_awp_post_yr5,rng_out_sel_excl_yr_ind, [1]Tables!$HN$5, rng_out_GB_Medispan, R$1,rng_out_sel_G_ind,M$1,rng_out_mail_ind,$B334,rng_out_sel_sp_ind,$D334,rng_out_sel_excl_ind,$E334, rng_out_MSB_excl, $F334)* _xlfn.XLOOKUP([1]Tables!$HN$5,'[1]RA Output'!$AY$4:$AY$5,'[1]RA Output'!BD$4:BD$5,0)) * ((1-[1]Tables!$BN$4)/[1]Tables!$BN$4) * [1]Tables!$BN$5)/[1]Tables!$AT$4, 0) +
IFERROR((SUMIFS(rng_out_awp_post_yr5,rng_out_sel_excl_yr_ind, "", rng_out_GB_Medispan, M$1,rng_out_sel_G_ind,R$1,rng_out_mail_ind,$B334,rng_out_sel_sp_ind,$D334,rng_out_sel_excl_ind,$E334)+
SUMIFS(rng_out_awp_post_yr5,rng_out_sel_excl_yr_ind, [1]Tables!$HN$4, rng_out_GB_Medispan, M$1,rng_out_sel_G_ind,R$1,rng_out_mail_ind,$B334,rng_out_sel_sp_ind,$D334,rng_out_sel_excl_ind,$E334)* _xlfn.XLOOKUP([1]Tables!$HN$4,'[1]RA Output'!$AY$4:$AY$5,'[1]RA Output'!BD$4:BD$5,0)  +
SUMIFS(rng_out_awp_post_yr5,rng_out_sel_excl_yr_ind, [1]Tables!$HN$5, rng_out_GB_Medispan, M$1,rng_out_sel_G_ind,R$1,rng_out_mail_ind,$B334,rng_out_sel_sp_ind,$D334,rng_out_sel_excl_ind,$E334)* _xlfn.XLOOKUP([1]Tables!$HN$5,'[1]RA Output'!$AY$4:$AY$5,'[1]RA Output'!BD$4:BD$5,0))/[1]Tables!$AT$4, 0),
IFERROR(IF(OR(input_Shift="No", [1]Tables!$BN$4=1), 0, (SUMIFS(rng_out_awp_post_yr5,rng_out_sel_excl_yr_ind, "", rng_out_GB_Medispan, R$1,rng_out_sel_G_ind,M$1,rng_out_mail_ind,$B334,rng_out_sel_sp_ind,$D334,rng_out_sel_excl_ind,$E334, rng_out_MSB_excl, $F334)+
SUMIFS(rng_out_awp_post_yr5,rng_out_sel_excl_yr_ind, [1]Tables!$HN$4, rng_out_GB_Medispan, R$1,rng_out_sel_G_ind,M$1,rng_out_mail_ind,$B334,rng_out_sel_sp_ind,$D334,rng_out_sel_excl_ind,$E334, rng_out_MSB_excl, $F334)* _xlfn.XLOOKUP([1]Tables!$HN$4,'[1]RA Output'!$AY$4:$AY$5,'[1]RA Output'!BD$4:BD$5,0)  +
SUMIFS(rng_out_awp_post_yr5,rng_out_sel_excl_yr_ind, [1]Tables!$HN$5, rng_out_GB_Medispan, R$1,rng_out_sel_G_ind,M$1,rng_out_mail_ind,$B334,rng_out_sel_sp_ind,$D334,rng_out_sel_excl_ind,$E334, rng_out_MSB_excl, $F334)* _xlfn.XLOOKUP([1]Tables!$HN$5,'[1]RA Output'!$AY$4:$AY$5,'[1]RA Output'!BD$4:BD$5,0)+
SUMIFS(rng_out_awp_post_yr5, rng_out_mail_ind, $B334, rng_out_GB_Medispan, M$1, rng_out_sel_G_ind, R$1, rng_out_sel_sp_ind, $D334, rng_out_sel_excl_ind,"N", rng_out_MSB_excl, $F334, rng_out_post_reb_ind_yr5, 0)) * ((1-[1]Tables!$BN$4)/[1]Tables!$BN$4) * [1]Tables!$BN$5)/[1]Tables!$AT$4, 0) +
IFERROR(SUMIFS(rng_out_awp_post_yr5,rng_out_sel_excl_yr_ind, "", rng_out_GB_Medispan, M$1,rng_out_sel_G_ind,R$1,rng_out_mail_ind,$B334,rng_out_sel_sp_ind,$D334,rng_out_sel_excl_ind,$E334)+
SUMIFS(rng_out_awp_post_yr5,rng_out_sel_excl_yr_ind, [1]Tables!$HN$4, rng_out_GB_Medispan, M$1,rng_out_sel_G_ind,R$1,rng_out_mail_ind,$B334,rng_out_sel_sp_ind,$D334,rng_out_sel_excl_ind,$E334)* _xlfn.XLOOKUP([1]Tables!$HN$4,'[1]RA Output'!$AY$4:$AY$5,'[1]RA Output'!BD$4:BD$5,0)  +
SUMIFS(rng_out_awp_post_yr5,rng_out_sel_excl_yr_ind, [1]Tables!$HN$5, rng_out_GB_Medispan, M$1,rng_out_sel_G_ind,R$1,rng_out_mail_ind,$B334,rng_out_sel_sp_ind,$D334,rng_out_sel_excl_ind,$E334)* _xlfn.XLOOKUP([1]Tables!$HN$5,'[1]RA Output'!$AY$4:$AY$5,'[1]RA Output'!BD$4:BD$5,0) + SUMIFS(rng_out_awp_post_yr5, rng_out_GB_Medispan, M$1, rng_out_sel_G_ind, R$1, rng_out_mail_ind, $B334, rng_out_sel_sp_ind, $D334, rng_out_sel_excl_ind,"N", rng_out_post_reb_ind_yr5, 0)/[1]Tables!$AT$4, 0))</f>
        <v>0</v>
      </c>
      <c r="AV334" s="86">
        <f t="shared" ca="1" si="357"/>
        <v>0</v>
      </c>
      <c r="AW334" s="75">
        <f t="shared" ca="1" si="357"/>
        <v>0</v>
      </c>
      <c r="AX334" s="75">
        <f t="shared" ca="1" si="357"/>
        <v>0</v>
      </c>
      <c r="AY334" s="75">
        <f t="shared" ca="1" si="357"/>
        <v>0</v>
      </c>
      <c r="AZ334" s="87">
        <f t="shared" ca="1" si="357"/>
        <v>0</v>
      </c>
      <c r="BG334" s="121" t="s">
        <v>7</v>
      </c>
      <c r="BH334" s="97">
        <f t="shared" ca="1" si="358"/>
        <v>0</v>
      </c>
      <c r="BI334" s="79">
        <f t="shared" ca="1" si="358"/>
        <v>0</v>
      </c>
      <c r="BJ334" s="79">
        <f t="shared" ca="1" si="358"/>
        <v>0</v>
      </c>
      <c r="BK334" s="79">
        <f t="shared" ca="1" si="358"/>
        <v>0</v>
      </c>
      <c r="BL334" s="98">
        <f t="shared" ca="1" si="358"/>
        <v>0</v>
      </c>
      <c r="BM334" s="92">
        <f t="shared" ca="1" si="359"/>
        <v>0</v>
      </c>
      <c r="BN334" s="75">
        <f t="shared" ca="1" si="359"/>
        <v>0</v>
      </c>
      <c r="BO334" s="75">
        <f t="shared" ca="1" si="359"/>
        <v>0</v>
      </c>
      <c r="BP334" s="75">
        <f t="shared" ca="1" si="359"/>
        <v>0</v>
      </c>
      <c r="BQ334" s="93">
        <f t="shared" ca="1" si="359"/>
        <v>0</v>
      </c>
      <c r="BX334" s="121" t="s">
        <v>7</v>
      </c>
      <c r="BY334" s="97">
        <f t="shared" ca="1" si="360"/>
        <v>0</v>
      </c>
      <c r="BZ334" s="79">
        <f t="shared" ca="1" si="360"/>
        <v>0</v>
      </c>
      <c r="CA334" s="79">
        <f t="shared" ca="1" si="360"/>
        <v>0</v>
      </c>
      <c r="CB334" s="79">
        <f t="shared" ca="1" si="360"/>
        <v>0</v>
      </c>
      <c r="CC334" s="98">
        <f t="shared" ca="1" si="360"/>
        <v>0</v>
      </c>
      <c r="CD334" s="92">
        <f t="shared" ca="1" si="361"/>
        <v>0</v>
      </c>
      <c r="CE334" s="75">
        <f t="shared" ca="1" si="361"/>
        <v>0</v>
      </c>
      <c r="CF334" s="75">
        <f t="shared" ca="1" si="361"/>
        <v>0</v>
      </c>
      <c r="CG334" s="75">
        <f t="shared" ca="1" si="361"/>
        <v>0</v>
      </c>
      <c r="CH334" s="93">
        <f t="shared" ca="1" si="361"/>
        <v>0</v>
      </c>
      <c r="CO334" s="213" cm="1">
        <f t="array" aca="1" ref="CO334" ca="1">_xlfn.SINGLE(IFERROR(SUMIFS(rng_out_awp_base, rng_out_GB_Medispan, "G", rng_out_sel_G_ind, "B", rng_out_mail_ind, $B334, rng_out_sel_sp_ind, $D334, rng_out_sel_excl_ind,$E334)/[1]Tables!$AT$4, 0))</f>
        <v>0</v>
      </c>
      <c r="CP334" s="214" cm="1">
        <f t="array" aca="1" ref="CP334" ca="1">_xlfn.SINGLE(IFERROR(SUMIFS(rng_out_awp_base, rng_out_GB_Medispan, "B", rng_out_sel_G_ind, "G", rng_out_mail_ind, $B334, rng_out_sel_sp_ind, $D334, rng_out_sel_excl_ind,$E334)/[1]Tables!$AT$4, 0))</f>
        <v>0</v>
      </c>
      <c r="CQ334" s="220">
        <f ca="1">SUM(CO334:CP334)</f>
        <v>0</v>
      </c>
      <c r="CR334" s="92">
        <f t="shared" ca="1" si="362"/>
        <v>0</v>
      </c>
      <c r="CS334" s="93">
        <f t="shared" ca="1" si="362"/>
        <v>0</v>
      </c>
      <c r="CT334" s="358">
        <f t="shared" ca="1" si="362"/>
        <v>0</v>
      </c>
    </row>
    <row r="335" spans="2:98" ht="15" thickBot="1" x14ac:dyDescent="0.4">
      <c r="B335" s="122"/>
      <c r="C335" s="123"/>
      <c r="D335" s="123" t="s">
        <v>13</v>
      </c>
      <c r="E335" s="124" t="s">
        <v>13</v>
      </c>
      <c r="F335" s="106">
        <v>1</v>
      </c>
      <c r="H335" s="118" t="s">
        <v>17</v>
      </c>
      <c r="I335" s="72" t="e" cm="1">
        <f t="array" aca="1" ref="I335" ca="1">SUMIFS(rng_out_awp_pre_yr1,rng_out_sel_excl_yr_ind, "", rng_out_GB_Medispan, I$1,rng_out_sel_G_ind,N$1,rng_out_sel_sp_ind,$D335,rng_out_sel_excl_ind,$E335)+
SUMIFS(rng_out_awp_pre_yr1,rng_out_sel_excl_yr_ind, [1]Tables!$HN$4, rng_out_GB_Medispan, I$1,rng_out_sel_G_ind,N$1,rng_out_sel_sp_ind,$D335,rng_out_sel_excl_ind,$E335)* _xlfn.XLOOKUP([1]Tables!$HN$4,'[1]RA Output'!$AY$4:$AY$5,'[1]RA Output'!AZ$4:AZ$5,0)  +
SUMIFS(rng_out_awp_pre_yr1,rng_out_sel_excl_yr_ind, [1]Tables!$HN$5, rng_out_GB_Medispan, I$1,rng_out_sel_G_ind,N$1,rng_out_sel_sp_ind,$D335,rng_out_sel_excl_ind,$E335)* _xlfn.XLOOKUP([1]Tables!$HN$5,'[1]RA Output'!$AY$4:$AY$5,'[1]RA Output'!AZ$4:AZ$5,0)+
IF($E$336="N", 0,
SUMIFS(rng_out_awp_pre_yr1, rng_out_GB_Medispan, I$1, rng_out_sel_G_ind, N$1, rng_out_sel_sp_ind, $D335, rng_out_sel_excl_ind,"N", rng_out_post_reb_ind_yr1, 0))</f>
        <v>#VALUE!</v>
      </c>
      <c r="J335" s="5" t="e" cm="1">
        <f t="array" aca="1" ref="J335" ca="1">SUMIFS(rng_out_awp_pre_yr2,rng_out_sel_excl_yr_ind, "", rng_out_GB_Medispan, J$1,rng_out_sel_G_ind,O$1,rng_out_sel_sp_ind,$D335,rng_out_sel_excl_ind,$E335)+
SUMIFS(rng_out_awp_pre_yr2,rng_out_sel_excl_yr_ind, [1]Tables!$HN$4, rng_out_GB_Medispan, J$1,rng_out_sel_G_ind,O$1,rng_out_sel_sp_ind,$D335,rng_out_sel_excl_ind,$E335)* _xlfn.XLOOKUP([1]Tables!$HN$4,'[1]RA Output'!$AY$4:$AY$5,'[1]RA Output'!BA$4:BA$5,0)  +
SUMIFS(rng_out_awp_pre_yr2,rng_out_sel_excl_yr_ind, [1]Tables!$HN$5, rng_out_GB_Medispan, J$1,rng_out_sel_G_ind,O$1,rng_out_sel_sp_ind,$D335,rng_out_sel_excl_ind,$E335)* _xlfn.XLOOKUP([1]Tables!$HN$5,'[1]RA Output'!$AY$4:$AY$5,'[1]RA Output'!BA$4:BA$5,0)+
IF($E$336="N", 0,
SUMIFS(rng_out_awp_pre_yr2, rng_out_GB_Medispan, J$1, rng_out_sel_G_ind, O$1, rng_out_sel_sp_ind, $D335, rng_out_sel_excl_ind,"N", rng_out_post_reb_ind_yr2, 0))</f>
        <v>#VALUE!</v>
      </c>
      <c r="K335" s="5" t="e" cm="1">
        <f t="array" aca="1" ref="K335" ca="1">SUMIFS(rng_out_awp_pre_yr3,rng_out_sel_excl_yr_ind, "", rng_out_GB_Medispan, K$1,rng_out_sel_G_ind,P$1,rng_out_sel_sp_ind,$D335,rng_out_sel_excl_ind,$E335)+
SUMIFS(rng_out_awp_pre_yr3,rng_out_sel_excl_yr_ind, [1]Tables!$HN$4, rng_out_GB_Medispan, K$1,rng_out_sel_G_ind,P$1,rng_out_sel_sp_ind,$D335,rng_out_sel_excl_ind,$E335)* _xlfn.XLOOKUP([1]Tables!$HN$4,'[1]RA Output'!$AY$4:$AY$5,'[1]RA Output'!BB$4:BB$5,0)  +
SUMIFS(rng_out_awp_pre_yr3,rng_out_sel_excl_yr_ind, [1]Tables!$HN$5, rng_out_GB_Medispan, K$1,rng_out_sel_G_ind,P$1,rng_out_sel_sp_ind,$D335,rng_out_sel_excl_ind,$E335)* _xlfn.XLOOKUP([1]Tables!$HN$5,'[1]RA Output'!$AY$4:$AY$5,'[1]RA Output'!BB$4:BB$5,0)+
IF($E$336="N", 0,
SUMIFS(rng_out_awp_pre_yr3, rng_out_GB_Medispan, K$1, rng_out_sel_G_ind, P$1, rng_out_sel_sp_ind, $D335, rng_out_sel_excl_ind,"N", rng_out_post_reb_ind_yr3, 0))</f>
        <v>#VALUE!</v>
      </c>
      <c r="L335" s="5" t="e" cm="1">
        <f t="array" aca="1" ref="L335" ca="1">SUMIFS(rng_out_awp_pre_yr4,rng_out_sel_excl_yr_ind, "", rng_out_GB_Medispan, L$1,rng_out_sel_G_ind,Q$1,rng_out_sel_sp_ind,$D335,rng_out_sel_excl_ind,$E335)+
SUMIFS(rng_out_awp_pre_yr4,rng_out_sel_excl_yr_ind, [1]Tables!$HN$4, rng_out_GB_Medispan, L$1,rng_out_sel_G_ind,Q$1,rng_out_sel_sp_ind,$D335,rng_out_sel_excl_ind,$E335)* _xlfn.XLOOKUP([1]Tables!$HN$4,'[1]RA Output'!$AY$4:$AY$5,'[1]RA Output'!BC$4:BC$5,0)  +
SUMIFS(rng_out_awp_pre_yr4,rng_out_sel_excl_yr_ind, [1]Tables!$HN$5, rng_out_GB_Medispan, L$1,rng_out_sel_G_ind,Q$1,rng_out_sel_sp_ind,$D335,rng_out_sel_excl_ind,$E335)* _xlfn.XLOOKUP([1]Tables!$HN$5,'[1]RA Output'!$AY$4:$AY$5,'[1]RA Output'!BC$4:BC$5,0)+
IF($E$336="N", 0,
SUMIFS(rng_out_awp_pre_yr4, rng_out_GB_Medispan, L$1, rng_out_sel_G_ind, Q$1, rng_out_sel_sp_ind, $D335, rng_out_sel_excl_ind,"N", rng_out_post_reb_ind_yr4, 0))</f>
        <v>#VALUE!</v>
      </c>
      <c r="M335" s="125" t="e" cm="1">
        <f t="array" aca="1" ref="M335" ca="1">SUMIFS(rng_out_awp_pre_yr5,rng_out_sel_excl_yr_ind, "", rng_out_GB_Medispan, M$1,rng_out_sel_G_ind,R$1,rng_out_sel_sp_ind,$D335,rng_out_sel_excl_ind,$E335)+
SUMIFS(rng_out_awp_pre_yr5,rng_out_sel_excl_yr_ind, [1]Tables!$HN$4, rng_out_GB_Medispan, M$1,rng_out_sel_G_ind,R$1,rng_out_sel_sp_ind,$D335,rng_out_sel_excl_ind,$E335)* _xlfn.XLOOKUP([1]Tables!$HN$4,'[1]RA Output'!$AY$4:$AY$5,'[1]RA Output'!BD$4:BD$5,0)  +
SUMIFS(rng_out_awp_pre_yr5,rng_out_sel_excl_yr_ind, [1]Tables!$HN$5, rng_out_GB_Medispan, M$1,rng_out_sel_G_ind,R$1,rng_out_sel_sp_ind,$D335,rng_out_sel_excl_ind,$E335)* _xlfn.XLOOKUP([1]Tables!$HN$5,'[1]RA Output'!$AY$4:$AY$5,'[1]RA Output'!BD$4:BD$5,0)+
IF($E$336="N", 0,
SUMIFS(rng_out_awp_pre_yr5, rng_out_GB_Medispan, M$1, rng_out_sel_G_ind, R$1, rng_out_sel_sp_ind, $D335, rng_out_sel_excl_ind,"N", rng_out_post_reb_ind_yr5, 0))</f>
        <v>#VALUE!</v>
      </c>
      <c r="N335" s="74">
        <f t="shared" ca="1" si="355"/>
        <v>0</v>
      </c>
      <c r="O335" s="75">
        <f t="shared" ca="1" si="355"/>
        <v>0</v>
      </c>
      <c r="P335" s="75">
        <f t="shared" ca="1" si="355"/>
        <v>0</v>
      </c>
      <c r="Q335" s="75">
        <f t="shared" ca="1" si="355"/>
        <v>0</v>
      </c>
      <c r="R335" s="126">
        <f t="shared" ca="1" si="355"/>
        <v>0</v>
      </c>
      <c r="Y335" s="119" t="s">
        <v>17</v>
      </c>
      <c r="Z335" s="127">
        <f ca="1">IFERROR(I335/[1]Tables!$AT$4, 0)</f>
        <v>0</v>
      </c>
      <c r="AA335" s="128">
        <f ca="1">IFERROR(J335/[1]Tables!$AT$4, 0)</f>
        <v>0</v>
      </c>
      <c r="AB335" s="128">
        <f ca="1">IFERROR(K335/[1]Tables!$AT$4, 0)</f>
        <v>0</v>
      </c>
      <c r="AC335" s="128">
        <f ca="1">IFERROR(L335/[1]Tables!$AT$4, 0)</f>
        <v>0</v>
      </c>
      <c r="AD335" s="129">
        <f ca="1">IFERROR(M335/[1]Tables!$AT$4, 0)</f>
        <v>0</v>
      </c>
      <c r="AE335" s="130">
        <f t="shared" ca="1" si="356"/>
        <v>0</v>
      </c>
      <c r="AF335" s="131">
        <f t="shared" ca="1" si="356"/>
        <v>0</v>
      </c>
      <c r="AG335" s="131">
        <f t="shared" ca="1" si="356"/>
        <v>0</v>
      </c>
      <c r="AH335" s="131">
        <f t="shared" ca="1" si="356"/>
        <v>0</v>
      </c>
      <c r="AI335" s="132">
        <f t="shared" ca="1" si="356"/>
        <v>0</v>
      </c>
      <c r="AP335" s="120" t="s">
        <v>17</v>
      </c>
      <c r="AQ335" s="167" cm="1">
        <f t="array" aca="1" ref="AQ335" ca="1">IF($E$327="N", IFERROR(IF(OR(input_Shift="No", [1]Tables!$BN$4=1), 0, (SUMIFS(rng_out_awp_post_yr1,rng_out_sel_excl_yr_ind, "", rng_out_GB_Medispan, N$1,rng_out_sel_G_ind,I$1,rng_out_sel_sp_ind,$D335,rng_out_sel_excl_ind,$E335, rng_out_MSB_excl, $F335)+
SUMIFS(rng_out_awp_post_yr1,rng_out_sel_excl_yr_ind, [1]Tables!$HN$4, rng_out_GB_Medispan, N$1,rng_out_sel_G_ind,I$1,rng_out_sel_sp_ind,$D335,rng_out_sel_excl_ind,$E335, rng_out_MSB_excl, $F335)* _xlfn.XLOOKUP([1]Tables!$HN$4,'[1]RA Output'!$AY$4:$AY$5,'[1]RA Output'!AZ$4:AZ$5,0)  +
SUMIFS(rng_out_awp_post_yr1,rng_out_sel_excl_yr_ind, [1]Tables!$HN$5, rng_out_GB_Medispan, N$1,rng_out_sel_G_ind,I$1,rng_out_sel_sp_ind,$D335,rng_out_sel_excl_ind,$E335, rng_out_MSB_excl, $F335)* _xlfn.XLOOKUP([1]Tables!$HN$5,'[1]RA Output'!$AY$4:$AY$5,'[1]RA Output'!AZ$4:AZ$5,0)) * ((1-[1]Tables!$BN$4)/[1]Tables!$BN$4) * [1]Tables!$BN$5)/[1]Tables!$AT$4, 0) +
IFERROR((SUMIFS(rng_out_awp_post_yr1,rng_out_sel_excl_yr_ind, "", rng_out_GB_Medispan, I$1,rng_out_sel_G_ind,N$1,rng_out_sel_sp_ind,$D335,rng_out_sel_excl_ind,$E335)+
SUMIFS(rng_out_awp_post_yr1,rng_out_sel_excl_yr_ind, [1]Tables!$HN$4, rng_out_GB_Medispan, I$1,rng_out_sel_G_ind,N$1,rng_out_sel_sp_ind,$D335,rng_out_sel_excl_ind,$E335)* _xlfn.XLOOKUP([1]Tables!$HN$4,'[1]RA Output'!$AY$4:$AY$5,'[1]RA Output'!AZ$4:AZ$5,0)  +
SUMIFS(rng_out_awp_post_yr1,rng_out_sel_excl_yr_ind, [1]Tables!$HN$5, rng_out_GB_Medispan, I$1,rng_out_sel_G_ind,N$1,rng_out_sel_sp_ind,$D335,rng_out_sel_excl_ind,$E335)* _xlfn.XLOOKUP([1]Tables!$HN$5,'[1]RA Output'!$AY$4:$AY$5,'[1]RA Output'!AZ$4:AZ$5,0))/[1]Tables!$AT$4, 0),
IFERROR(IF(OR(input_Shift="No", [1]Tables!$BN$4=1), 0, (SUMIFS(rng_out_awp_post_yr1,rng_out_sel_excl_yr_ind, "", rng_out_GB_Medispan, N$1,rng_out_sel_G_ind,I$1,rng_out_sel_sp_ind,$D335,rng_out_sel_excl_ind,$E335, rng_out_MSB_excl, $F335)+
SUMIFS(rng_out_awp_post_yr1,rng_out_sel_excl_yr_ind, [1]Tables!$HN$4, rng_out_GB_Medispan, N$1,rng_out_sel_G_ind,I$1,rng_out_sel_sp_ind,$D335,rng_out_sel_excl_ind,$E335, rng_out_MSB_excl, $F335)* _xlfn.XLOOKUP([1]Tables!$HN$4,'[1]RA Output'!$AY$4:$AY$5,'[1]RA Output'!AZ$4:AZ$5,0)  +
SUMIFS(rng_out_awp_post_yr1,rng_out_sel_excl_yr_ind, [1]Tables!$HN$5, rng_out_GB_Medispan, N$1,rng_out_sel_G_ind,I$1,rng_out_sel_sp_ind,$D335,rng_out_sel_excl_ind,$E335, rng_out_MSB_excl, $F335)* _xlfn.XLOOKUP([1]Tables!$HN$5,'[1]RA Output'!$AY$4:$AY$5,'[1]RA Output'!AZ$4:AZ$5,0)+
SUMIFS(rng_out_awp_post_yr1, rng_out_GB_Medispan, I$1, rng_out_sel_G_ind, N$1, rng_out_sel_sp_ind, $D335, rng_out_sel_excl_ind,"N", rng_out_MSB_excl, $F335, rng_out_post_reb_ind_yr1, 0)) * ((1-[1]Tables!$BN$4)/[1]Tables!$BN$4) * [1]Tables!$BN$5)/[1]Tables!$AT$4, 0) +
IFERROR(SUMIFS(rng_out_awp_post_yr1,rng_out_sel_excl_yr_ind, "", rng_out_GB_Medispan, I$1,rng_out_sel_G_ind,N$1,rng_out_sel_sp_ind,$D335,rng_out_sel_excl_ind,$E335)+
SUMIFS(rng_out_awp_post_yr1,rng_out_sel_excl_yr_ind, [1]Tables!$HN$4, rng_out_GB_Medispan, I$1,rng_out_sel_G_ind,N$1,rng_out_sel_sp_ind,$D335,rng_out_sel_excl_ind,$E335)* _xlfn.XLOOKUP([1]Tables!$HN$4,'[1]RA Output'!$AY$4:$AY$5,'[1]RA Output'!AZ$4:AZ$5,0)  +
SUMIFS(rng_out_awp_post_yr1,rng_out_sel_excl_yr_ind, [1]Tables!$HN$5, rng_out_GB_Medispan, I$1,rng_out_sel_G_ind,N$1,rng_out_sel_sp_ind,$D335,rng_out_sel_excl_ind,$E335)* _xlfn.XLOOKUP([1]Tables!$HN$5,'[1]RA Output'!$AY$4:$AY$5,'[1]RA Output'!AZ$4:AZ$5,0) + SUMIFS(rng_out_awp_post_yr1, rng_out_GB_Medispan, I$1, rng_out_sel_G_ind, N$1, rng_out_sel_sp_ind, $D335, rng_out_sel_excl_ind,"N", rng_out_post_reb_ind_yr1, 0)/[1]Tables!$AT$4, 0))</f>
        <v>0</v>
      </c>
      <c r="AR335" s="134" cm="1">
        <f t="array" aca="1" ref="AR335" ca="1">IF($E$327="N", IFERROR(IF(OR(input_Shift="No", [1]Tables!$BN$4=1), 0, (SUMIFS(rng_out_awp_post_yr2,rng_out_sel_excl_yr_ind, "", rng_out_GB_Medispan, O$1,rng_out_sel_G_ind,J$1,rng_out_sel_sp_ind,$D335,rng_out_sel_excl_ind,$E335, rng_out_MSB_excl, $F335)+
SUMIFS(rng_out_awp_post_yr2,rng_out_sel_excl_yr_ind, [1]Tables!$HN$4, rng_out_GB_Medispan, O$1,rng_out_sel_G_ind,J$1,rng_out_sel_sp_ind,$D335,rng_out_sel_excl_ind,$E335, rng_out_MSB_excl, $F335)* _xlfn.XLOOKUP([1]Tables!$HN$4,'[1]RA Output'!$AY$4:$AY$5,'[1]RA Output'!BA$4:BA$5,0)  +
SUMIFS(rng_out_awp_post_yr2,rng_out_sel_excl_yr_ind, [1]Tables!$HN$5, rng_out_GB_Medispan, O$1,rng_out_sel_G_ind,J$1,rng_out_sel_sp_ind,$D335,rng_out_sel_excl_ind,$E335, rng_out_MSB_excl, $F335)* _xlfn.XLOOKUP([1]Tables!$HN$5,'[1]RA Output'!$AY$4:$AY$5,'[1]RA Output'!BA$4:BA$5,0)) * ((1-[1]Tables!$BN$4)/[1]Tables!$BN$4) * [1]Tables!$BN$5)/[1]Tables!$AT$4, 0) +
IFERROR((SUMIFS(rng_out_awp_post_yr2,rng_out_sel_excl_yr_ind, "", rng_out_GB_Medispan, J$1,rng_out_sel_G_ind,O$1,rng_out_sel_sp_ind,$D335,rng_out_sel_excl_ind,$E335)+
SUMIFS(rng_out_awp_post_yr2,rng_out_sel_excl_yr_ind, [1]Tables!$HN$4, rng_out_GB_Medispan, J$1,rng_out_sel_G_ind,O$1,rng_out_sel_sp_ind,$D335,rng_out_sel_excl_ind,$E335)* _xlfn.XLOOKUP([1]Tables!$HN$4,'[1]RA Output'!$AY$4:$AY$5,'[1]RA Output'!BA$4:BA$5,0)  +
SUMIFS(rng_out_awp_post_yr2,rng_out_sel_excl_yr_ind, [1]Tables!$HN$5, rng_out_GB_Medispan, J$1,rng_out_sel_G_ind,O$1,rng_out_sel_sp_ind,$D335,rng_out_sel_excl_ind,$E335)* _xlfn.XLOOKUP([1]Tables!$HN$5,'[1]RA Output'!$AY$4:$AY$5,'[1]RA Output'!BA$4:BA$5,0))/[1]Tables!$AT$4, 0),
IFERROR(IF(OR(input_Shift="No", [1]Tables!$BN$4=1), 0, (SUMIFS(rng_out_awp_post_yr2,rng_out_sel_excl_yr_ind, "", rng_out_GB_Medispan, O$1,rng_out_sel_G_ind,J$1,rng_out_sel_sp_ind,$D335,rng_out_sel_excl_ind,$E335, rng_out_MSB_excl, $F335)+
SUMIFS(rng_out_awp_post_yr2,rng_out_sel_excl_yr_ind, [1]Tables!$HN$4, rng_out_GB_Medispan, O$1,rng_out_sel_G_ind,J$1,rng_out_sel_sp_ind,$D335,rng_out_sel_excl_ind,$E335, rng_out_MSB_excl, $F335)* _xlfn.XLOOKUP([1]Tables!$HN$4,'[1]RA Output'!$AY$4:$AY$5,'[1]RA Output'!BA$4:BA$5,0)  +
SUMIFS(rng_out_awp_post_yr2,rng_out_sel_excl_yr_ind, [1]Tables!$HN$5, rng_out_GB_Medispan, O$1,rng_out_sel_G_ind,J$1,rng_out_sel_sp_ind,$D335,rng_out_sel_excl_ind,$E335, rng_out_MSB_excl, $F335)* _xlfn.XLOOKUP([1]Tables!$HN$5,'[1]RA Output'!$AY$4:$AY$5,'[1]RA Output'!BA$4:BA$5,0)+
SUMIFS(rng_out_awp_post_yr2, rng_out_GB_Medispan, J$1, rng_out_sel_G_ind, O$1, rng_out_sel_sp_ind, $D335, rng_out_sel_excl_ind,"N", rng_out_MSB_excl, $F335, rng_out_post_reb_ind_yr2, 0)) * ((1-[1]Tables!$BN$4)/[1]Tables!$BN$4) * [1]Tables!$BN$5)/[1]Tables!$AT$4, 0) +
IFERROR(SUMIFS(rng_out_awp_post_yr2,rng_out_sel_excl_yr_ind, "", rng_out_GB_Medispan, J$1,rng_out_sel_G_ind,O$1,rng_out_sel_sp_ind,$D335,rng_out_sel_excl_ind,$E335)+
SUMIFS(rng_out_awp_post_yr2,rng_out_sel_excl_yr_ind, [1]Tables!$HN$4, rng_out_GB_Medispan, J$1,rng_out_sel_G_ind,O$1,rng_out_sel_sp_ind,$D335,rng_out_sel_excl_ind,$E335)* _xlfn.XLOOKUP([1]Tables!$HN$4,'[1]RA Output'!$AY$4:$AY$5,'[1]RA Output'!BA$4:BA$5,0)  +
SUMIFS(rng_out_awp_post_yr2,rng_out_sel_excl_yr_ind, [1]Tables!$HN$5, rng_out_GB_Medispan, J$1,rng_out_sel_G_ind,O$1,rng_out_sel_sp_ind,$D335,rng_out_sel_excl_ind,$E335)* _xlfn.XLOOKUP([1]Tables!$HN$5,'[1]RA Output'!$AY$4:$AY$5,'[1]RA Output'!BA$4:BA$5,0) + SUMIFS(rng_out_awp_post_yr2, rng_out_GB_Medispan, J$1, rng_out_sel_G_ind, O$1, rng_out_sel_sp_ind, $D335, rng_out_sel_excl_ind,"N", rng_out_post_reb_ind_yr2, 0)/[1]Tables!$AT$4, 0))</f>
        <v>0</v>
      </c>
      <c r="AS335" s="134" cm="1">
        <f t="array" aca="1" ref="AS335" ca="1">IF($E$327="N", IFERROR(IF(OR(input_Shift="No", [1]Tables!$BN$4=1), 0, (SUMIFS(rng_out_awp_post_yr3,rng_out_sel_excl_yr_ind, "", rng_out_GB_Medispan, P$1,rng_out_sel_G_ind,K$1,rng_out_sel_sp_ind,$D335,rng_out_sel_excl_ind,$E335, rng_out_MSB_excl, $F335)+
SUMIFS(rng_out_awp_post_yr3,rng_out_sel_excl_yr_ind, [1]Tables!$HN$4, rng_out_GB_Medispan, P$1,rng_out_sel_G_ind,K$1,rng_out_sel_sp_ind,$D335,rng_out_sel_excl_ind,$E335, rng_out_MSB_excl, $F335)* _xlfn.XLOOKUP([1]Tables!$HN$4,'[1]RA Output'!$AY$4:$AY$5,'[1]RA Output'!BB$4:BB$5,0)  +
SUMIFS(rng_out_awp_post_yr3,rng_out_sel_excl_yr_ind, [1]Tables!$HN$5, rng_out_GB_Medispan, P$1,rng_out_sel_G_ind,K$1,rng_out_sel_sp_ind,$D335,rng_out_sel_excl_ind,$E335, rng_out_MSB_excl, $F335)* _xlfn.XLOOKUP([1]Tables!$HN$5,'[1]RA Output'!$AY$4:$AY$5,'[1]RA Output'!BB$4:BB$5,0)) * ((1-[1]Tables!$BN$4)/[1]Tables!$BN$4) * [1]Tables!$BN$5)/[1]Tables!$AT$4, 0) +
IFERROR((SUMIFS(rng_out_awp_post_yr3,rng_out_sel_excl_yr_ind, "", rng_out_GB_Medispan, K$1,rng_out_sel_G_ind,P$1,rng_out_sel_sp_ind,$D335,rng_out_sel_excl_ind,$E335)+
SUMIFS(rng_out_awp_post_yr3,rng_out_sel_excl_yr_ind, [1]Tables!$HN$4, rng_out_GB_Medispan, K$1,rng_out_sel_G_ind,P$1,rng_out_sel_sp_ind,$D335,rng_out_sel_excl_ind,$E335)* _xlfn.XLOOKUP([1]Tables!$HN$4,'[1]RA Output'!$AY$4:$AY$5,'[1]RA Output'!BB$4:BB$5,0)  +
SUMIFS(rng_out_awp_post_yr3,rng_out_sel_excl_yr_ind, [1]Tables!$HN$5, rng_out_GB_Medispan, K$1,rng_out_sel_G_ind,P$1,rng_out_sel_sp_ind,$D335,rng_out_sel_excl_ind,$E335)* _xlfn.XLOOKUP([1]Tables!$HN$5,'[1]RA Output'!$AY$4:$AY$5,'[1]RA Output'!BB$4:BB$5,0))/[1]Tables!$AT$4, 0),
IFERROR(IF(OR(input_Shift="No", [1]Tables!$BN$4=1), 0, (SUMIFS(rng_out_awp_post_yr3,rng_out_sel_excl_yr_ind, "", rng_out_GB_Medispan, P$1,rng_out_sel_G_ind,K$1,rng_out_sel_sp_ind,$D335,rng_out_sel_excl_ind,$E335, rng_out_MSB_excl, $F335)+
SUMIFS(rng_out_awp_post_yr3,rng_out_sel_excl_yr_ind, [1]Tables!$HN$4, rng_out_GB_Medispan, P$1,rng_out_sel_G_ind,K$1,rng_out_sel_sp_ind,$D335,rng_out_sel_excl_ind,$E335, rng_out_MSB_excl, $F335)* _xlfn.XLOOKUP([1]Tables!$HN$4,'[1]RA Output'!$AY$4:$AY$5,'[1]RA Output'!BB$4:BB$5,0)  +
SUMIFS(rng_out_awp_post_yr3,rng_out_sel_excl_yr_ind, [1]Tables!$HN$5, rng_out_GB_Medispan, P$1,rng_out_sel_G_ind,K$1,rng_out_sel_sp_ind,$D335,rng_out_sel_excl_ind,$E335, rng_out_MSB_excl, $F335)* _xlfn.XLOOKUP([1]Tables!$HN$5,'[1]RA Output'!$AY$4:$AY$5,'[1]RA Output'!BB$4:BB$5,0)+
SUMIFS(rng_out_awp_post_yr3, rng_out_GB_Medispan, K$1, rng_out_sel_G_ind, P$1, rng_out_sel_sp_ind, $D335, rng_out_sel_excl_ind,"N", rng_out_MSB_excl, $F335, rng_out_post_reb_ind_yr3, 0)) * ((1-[1]Tables!$BN$4)/[1]Tables!$BN$4) * [1]Tables!$BN$5)/[1]Tables!$AT$4, 0) +
IFERROR(SUMIFS(rng_out_awp_post_yr3,rng_out_sel_excl_yr_ind, "", rng_out_GB_Medispan, K$1,rng_out_sel_G_ind,P$1,rng_out_sel_sp_ind,$D335,rng_out_sel_excl_ind,$E335)+
SUMIFS(rng_out_awp_post_yr3,rng_out_sel_excl_yr_ind, [1]Tables!$HN$4, rng_out_GB_Medispan, K$1,rng_out_sel_G_ind,P$1,rng_out_sel_sp_ind,$D335,rng_out_sel_excl_ind,$E335)* _xlfn.XLOOKUP([1]Tables!$HN$4,'[1]RA Output'!$AY$4:$AY$5,'[1]RA Output'!BB$4:BB$5,0)  +
SUMIFS(rng_out_awp_post_yr3,rng_out_sel_excl_yr_ind, [1]Tables!$HN$5, rng_out_GB_Medispan, K$1,rng_out_sel_G_ind,P$1,rng_out_sel_sp_ind,$D335,rng_out_sel_excl_ind,$E335)* _xlfn.XLOOKUP([1]Tables!$HN$5,'[1]RA Output'!$AY$4:$AY$5,'[1]RA Output'!BB$4:BB$5,0) + SUMIFS(rng_out_awp_post_yr3, rng_out_GB_Medispan, K$1, rng_out_sel_G_ind, P$1, rng_out_sel_sp_ind, $D335, rng_out_sel_excl_ind,"N", rng_out_post_reb_ind_yr3, 0)/[1]Tables!$AT$4, 0))</f>
        <v>0</v>
      </c>
      <c r="AT335" s="134" cm="1">
        <f t="array" aca="1" ref="AT335" ca="1">IF($E$327="N", IFERROR(IF(OR(input_Shift="No", [1]Tables!$BN$4=1), 0, (SUMIFS(rng_out_awp_post_yr4,rng_out_sel_excl_yr_ind, "", rng_out_GB_Medispan, Q$1,rng_out_sel_G_ind,L$1,rng_out_sel_sp_ind,$D335,rng_out_sel_excl_ind,$E335, rng_out_MSB_excl, $F335)+
SUMIFS(rng_out_awp_post_yr4,rng_out_sel_excl_yr_ind, [1]Tables!$HN$4, rng_out_GB_Medispan, Q$1,rng_out_sel_G_ind,L$1,rng_out_sel_sp_ind,$D335,rng_out_sel_excl_ind,$E335, rng_out_MSB_excl, $F335)* _xlfn.XLOOKUP([1]Tables!$HN$4,'[1]RA Output'!$AY$4:$AY$5,'[1]RA Output'!BC$4:BC$5,0)  +
SUMIFS(rng_out_awp_post_yr4,rng_out_sel_excl_yr_ind, [1]Tables!$HN$5, rng_out_GB_Medispan, Q$1,rng_out_sel_G_ind,L$1,rng_out_sel_sp_ind,$D335,rng_out_sel_excl_ind,$E335, rng_out_MSB_excl, $F335)* _xlfn.XLOOKUP([1]Tables!$HN$5,'[1]RA Output'!$AY$4:$AY$5,'[1]RA Output'!BC$4:BC$5,0)) * ((1-[1]Tables!$BN$4)/[1]Tables!$BN$4) * [1]Tables!$BN$5)/[1]Tables!$AT$4, 0) +
IFERROR((SUMIFS(rng_out_awp_post_yr4,rng_out_sel_excl_yr_ind, "", rng_out_GB_Medispan, L$1,rng_out_sel_G_ind,Q$1,rng_out_sel_sp_ind,$D335,rng_out_sel_excl_ind,$E335)+
SUMIFS(rng_out_awp_post_yr4,rng_out_sel_excl_yr_ind, [1]Tables!$HN$4, rng_out_GB_Medispan, L$1,rng_out_sel_G_ind,Q$1,rng_out_sel_sp_ind,$D335,rng_out_sel_excl_ind,$E335)* _xlfn.XLOOKUP([1]Tables!$HN$4,'[1]RA Output'!$AY$4:$AY$5,'[1]RA Output'!BC$4:BC$5,0)  +
SUMIFS(rng_out_awp_post_yr4,rng_out_sel_excl_yr_ind, [1]Tables!$HN$5, rng_out_GB_Medispan, L$1,rng_out_sel_G_ind,Q$1,rng_out_sel_sp_ind,$D335,rng_out_sel_excl_ind,$E335)* _xlfn.XLOOKUP([1]Tables!$HN$5,'[1]RA Output'!$AY$4:$AY$5,'[1]RA Output'!BC$4:BC$5,0))/[1]Tables!$AT$4, 0),
IFERROR(IF(OR(input_Shift="No", [1]Tables!$BN$4=1), 0, (SUMIFS(rng_out_awp_post_yr4,rng_out_sel_excl_yr_ind, "", rng_out_GB_Medispan, Q$1,rng_out_sel_G_ind,L$1,rng_out_sel_sp_ind,$D335,rng_out_sel_excl_ind,$E335, rng_out_MSB_excl, $F335)+
SUMIFS(rng_out_awp_post_yr4,rng_out_sel_excl_yr_ind, [1]Tables!$HN$4, rng_out_GB_Medispan, Q$1,rng_out_sel_G_ind,L$1,rng_out_sel_sp_ind,$D335,rng_out_sel_excl_ind,$E335, rng_out_MSB_excl, $F335)* _xlfn.XLOOKUP([1]Tables!$HN$4,'[1]RA Output'!$AY$4:$AY$5,'[1]RA Output'!BC$4:BC$5,0)  +
SUMIFS(rng_out_awp_post_yr4,rng_out_sel_excl_yr_ind, [1]Tables!$HN$5, rng_out_GB_Medispan, Q$1,rng_out_sel_G_ind,L$1,rng_out_sel_sp_ind,$D335,rng_out_sel_excl_ind,$E335, rng_out_MSB_excl, $F335)* _xlfn.XLOOKUP([1]Tables!$HN$5,'[1]RA Output'!$AY$4:$AY$5,'[1]RA Output'!BC$4:BC$5,0)+
SUMIFS(rng_out_awp_post_yr4, rng_out_GB_Medispan, L$1, rng_out_sel_G_ind, Q$1, rng_out_sel_sp_ind, $D335, rng_out_sel_excl_ind,"N", rng_out_MSB_excl, $F335, rng_out_post_reb_ind_yr4, 0)) * ((1-[1]Tables!$BN$4)/[1]Tables!$BN$4) * [1]Tables!$BN$5)/[1]Tables!$AT$4, 0) +
IFERROR(SUMIFS(rng_out_awp_post_yr4,rng_out_sel_excl_yr_ind, "", rng_out_GB_Medispan, L$1,rng_out_sel_G_ind,Q$1,rng_out_sel_sp_ind,$D335,rng_out_sel_excl_ind,$E335)+
SUMIFS(rng_out_awp_post_yr4,rng_out_sel_excl_yr_ind, [1]Tables!$HN$4, rng_out_GB_Medispan, L$1,rng_out_sel_G_ind,Q$1,rng_out_sel_sp_ind,$D335,rng_out_sel_excl_ind,$E335)* _xlfn.XLOOKUP([1]Tables!$HN$4,'[1]RA Output'!$AY$4:$AY$5,'[1]RA Output'!BC$4:BC$5,0)  +
SUMIFS(rng_out_awp_post_yr4,rng_out_sel_excl_yr_ind, [1]Tables!$HN$5, rng_out_GB_Medispan, L$1,rng_out_sel_G_ind,Q$1,rng_out_sel_sp_ind,$D335,rng_out_sel_excl_ind,$E335)* _xlfn.XLOOKUP([1]Tables!$HN$5,'[1]RA Output'!$AY$4:$AY$5,'[1]RA Output'!BC$4:BC$5,0) + SUMIFS(rng_out_awp_post_yr4, rng_out_GB_Medispan, L$1, rng_out_sel_G_ind, Q$1, rng_out_sel_sp_ind, $D335, rng_out_sel_excl_ind,"N", rng_out_post_reb_ind_yr4, 0)/[1]Tables!$AT$4, 0))</f>
        <v>0</v>
      </c>
      <c r="AU335" s="135" cm="1">
        <f t="array" aca="1" ref="AU335" ca="1">IF($E$327="N", IFERROR(IF(OR(input_Shift="No", [1]Tables!$BN$4=1), 0, (SUMIFS(rng_out_awp_post_yr5,rng_out_sel_excl_yr_ind, "", rng_out_GB_Medispan, R$1,rng_out_sel_G_ind,M$1,rng_out_sel_sp_ind,$D335,rng_out_sel_excl_ind,$E335, rng_out_MSB_excl, $F335)+
SUMIFS(rng_out_awp_post_yr5,rng_out_sel_excl_yr_ind, [1]Tables!$HN$4, rng_out_GB_Medispan, R$1,rng_out_sel_G_ind,M$1,rng_out_sel_sp_ind,$D335,rng_out_sel_excl_ind,$E335, rng_out_MSB_excl, $F335)* _xlfn.XLOOKUP([1]Tables!$HN$4,'[1]RA Output'!$AY$4:$AY$5,'[1]RA Output'!BD$4:BD$5,0)  +
SUMIFS(rng_out_awp_post_yr5,rng_out_sel_excl_yr_ind, [1]Tables!$HN$5, rng_out_GB_Medispan, R$1,rng_out_sel_G_ind,M$1,rng_out_sel_sp_ind,$D335,rng_out_sel_excl_ind,$E335, rng_out_MSB_excl, $F335)* _xlfn.XLOOKUP([1]Tables!$HN$5,'[1]RA Output'!$AY$4:$AY$5,'[1]RA Output'!BD$4:BD$5,0)) * ((1-[1]Tables!$BN$4)/[1]Tables!$BN$4) * [1]Tables!$BN$5)/[1]Tables!$AT$4, 0) +
IFERROR((SUMIFS(rng_out_awp_post_yr5,rng_out_sel_excl_yr_ind, "", rng_out_GB_Medispan, M$1,rng_out_sel_G_ind,R$1,rng_out_sel_sp_ind,$D335,rng_out_sel_excl_ind,$E335)+
SUMIFS(rng_out_awp_post_yr5,rng_out_sel_excl_yr_ind, [1]Tables!$HN$4, rng_out_GB_Medispan, M$1,rng_out_sel_G_ind,R$1,rng_out_sel_sp_ind,$D335,rng_out_sel_excl_ind,$E335)* _xlfn.XLOOKUP([1]Tables!$HN$4,'[1]RA Output'!$AY$4:$AY$5,'[1]RA Output'!BD$4:BD$5,0)  +
SUMIFS(rng_out_awp_post_yr5,rng_out_sel_excl_yr_ind, [1]Tables!$HN$5, rng_out_GB_Medispan, M$1,rng_out_sel_G_ind,R$1,rng_out_sel_sp_ind,$D335,rng_out_sel_excl_ind,$E335)* _xlfn.XLOOKUP([1]Tables!$HN$5,'[1]RA Output'!$AY$4:$AY$5,'[1]RA Output'!BD$4:BD$5,0))/[1]Tables!$AT$4, 0),
IFERROR(IF(OR(input_Shift="No", [1]Tables!$BN$4=1), 0, (SUMIFS(rng_out_awp_post_yr5,rng_out_sel_excl_yr_ind, "", rng_out_GB_Medispan, R$1,rng_out_sel_G_ind,M$1,rng_out_sel_sp_ind,$D335,rng_out_sel_excl_ind,$E335, rng_out_MSB_excl, $F335)+
SUMIFS(rng_out_awp_post_yr5,rng_out_sel_excl_yr_ind, [1]Tables!$HN$4, rng_out_GB_Medispan, R$1,rng_out_sel_G_ind,M$1,rng_out_sel_sp_ind,$D335,rng_out_sel_excl_ind,$E335, rng_out_MSB_excl, $F335)* _xlfn.XLOOKUP([1]Tables!$HN$4,'[1]RA Output'!$AY$4:$AY$5,'[1]RA Output'!BD$4:BD$5,0)  +
SUMIFS(rng_out_awp_post_yr5,rng_out_sel_excl_yr_ind, [1]Tables!$HN$5, rng_out_GB_Medispan, R$1,rng_out_sel_G_ind,M$1,rng_out_sel_sp_ind,$D335,rng_out_sel_excl_ind,$E335, rng_out_MSB_excl, $F335)* _xlfn.XLOOKUP([1]Tables!$HN$5,'[1]RA Output'!$AY$4:$AY$5,'[1]RA Output'!BD$4:BD$5,0)+
SUMIFS(rng_out_awp_post_yr5, rng_out_GB_Medispan, M$1, rng_out_sel_G_ind, R$1, rng_out_sel_sp_ind, $D335, rng_out_sel_excl_ind,"N", rng_out_MSB_excl, $F335, rng_out_post_reb_ind_yr5, 0)) * ((1-[1]Tables!$BN$4)/[1]Tables!$BN$4) * [1]Tables!$BN$5)/[1]Tables!$AT$4, 0) +
IFERROR(SUMIFS(rng_out_awp_post_yr5,rng_out_sel_excl_yr_ind, "", rng_out_GB_Medispan, M$1,rng_out_sel_G_ind,R$1,rng_out_sel_sp_ind,$D335,rng_out_sel_excl_ind,$E335)+
SUMIFS(rng_out_awp_post_yr5,rng_out_sel_excl_yr_ind, [1]Tables!$HN$4, rng_out_GB_Medispan, M$1,rng_out_sel_G_ind,R$1,rng_out_sel_sp_ind,$D335,rng_out_sel_excl_ind,$E335)* _xlfn.XLOOKUP([1]Tables!$HN$4,'[1]RA Output'!$AY$4:$AY$5,'[1]RA Output'!BD$4:BD$5,0)  +
SUMIFS(rng_out_awp_post_yr5,rng_out_sel_excl_yr_ind, [1]Tables!$HN$5, rng_out_GB_Medispan, M$1,rng_out_sel_G_ind,R$1,rng_out_sel_sp_ind,$D335,rng_out_sel_excl_ind,$E335)* _xlfn.XLOOKUP([1]Tables!$HN$5,'[1]RA Output'!$AY$4:$AY$5,'[1]RA Output'!BD$4:BD$5,0) + SUMIFS(rng_out_awp_post_yr5, rng_out_GB_Medispan, M$1, rng_out_sel_G_ind, R$1, rng_out_sel_sp_ind, $D335, rng_out_sel_excl_ind,"N", rng_out_post_reb_ind_yr5, 0)/[1]Tables!$AT$4, 0))</f>
        <v>0</v>
      </c>
      <c r="AV335" s="136">
        <f t="shared" ca="1" si="357"/>
        <v>0</v>
      </c>
      <c r="AW335" s="137">
        <f t="shared" ca="1" si="357"/>
        <v>0</v>
      </c>
      <c r="AX335" s="137">
        <f t="shared" ca="1" si="357"/>
        <v>0</v>
      </c>
      <c r="AY335" s="137">
        <f t="shared" ca="1" si="357"/>
        <v>0</v>
      </c>
      <c r="AZ335" s="138">
        <f t="shared" ca="1" si="357"/>
        <v>0</v>
      </c>
      <c r="BG335" s="121" t="s">
        <v>17</v>
      </c>
      <c r="BH335" s="145">
        <f t="shared" ca="1" si="358"/>
        <v>0</v>
      </c>
      <c r="BI335" s="146">
        <f t="shared" ca="1" si="358"/>
        <v>0</v>
      </c>
      <c r="BJ335" s="146">
        <f t="shared" ca="1" si="358"/>
        <v>0</v>
      </c>
      <c r="BK335" s="146">
        <f t="shared" ca="1" si="358"/>
        <v>0</v>
      </c>
      <c r="BL335" s="147">
        <f t="shared" ca="1" si="358"/>
        <v>0</v>
      </c>
      <c r="BM335" s="142">
        <f t="shared" ca="1" si="359"/>
        <v>0</v>
      </c>
      <c r="BN335" s="143">
        <f t="shared" ca="1" si="359"/>
        <v>0</v>
      </c>
      <c r="BO335" s="143">
        <f t="shared" ca="1" si="359"/>
        <v>0</v>
      </c>
      <c r="BP335" s="143">
        <f t="shared" ca="1" si="359"/>
        <v>0</v>
      </c>
      <c r="BQ335" s="144">
        <f t="shared" ca="1" si="359"/>
        <v>0</v>
      </c>
      <c r="BX335" s="121" t="s">
        <v>17</v>
      </c>
      <c r="BY335" s="145">
        <f t="shared" ca="1" si="360"/>
        <v>0</v>
      </c>
      <c r="BZ335" s="146">
        <f t="shared" ca="1" si="360"/>
        <v>0</v>
      </c>
      <c r="CA335" s="146">
        <f t="shared" ca="1" si="360"/>
        <v>0</v>
      </c>
      <c r="CB335" s="146">
        <f t="shared" ca="1" si="360"/>
        <v>0</v>
      </c>
      <c r="CC335" s="147">
        <f t="shared" ca="1" si="360"/>
        <v>0</v>
      </c>
      <c r="CD335" s="142">
        <f t="shared" ca="1" si="361"/>
        <v>0</v>
      </c>
      <c r="CE335" s="143">
        <f t="shared" ca="1" si="361"/>
        <v>0</v>
      </c>
      <c r="CF335" s="143">
        <f t="shared" ca="1" si="361"/>
        <v>0</v>
      </c>
      <c r="CG335" s="143">
        <f t="shared" ca="1" si="361"/>
        <v>0</v>
      </c>
      <c r="CH335" s="144">
        <f t="shared" ca="1" si="361"/>
        <v>0</v>
      </c>
      <c r="CO335" s="231" cm="1">
        <f t="array" aca="1" ref="CO335" ca="1">_xlfn.SINGLE(IFERROR(SUMIFS(rng_out_awp_base, rng_out_GB_Medispan, "G", rng_out_sel_G_ind, "B", rng_out_sel_sp_ind, $D335, rng_out_sel_excl_ind,$E335)/[1]Tables!$AT$4, 0))</f>
        <v>0</v>
      </c>
      <c r="CP335" s="233" cm="1">
        <f t="array" aca="1" ref="CP335" ca="1">_xlfn.SINGLE(IFERROR(SUMIFS(rng_out_awp_base, rng_out_GB_Medispan, "B", rng_out_sel_G_ind, "G", rng_out_sel_sp_ind, $D335, rng_out_sel_excl_ind,$E335)/[1]Tables!$AT$4, 0))</f>
        <v>0</v>
      </c>
      <c r="CQ335" s="234">
        <f ca="1">SUM(CO335:CP335)</f>
        <v>0</v>
      </c>
      <c r="CR335" s="142">
        <f t="shared" ca="1" si="362"/>
        <v>0</v>
      </c>
      <c r="CS335" s="144">
        <f t="shared" ca="1" si="362"/>
        <v>0</v>
      </c>
      <c r="CT335" s="177">
        <f t="shared" ca="1" si="362"/>
        <v>0</v>
      </c>
    </row>
    <row r="336" spans="2:98" ht="15" thickBot="1" x14ac:dyDescent="0.4">
      <c r="B336" s="106"/>
      <c r="C336" s="236"/>
      <c r="D336" s="236" t="s">
        <v>29</v>
      </c>
      <c r="E336" s="237" t="str">
        <f>IF(sel_excl_nonRebatable=1, "Y", "N")</f>
        <v>N</v>
      </c>
      <c r="H336" s="154" t="s">
        <v>18</v>
      </c>
      <c r="I336" s="155" t="e">
        <f ca="1">SUM(I332:I335)</f>
        <v>#VALUE!</v>
      </c>
      <c r="J336" s="155" t="e">
        <f ca="1">SUM(J332:J335)</f>
        <v>#VALUE!</v>
      </c>
      <c r="K336" s="155" t="e">
        <f ca="1">SUM(K332:K335)</f>
        <v>#VALUE!</v>
      </c>
      <c r="L336" s="155" t="e">
        <f ca="1">SUM(L332:L335)</f>
        <v>#VALUE!</v>
      </c>
      <c r="M336" s="156" t="e">
        <f ca="1">SUM(M332:M335)</f>
        <v>#VALUE!</v>
      </c>
      <c r="N336" s="157">
        <f t="shared" ca="1" si="355"/>
        <v>0</v>
      </c>
      <c r="O336" s="157">
        <f t="shared" ca="1" si="355"/>
        <v>0</v>
      </c>
      <c r="P336" s="157">
        <f t="shared" ca="1" si="355"/>
        <v>0</v>
      </c>
      <c r="Q336" s="157">
        <f t="shared" ca="1" si="355"/>
        <v>0</v>
      </c>
      <c r="R336" s="158">
        <f t="shared" ca="1" si="355"/>
        <v>0</v>
      </c>
      <c r="Y336" s="159" t="s">
        <v>18</v>
      </c>
      <c r="Z336" s="160">
        <f ca="1">SUM(Z332:Z335)</f>
        <v>0</v>
      </c>
      <c r="AA336" s="161">
        <f ca="1">SUM(AA332:AA335)</f>
        <v>0</v>
      </c>
      <c r="AB336" s="161">
        <f ca="1">SUM(AB332:AB335)</f>
        <v>0</v>
      </c>
      <c r="AC336" s="161">
        <f ca="1">SUM(AC332:AC335)</f>
        <v>0</v>
      </c>
      <c r="AD336" s="162">
        <f ca="1">SUM(AD332:AD335)</f>
        <v>0</v>
      </c>
      <c r="AE336" s="163">
        <f t="shared" ca="1" si="356"/>
        <v>0</v>
      </c>
      <c r="AF336" s="164">
        <f t="shared" ca="1" si="356"/>
        <v>0</v>
      </c>
      <c r="AG336" s="164">
        <f t="shared" ca="1" si="356"/>
        <v>0</v>
      </c>
      <c r="AH336" s="164">
        <f t="shared" ca="1" si="356"/>
        <v>0</v>
      </c>
      <c r="AI336" s="165">
        <f t="shared" ca="1" si="356"/>
        <v>0</v>
      </c>
      <c r="AP336" s="166" t="s">
        <v>18</v>
      </c>
      <c r="AQ336" s="167">
        <f ca="1">SUM(AQ332:AQ335)</f>
        <v>0</v>
      </c>
      <c r="AR336" s="134">
        <f ca="1">SUM(AR332:AR335)</f>
        <v>0</v>
      </c>
      <c r="AS336" s="134">
        <f ca="1">SUM(AS332:AS335)</f>
        <v>0</v>
      </c>
      <c r="AT336" s="134">
        <f ca="1">SUM(AT332:AT335)</f>
        <v>0</v>
      </c>
      <c r="AU336" s="135">
        <f ca="1">SUM(AU332:AU335)</f>
        <v>0</v>
      </c>
      <c r="AV336" s="168">
        <f t="shared" ca="1" si="357"/>
        <v>0</v>
      </c>
      <c r="AW336" s="169">
        <f t="shared" ca="1" si="357"/>
        <v>0</v>
      </c>
      <c r="AX336" s="169">
        <f t="shared" ca="1" si="357"/>
        <v>0</v>
      </c>
      <c r="AY336" s="169">
        <f t="shared" ca="1" si="357"/>
        <v>0</v>
      </c>
      <c r="AZ336" s="170">
        <f t="shared" ca="1" si="357"/>
        <v>0</v>
      </c>
      <c r="BG336" s="171" t="s">
        <v>18</v>
      </c>
      <c r="BH336" s="172">
        <f ca="1">SUM(BH332:BH335)</f>
        <v>0</v>
      </c>
      <c r="BI336" s="173">
        <f ca="1">SUM(BI332:BI335)</f>
        <v>0</v>
      </c>
      <c r="BJ336" s="173">
        <f ca="1">SUM(BJ332:BJ335)</f>
        <v>0</v>
      </c>
      <c r="BK336" s="173">
        <f ca="1">SUM(BK332:BK335)</f>
        <v>0</v>
      </c>
      <c r="BL336" s="174">
        <f ca="1">SUM(BL332:BL335)</f>
        <v>0</v>
      </c>
      <c r="BM336" s="175">
        <f t="shared" ca="1" si="359"/>
        <v>0</v>
      </c>
      <c r="BN336" s="176">
        <f t="shared" ca="1" si="359"/>
        <v>0</v>
      </c>
      <c r="BO336" s="176">
        <f t="shared" ca="1" si="359"/>
        <v>0</v>
      </c>
      <c r="BP336" s="176">
        <f t="shared" ca="1" si="359"/>
        <v>0</v>
      </c>
      <c r="BQ336" s="177">
        <f t="shared" ca="1" si="359"/>
        <v>0</v>
      </c>
      <c r="BX336" s="171" t="s">
        <v>18</v>
      </c>
      <c r="BY336" s="172">
        <f ca="1">SUM(BY332:BY335)</f>
        <v>0</v>
      </c>
      <c r="BZ336" s="173">
        <f ca="1">SUM(BZ332:BZ335)</f>
        <v>0</v>
      </c>
      <c r="CA336" s="173">
        <f ca="1">SUM(CA332:CA335)</f>
        <v>0</v>
      </c>
      <c r="CB336" s="173">
        <f ca="1">SUM(CB332:CB335)</f>
        <v>0</v>
      </c>
      <c r="CC336" s="174">
        <f ca="1">SUM(CC332:CC335)</f>
        <v>0</v>
      </c>
      <c r="CD336" s="175">
        <f ca="1">IFERROR(BY336/BY289, 0)</f>
        <v>0</v>
      </c>
      <c r="CE336" s="176">
        <f ca="1">IFERROR(BZ336/BZ289, 0)</f>
        <v>0</v>
      </c>
      <c r="CF336" s="176">
        <f ca="1">IFERROR(CA336/CA289, 0)</f>
        <v>0</v>
      </c>
      <c r="CG336" s="176">
        <f ca="1">IFERROR(CB336/CB289, 0)</f>
        <v>0</v>
      </c>
      <c r="CH336" s="177">
        <f ca="1">IFERROR(CC336/CC289, 0)</f>
        <v>0</v>
      </c>
      <c r="CO336" s="246">
        <f ca="1">SUM(CO332:CO335)</f>
        <v>0</v>
      </c>
      <c r="CP336" s="247">
        <f ca="1">SUM(CP332:CP335)</f>
        <v>0</v>
      </c>
      <c r="CQ336" s="247">
        <f ca="1">SUM(CQ332:CQ335)</f>
        <v>0</v>
      </c>
      <c r="CR336" s="359">
        <f t="shared" ca="1" si="362"/>
        <v>0</v>
      </c>
      <c r="CS336" s="360">
        <f t="shared" ca="1" si="362"/>
        <v>0</v>
      </c>
      <c r="CT336" s="360">
        <f t="shared" ca="1" si="362"/>
        <v>0</v>
      </c>
    </row>
    <row r="337" spans="2:98" ht="15" thickBot="1" x14ac:dyDescent="0.4"/>
    <row r="338" spans="2:98" ht="15" thickBot="1" x14ac:dyDescent="0.4">
      <c r="I338" s="21" t="s">
        <v>75</v>
      </c>
      <c r="J338" s="22"/>
      <c r="K338" s="22"/>
      <c r="L338" s="22"/>
      <c r="M338" s="22"/>
      <c r="N338" s="22"/>
      <c r="O338" s="22"/>
      <c r="P338" s="22"/>
      <c r="Q338" s="22"/>
      <c r="R338" s="23"/>
      <c r="S338" s="301"/>
      <c r="Z338" s="24" t="s">
        <v>75</v>
      </c>
      <c r="AA338" s="25"/>
      <c r="AB338" s="25"/>
      <c r="AC338" s="25"/>
      <c r="AD338" s="25"/>
      <c r="AE338" s="25"/>
      <c r="AF338" s="25"/>
      <c r="AG338" s="25"/>
      <c r="AH338" s="25"/>
      <c r="AI338" s="26"/>
      <c r="AQ338" s="354" t="s">
        <v>75</v>
      </c>
      <c r="AR338" s="29"/>
      <c r="AS338" s="29"/>
      <c r="AT338" s="29"/>
      <c r="AU338" s="29"/>
      <c r="AV338" s="29"/>
      <c r="AW338" s="29"/>
      <c r="AX338" s="29"/>
      <c r="AY338" s="29"/>
      <c r="AZ338" s="355"/>
      <c r="BH338" s="31" t="s">
        <v>75</v>
      </c>
      <c r="BI338" s="32"/>
      <c r="BJ338" s="32"/>
      <c r="BK338" s="32"/>
      <c r="BL338" s="32"/>
      <c r="BM338" s="32"/>
      <c r="BN338" s="32"/>
      <c r="BO338" s="32"/>
      <c r="BP338" s="32"/>
      <c r="BQ338" s="33"/>
      <c r="BY338" s="34" t="s">
        <v>75</v>
      </c>
      <c r="BZ338" s="35"/>
      <c r="CA338" s="35"/>
      <c r="CB338" s="35"/>
      <c r="CC338" s="35"/>
      <c r="CD338" s="35"/>
      <c r="CE338" s="35"/>
      <c r="CF338" s="35"/>
      <c r="CG338" s="35"/>
      <c r="CH338" s="36"/>
      <c r="CO338" s="196" t="s">
        <v>39</v>
      </c>
      <c r="CP338" s="197"/>
      <c r="CQ338" s="197"/>
      <c r="CR338" s="197"/>
      <c r="CS338" s="197"/>
      <c r="CT338" s="198"/>
    </row>
    <row r="339" spans="2:98" ht="15" thickBot="1" x14ac:dyDescent="0.4">
      <c r="H339" s="37"/>
      <c r="I339" s="302" t="s">
        <v>70</v>
      </c>
      <c r="J339" s="303"/>
      <c r="K339" s="303"/>
      <c r="L339" s="303"/>
      <c r="M339" s="304"/>
      <c r="N339" s="302" t="s">
        <v>71</v>
      </c>
      <c r="O339" s="303"/>
      <c r="P339" s="303"/>
      <c r="Q339" s="303"/>
      <c r="R339" s="304"/>
      <c r="Z339" s="41" t="s">
        <v>70</v>
      </c>
      <c r="AA339" s="42"/>
      <c r="AB339" s="42"/>
      <c r="AC339" s="42"/>
      <c r="AD339" s="43"/>
      <c r="AE339" s="41" t="s">
        <v>71</v>
      </c>
      <c r="AF339" s="42"/>
      <c r="AG339" s="42"/>
      <c r="AH339" s="42"/>
      <c r="AI339" s="43"/>
      <c r="AQ339" s="44" t="s">
        <v>70</v>
      </c>
      <c r="AR339" s="45"/>
      <c r="AS339" s="45"/>
      <c r="AT339" s="45"/>
      <c r="AU339" s="46"/>
      <c r="AV339" s="44" t="s">
        <v>71</v>
      </c>
      <c r="AW339" s="45"/>
      <c r="AX339" s="45"/>
      <c r="AY339" s="45"/>
      <c r="AZ339" s="46"/>
      <c r="BH339" s="305" t="s">
        <v>70</v>
      </c>
      <c r="BI339" s="306"/>
      <c r="BJ339" s="306"/>
      <c r="BK339" s="306"/>
      <c r="BL339" s="307"/>
      <c r="BM339" s="305" t="s">
        <v>71</v>
      </c>
      <c r="BN339" s="306"/>
      <c r="BO339" s="306"/>
      <c r="BP339" s="306"/>
      <c r="BQ339" s="307"/>
      <c r="BY339" s="305" t="s">
        <v>70</v>
      </c>
      <c r="BZ339" s="306"/>
      <c r="CA339" s="306"/>
      <c r="CB339" s="306"/>
      <c r="CC339" s="307"/>
      <c r="CD339" s="305" t="s">
        <v>71</v>
      </c>
      <c r="CE339" s="306"/>
      <c r="CF339" s="306"/>
      <c r="CG339" s="306"/>
      <c r="CH339" s="307"/>
      <c r="CO339" s="199" t="s">
        <v>38</v>
      </c>
      <c r="CP339" s="200"/>
      <c r="CQ339" s="200"/>
      <c r="CR339" s="200"/>
      <c r="CS339" s="200"/>
      <c r="CT339" s="201"/>
    </row>
    <row r="340" spans="2:98" ht="29.5" thickBot="1" x14ac:dyDescent="0.4">
      <c r="H340" s="55"/>
      <c r="I340" s="56" t="str">
        <f>[1]Tables!$AA$4</f>
        <v>07/27 - 06/28</v>
      </c>
      <c r="J340" s="55" t="str">
        <f>[1]Tables!$AA$5</f>
        <v>07/28 - 06/29</v>
      </c>
      <c r="K340" s="55" t="str">
        <f>[1]Tables!$AA$6</f>
        <v>07/29 - 06/30</v>
      </c>
      <c r="L340" s="55" t="str">
        <f>[1]Tables!$AA$7</f>
        <v>07/30 - 06/31</v>
      </c>
      <c r="M340" s="57" t="str">
        <f>[1]Tables!$AA$8</f>
        <v>07/31 - 06/32</v>
      </c>
      <c r="N340" s="56" t="str">
        <f>[1]Tables!$AA$4</f>
        <v>07/27 - 06/28</v>
      </c>
      <c r="O340" s="55" t="str">
        <f>[1]Tables!$AA$5</f>
        <v>07/28 - 06/29</v>
      </c>
      <c r="P340" s="55" t="str">
        <f>[1]Tables!$AA$6</f>
        <v>07/29 - 06/30</v>
      </c>
      <c r="Q340" s="55" t="str">
        <f>[1]Tables!$AA$7</f>
        <v>07/30 - 06/31</v>
      </c>
      <c r="R340" s="57" t="str">
        <f>[1]Tables!$AA$8</f>
        <v>07/31 - 06/32</v>
      </c>
      <c r="Y340" s="58"/>
      <c r="Z340" s="59" t="str">
        <f>[1]Tables!$AA$4</f>
        <v>07/27 - 06/28</v>
      </c>
      <c r="AA340" s="60" t="str">
        <f>[1]Tables!$AA$5</f>
        <v>07/28 - 06/29</v>
      </c>
      <c r="AB340" s="60" t="str">
        <f>[1]Tables!$AA$6</f>
        <v>07/29 - 06/30</v>
      </c>
      <c r="AC340" s="60" t="str">
        <f>[1]Tables!$AA$7</f>
        <v>07/30 - 06/31</v>
      </c>
      <c r="AD340" s="61" t="str">
        <f>[1]Tables!$AA$8</f>
        <v>07/31 - 06/32</v>
      </c>
      <c r="AE340" s="59" t="str">
        <f>[1]Tables!$AA$4</f>
        <v>07/27 - 06/28</v>
      </c>
      <c r="AF340" s="60" t="str">
        <f>[1]Tables!$AA$5</f>
        <v>07/28 - 06/29</v>
      </c>
      <c r="AG340" s="60" t="str">
        <f>[1]Tables!$AA$6</f>
        <v>07/29 - 06/30</v>
      </c>
      <c r="AH340" s="60" t="str">
        <f>[1]Tables!$AA$7</f>
        <v>07/30 - 06/31</v>
      </c>
      <c r="AI340" s="61" t="str">
        <f>[1]Tables!$AA$8</f>
        <v>07/31 - 06/32</v>
      </c>
      <c r="AP340" s="58"/>
      <c r="AQ340" s="62" t="str">
        <f>[1]Tables!$AA$4</f>
        <v>07/27 - 06/28</v>
      </c>
      <c r="AR340" s="63" t="str">
        <f>[1]Tables!$AA$5</f>
        <v>07/28 - 06/29</v>
      </c>
      <c r="AS340" s="63" t="str">
        <f>[1]Tables!$AA$6</f>
        <v>07/29 - 06/30</v>
      </c>
      <c r="AT340" s="63" t="str">
        <f>[1]Tables!$AA$7</f>
        <v>07/30 - 06/31</v>
      </c>
      <c r="AU340" s="64" t="str">
        <f>[1]Tables!$AA$8</f>
        <v>07/31 - 06/32</v>
      </c>
      <c r="AV340" s="62" t="str">
        <f>[1]Tables!$AA$4</f>
        <v>07/27 - 06/28</v>
      </c>
      <c r="AW340" s="63" t="str">
        <f>[1]Tables!$AA$5</f>
        <v>07/28 - 06/29</v>
      </c>
      <c r="AX340" s="63" t="str">
        <f>[1]Tables!$AA$6</f>
        <v>07/29 - 06/30</v>
      </c>
      <c r="AY340" s="63" t="str">
        <f>[1]Tables!$AA$7</f>
        <v>07/30 - 06/31</v>
      </c>
      <c r="AZ340" s="64" t="str">
        <f>[1]Tables!$AA$8</f>
        <v>07/31 - 06/32</v>
      </c>
      <c r="BG340" s="58"/>
      <c r="BH340" s="65" t="str">
        <f>[1]Tables!$AA$4</f>
        <v>07/27 - 06/28</v>
      </c>
      <c r="BI340" s="66" t="str">
        <f>[1]Tables!$AA$5</f>
        <v>07/28 - 06/29</v>
      </c>
      <c r="BJ340" s="66" t="str">
        <f>[1]Tables!$AA$6</f>
        <v>07/29 - 06/30</v>
      </c>
      <c r="BK340" s="66" t="str">
        <f>[1]Tables!$AA$7</f>
        <v>07/30 - 06/31</v>
      </c>
      <c r="BL340" s="67" t="str">
        <f>[1]Tables!$AA$8</f>
        <v>07/31 - 06/32</v>
      </c>
      <c r="BM340" s="65" t="str">
        <f>[1]Tables!$AA$4</f>
        <v>07/27 - 06/28</v>
      </c>
      <c r="BN340" s="66" t="str">
        <f>[1]Tables!$AA$5</f>
        <v>07/28 - 06/29</v>
      </c>
      <c r="BO340" s="66" t="str">
        <f>[1]Tables!$AA$6</f>
        <v>07/29 - 06/30</v>
      </c>
      <c r="BP340" s="66" t="str">
        <f>[1]Tables!$AA$7</f>
        <v>07/30 - 06/31</v>
      </c>
      <c r="BQ340" s="67" t="str">
        <f>[1]Tables!$AA$8</f>
        <v>07/31 - 06/32</v>
      </c>
      <c r="BX340" s="58"/>
      <c r="BY340" s="65" t="str">
        <f>[1]Tables!$AA$4</f>
        <v>07/27 - 06/28</v>
      </c>
      <c r="BZ340" s="66" t="str">
        <f>[1]Tables!$AA$5</f>
        <v>07/28 - 06/29</v>
      </c>
      <c r="CA340" s="66" t="str">
        <f>[1]Tables!$AA$6</f>
        <v>07/29 - 06/30</v>
      </c>
      <c r="CB340" s="66" t="str">
        <f>[1]Tables!$AA$7</f>
        <v>07/30 - 06/31</v>
      </c>
      <c r="CC340" s="67" t="str">
        <f>[1]Tables!$AA$8</f>
        <v>07/31 - 06/32</v>
      </c>
      <c r="CD340" s="65" t="str">
        <f>[1]Tables!$AA$4</f>
        <v>07/27 - 06/28</v>
      </c>
      <c r="CE340" s="66" t="str">
        <f>[1]Tables!$AA$5</f>
        <v>07/28 - 06/29</v>
      </c>
      <c r="CF340" s="66" t="str">
        <f>[1]Tables!$AA$6</f>
        <v>07/29 - 06/30</v>
      </c>
      <c r="CG340" s="66" t="str">
        <f>[1]Tables!$AA$7</f>
        <v>07/30 - 06/31</v>
      </c>
      <c r="CH340" s="67" t="str">
        <f>[1]Tables!$AA$8</f>
        <v>07/31 - 06/32</v>
      </c>
      <c r="CO340" s="65" t="s">
        <v>40</v>
      </c>
      <c r="CP340" s="66" t="s">
        <v>42</v>
      </c>
      <c r="CQ340" s="202" t="s">
        <v>18</v>
      </c>
      <c r="CR340" s="65" t="s">
        <v>41</v>
      </c>
      <c r="CS340" s="66" t="s">
        <v>43</v>
      </c>
      <c r="CT340" s="202" t="s">
        <v>44</v>
      </c>
    </row>
    <row r="341" spans="2:98" x14ac:dyDescent="0.35">
      <c r="B341" s="68" t="s">
        <v>11</v>
      </c>
      <c r="C341" s="69">
        <v>30</v>
      </c>
      <c r="D341" s="69" t="s">
        <v>12</v>
      </c>
      <c r="E341" s="70" t="s">
        <v>13</v>
      </c>
      <c r="F341" s="106">
        <v>1</v>
      </c>
      <c r="H341" s="71" t="s">
        <v>14</v>
      </c>
      <c r="I341" s="72" t="e" cm="1">
        <f t="array" aca="1" ref="I341" ca="1">SUMIFS(rng_out_awp_pre_yr1,rng_out_sel_excl_yr_ind, "", rng_out_GB_Medispan,I$1,rng_out_mail_ind,$B341,rng_out_ds,$C341,rng_out_sel_sp_ind,$D341,rng_out_sel_excl_ind,$E341)+
SUMIFS(rng_out_awp_pre_yr1,rng_out_sel_excl_yr_ind, [1]Tables!$HN$4,rng_out_GB_Medispan,I$1,rng_out_mail_ind,$B341,rng_out_ds,$C341,rng_out_sel_sp_ind,$D341,rng_out_sel_excl_ind,$E341)* _xlfn.XLOOKUP([1]Tables!$HN$4,'[1]RA Output'!$AY$4:$AY$5,'[1]RA Output'!AZ$4:AZ$5,0)  +
SUMIFS(rng_out_awp_pre_yr1,rng_out_sel_excl_yr_ind, [1]Tables!$HN$5,rng_out_GB_Medispan,I$1,rng_out_mail_ind,$B341,rng_out_ds,$C341,rng_out_sel_sp_ind,$D341,rng_out_sel_excl_ind,$E341)* _xlfn.XLOOKUP([1]Tables!$HN$5,'[1]RA Output'!$AY$4:$AY$5,'[1]RA Output'!AZ$4:AZ$5,0)+
IF($E$345="N", 0,
SUMIFS(rng_out_awp_pre_yr1, rng_out_GB_Medispan, I$1, rng_out_mail_ind, $B341, rng_out_ds, $C341, rng_out_sel_sp_ind, $D341, rng_out_sel_excl_ind,"N", rng_out_post_reb_ind_yr1, 0))</f>
        <v>#VALUE!</v>
      </c>
      <c r="J341" s="5" t="e" cm="1">
        <f t="array" aca="1" ref="J341" ca="1">SUMIFS(rng_out_awp_pre_yr2,rng_out_sel_excl_yr_ind, "", rng_out_GB_Medispan,J$1,rng_out_mail_ind,$B341,rng_out_ds,$C341,rng_out_sel_sp_ind,$D341,rng_out_sel_excl_ind,$E341)+
SUMIFS(rng_out_awp_pre_yr2,rng_out_sel_excl_yr_ind, [1]Tables!$HN$4,rng_out_GB_Medispan,J$1,rng_out_mail_ind,$B341,rng_out_ds,$C341,rng_out_sel_sp_ind,$D341,rng_out_sel_excl_ind,$E341)* _xlfn.XLOOKUP([1]Tables!$HN$4,'[1]RA Output'!$AY$4:$AY$5,'[1]RA Output'!BA$4:BA$5,0)  +
SUMIFS(rng_out_awp_pre_yr2,rng_out_sel_excl_yr_ind, [1]Tables!$HN$5,rng_out_GB_Medispan,J$1,rng_out_mail_ind,$B341,rng_out_ds,$C341,rng_out_sel_sp_ind,$D341,rng_out_sel_excl_ind,$E341)* _xlfn.XLOOKUP([1]Tables!$HN$5,'[1]RA Output'!$AY$4:$AY$5,'[1]RA Output'!BA$4:BA$5,0)+
IF($E$345="N", 0,
SUMIFS(rng_out_awp_pre_yr2, rng_out_GB_Medispan, J$1, rng_out_mail_ind, $B341, rng_out_ds, $C341, rng_out_sel_sp_ind, $D341, rng_out_sel_excl_ind,"N", rng_out_post_reb_ind_yr2, 0))</f>
        <v>#VALUE!</v>
      </c>
      <c r="K341" s="5" t="e" cm="1">
        <f t="array" aca="1" ref="K341" ca="1">SUMIFS(rng_out_awp_pre_yr3,rng_out_sel_excl_yr_ind, "", rng_out_GB_Medispan,K$1,rng_out_mail_ind,$B341,rng_out_ds,$C341,rng_out_sel_sp_ind,$D341,rng_out_sel_excl_ind,$E341)+
SUMIFS(rng_out_awp_pre_yr3,rng_out_sel_excl_yr_ind, [1]Tables!$HN$4,rng_out_GB_Medispan,K$1,rng_out_mail_ind,$B341,rng_out_ds,$C341,rng_out_sel_sp_ind,$D341,rng_out_sel_excl_ind,$E341)* _xlfn.XLOOKUP([1]Tables!$HN$4,'[1]RA Output'!$AY$4:$AY$5,'[1]RA Output'!BB$4:BB$5,0)  +
SUMIFS(rng_out_awp_pre_yr3,rng_out_sel_excl_yr_ind, [1]Tables!$HN$5,rng_out_GB_Medispan,K$1,rng_out_mail_ind,$B341,rng_out_ds,$C341,rng_out_sel_sp_ind,$D341,rng_out_sel_excl_ind,$E341)* _xlfn.XLOOKUP([1]Tables!$HN$5,'[1]RA Output'!$AY$4:$AY$5,'[1]RA Output'!BB$4:BB$5,0)+
IF($E$345="N", 0,
SUMIFS(rng_out_awp_pre_yr3, rng_out_GB_Medispan, K$1, rng_out_mail_ind, $B341, rng_out_ds, $C341, rng_out_sel_sp_ind, $D341, rng_out_sel_excl_ind,"N", rng_out_post_reb_ind_yr3, 0))</f>
        <v>#VALUE!</v>
      </c>
      <c r="L341" s="5" t="e" cm="1">
        <f t="array" aca="1" ref="L341" ca="1">SUMIFS(rng_out_awp_pre_yr4,rng_out_sel_excl_yr_ind, "", rng_out_GB_Medispan,L$1,rng_out_mail_ind,$B341,rng_out_ds,$C341,rng_out_sel_sp_ind,$D341,rng_out_sel_excl_ind,$E341)+
SUMIFS(rng_out_awp_pre_yr4,rng_out_sel_excl_yr_ind, [1]Tables!$HN$4,rng_out_GB_Medispan,L$1,rng_out_mail_ind,$B341,rng_out_ds,$C341,rng_out_sel_sp_ind,$D341,rng_out_sel_excl_ind,$E341)* _xlfn.XLOOKUP([1]Tables!$HN$4,'[1]RA Output'!$AY$4:$AY$5,'[1]RA Output'!BC$4:BC$5,0)  +
SUMIFS(rng_out_awp_pre_yr4,rng_out_sel_excl_yr_ind, [1]Tables!$HN$5,rng_out_GB_Medispan,L$1,rng_out_mail_ind,$B341,rng_out_ds,$C341,rng_out_sel_sp_ind,$D341,rng_out_sel_excl_ind,$E341)* _xlfn.XLOOKUP([1]Tables!$HN$5,'[1]RA Output'!$AY$4:$AY$5,'[1]RA Output'!BC$4:BC$5,0)+
IF($E$345="N", 0,
SUMIFS(rng_out_awp_pre_yr4, rng_out_GB_Medispan, L$1, rng_out_mail_ind, $B341, rng_out_ds, $C341, rng_out_sel_sp_ind, $D341, rng_out_sel_excl_ind,"N", rng_out_post_reb_ind_yr4, 0))</f>
        <v>#VALUE!</v>
      </c>
      <c r="M341" s="73" t="e" cm="1">
        <f t="array" aca="1" ref="M341" ca="1">SUMIFS(rng_out_awp_pre_yr5,rng_out_sel_excl_yr_ind, "", rng_out_GB_Medispan,M$1,rng_out_mail_ind,$B341,rng_out_ds,$C341,rng_out_sel_sp_ind,$D341,rng_out_sel_excl_ind,$E341)+
SUMIFS(rng_out_awp_pre_yr5,rng_out_sel_excl_yr_ind, [1]Tables!$HN$4,rng_out_GB_Medispan,M$1,rng_out_mail_ind,$B341,rng_out_ds,$C341,rng_out_sel_sp_ind,$D341,rng_out_sel_excl_ind,$E341)* _xlfn.XLOOKUP([1]Tables!$HN$4,'[1]RA Output'!$AY$4:$AY$5,'[1]RA Output'!BD$4:BD$5,0)  +
SUMIFS(rng_out_awp_pre_yr5,rng_out_sel_excl_yr_ind, [1]Tables!$HN$5,rng_out_GB_Medispan,M$1,rng_out_mail_ind,$B341,rng_out_ds,$C341,rng_out_sel_sp_ind,$D341,rng_out_sel_excl_ind,$E341)* _xlfn.XLOOKUP([1]Tables!$HN$5,'[1]RA Output'!$AY$4:$AY$5,'[1]RA Output'!BD$4:BD$5,0)+
IF($E$345="N", 0,
SUMIFS(rng_out_awp_pre_yr5, rng_out_GB_Medispan, M$1, rng_out_mail_ind, $B341, rng_out_ds, $C341, rng_out_sel_sp_ind, $D341, rng_out_sel_excl_ind,"N", rng_out_post_reb_ind_yr5, 0))</f>
        <v>#VALUE!</v>
      </c>
      <c r="N341" s="74">
        <f t="shared" ref="N341:R345" ca="1" si="363">IFERROR(I341/I294, 0)</f>
        <v>0</v>
      </c>
      <c r="O341" s="75">
        <f t="shared" ca="1" si="363"/>
        <v>0</v>
      </c>
      <c r="P341" s="75">
        <f t="shared" ca="1" si="363"/>
        <v>0</v>
      </c>
      <c r="Q341" s="75">
        <f t="shared" ca="1" si="363"/>
        <v>0</v>
      </c>
      <c r="R341" s="76">
        <f t="shared" ca="1" si="363"/>
        <v>0</v>
      </c>
      <c r="Y341" s="77" t="s">
        <v>14</v>
      </c>
      <c r="Z341" s="78">
        <f ca="1">IFERROR(I341/[1]Tables!$AT$4, 0)</f>
        <v>0</v>
      </c>
      <c r="AA341" s="79">
        <f ca="1">IFERROR(J341/[1]Tables!$AT$4, 0)</f>
        <v>0</v>
      </c>
      <c r="AB341" s="79">
        <f ca="1">IFERROR(K341/[1]Tables!$AT$4, 0)</f>
        <v>0</v>
      </c>
      <c r="AC341" s="79">
        <f ca="1">IFERROR(L341/[1]Tables!$AT$4, 0)</f>
        <v>0</v>
      </c>
      <c r="AD341" s="80">
        <f ca="1">IFERROR(M341/[1]Tables!$AT$4, 0)</f>
        <v>0</v>
      </c>
      <c r="AE341" s="81">
        <f t="shared" ref="AE341:AI345" ca="1" si="364">IFERROR(Z341/Z294, 0)</f>
        <v>0</v>
      </c>
      <c r="AF341" s="75">
        <f t="shared" ca="1" si="364"/>
        <v>0</v>
      </c>
      <c r="AG341" s="75">
        <f t="shared" ca="1" si="364"/>
        <v>0</v>
      </c>
      <c r="AH341" s="75">
        <f t="shared" ca="1" si="364"/>
        <v>0</v>
      </c>
      <c r="AI341" s="82">
        <f t="shared" ca="1" si="364"/>
        <v>0</v>
      </c>
      <c r="AP341" s="83" t="s">
        <v>14</v>
      </c>
      <c r="AQ341" s="356" cm="1">
        <f t="array" aca="1" ref="AQ341" ca="1">IF($E$327="N", IFERROR(IF(OR(input_Shift="No", [1]Tables!$BN$4=1), 0, (SUMIFS(rng_out_awp_post_yr1,rng_out_sel_excl_yr_ind, "", rng_out_GB_Medispan, N$1,rng_out_mail_ind,$B341,rng_out_ds,$C341,rng_out_sel_sp_ind,$D341,rng_out_sel_excl_ind,$E341, rng_out_MSB_excl, $F341)+
SUMIFS(rng_out_awp_post_yr1,rng_out_sel_excl_yr_ind, [1]Tables!$HN$4, rng_out_GB_Medispan, N$1,rng_out_mail_ind,$B341,rng_out_ds,$C341,rng_out_sel_sp_ind,$D341,rng_out_sel_excl_ind,$E341, rng_out_MSB_excl, $F341)* _xlfn.XLOOKUP([1]Tables!$HN$4,'[1]RA Output'!$AY$4:$AY$5,'[1]RA Output'!AZ$4:AZ$5,0)  +
SUMIFS(rng_out_awp_post_yr1,rng_out_sel_excl_yr_ind, [1]Tables!$HN$5, rng_out_GB_Medispan, N$1,rng_out_mail_ind,$B341,rng_out_ds,$C341,rng_out_sel_sp_ind,$D341,rng_out_sel_excl_ind,$E341, rng_out_MSB_excl, $F341)* _xlfn.XLOOKUP([1]Tables!$HN$5,'[1]RA Output'!$AY$4:$AY$5,'[1]RA Output'!AZ$4:AZ$5,0)) * ((1-[1]Tables!$BN$4)/[1]Tables!$BN$4) * [1]Tables!$BN$5)/[1]Tables!$AT$4, 0) +
IFERROR((SUMIFS(rng_out_awp_post_yr1,rng_out_sel_excl_yr_ind, "", rng_out_GB_Medispan, I$1,rng_out_mail_ind,$B341,rng_out_ds,$C341,rng_out_sel_sp_ind,$D341,rng_out_sel_excl_ind,$E341)+
SUMIFS(rng_out_awp_post_yr1,rng_out_sel_excl_yr_ind, [1]Tables!$HN$4, rng_out_GB_Medispan, I$1,rng_out_mail_ind,$B341,rng_out_ds,$C341,rng_out_sel_sp_ind,$D341,rng_out_sel_excl_ind,$E341)* _xlfn.XLOOKUP([1]Tables!$HN$4,'[1]RA Output'!$AY$4:$AY$5,'[1]RA Output'!AZ$4:AZ$5,0)  +
SUMIFS(rng_out_awp_post_yr1,rng_out_sel_excl_yr_ind, [1]Tables!$HN$5, rng_out_GB_Medispan, I$1,rng_out_mail_ind,$B341,rng_out_ds,$C341,rng_out_sel_sp_ind,$D341,rng_out_sel_excl_ind,$E341)* _xlfn.XLOOKUP([1]Tables!$HN$5,'[1]RA Output'!$AY$4:$AY$5,'[1]RA Output'!AZ$4:AZ$5,0))/[1]Tables!$AT$4, 0),
IFERROR(IF(OR(input_Shift="No", [1]Tables!$BN$4=1), 0, (SUMIFS(rng_out_awp_post_yr1,rng_out_sel_excl_yr_ind, "", rng_out_GB_Medispan, N$1,rng_out_mail_ind,$B341,rng_out_ds,$C341,rng_out_sel_sp_ind,$D341,rng_out_sel_excl_ind,$E341, rng_out_MSB_excl, $F341)+
SUMIFS(rng_out_awp_post_yr1,rng_out_sel_excl_yr_ind, [1]Tables!$HN$4, rng_out_GB_Medispan, N$1,rng_out_mail_ind,$B341,rng_out_ds,$C341,rng_out_sel_sp_ind,$D341,rng_out_sel_excl_ind,$E341, rng_out_MSB_excl, $F341)* _xlfn.XLOOKUP([1]Tables!$HN$4,'[1]RA Output'!$AY$4:$AY$5,'[1]RA Output'!AZ$4:AZ$5,0)  +
SUMIFS(rng_out_awp_post_yr1,rng_out_sel_excl_yr_ind, [1]Tables!$HN$5, rng_out_GB_Medispan, N$1,rng_out_mail_ind,$B341,rng_out_ds,$C341,rng_out_sel_sp_ind,$D341,rng_out_sel_excl_ind,$E341, rng_out_MSB_excl, $F341)* _xlfn.XLOOKUP([1]Tables!$HN$5,'[1]RA Output'!$AY$4:$AY$5,'[1]RA Output'!AZ$4:AZ$5,0)+
SUMIFS(rng_out_awp_post_yr1, rng_out_mail_ind, $B341, rng_out_GB_Medispan, I$1, rng_out_ds, $C341, rng_out_sel_sp_ind, $D341, rng_out_sel_excl_ind,"N", rng_out_MSB_excl, $F341, rng_out_post_reb_ind_yr1, 0)) * ((1-[1]Tables!$BN$4)/[1]Tables!$BN$4) * [1]Tables!$BN$5)/[1]Tables!$AT$4, 0) +
IFERROR(SUMIFS(rng_out_awp_post_yr1,rng_out_sel_excl_yr_ind, "", rng_out_GB_Medispan, I$1,rng_out_mail_ind,$B341,rng_out_ds,$C341,rng_out_sel_sp_ind,$D341,rng_out_sel_excl_ind,$E341)+
SUMIFS(rng_out_awp_post_yr1,rng_out_sel_excl_yr_ind, [1]Tables!$HN$4, rng_out_GB_Medispan, I$1,rng_out_mail_ind,$B341,rng_out_ds,$C341,rng_out_sel_sp_ind,$D341,rng_out_sel_excl_ind,$E341)* _xlfn.XLOOKUP([1]Tables!$HN$4,'[1]RA Output'!$AY$4:$AY$5,'[1]RA Output'!AZ$4:AZ$5,0)  +
SUMIFS(rng_out_awp_post_yr1,rng_out_sel_excl_yr_ind, [1]Tables!$HN$5, rng_out_GB_Medispan, I$1,rng_out_mail_ind,$B341,rng_out_ds,$C341,rng_out_sel_sp_ind,$D341,rng_out_sel_excl_ind,$E341)* _xlfn.XLOOKUP([1]Tables!$HN$5,'[1]RA Output'!$AY$4:$AY$5,'[1]RA Output'!AZ$4:AZ$5,0) + SUMIFS(rng_out_awp_post_yr1, rng_out_GB_Medispan, I$1, rng_out_mail_ind, $B341, rng_out_ds, $C341, rng_out_sel_sp_ind, $D341, rng_out_sel_excl_ind,"N", rng_out_post_reb_ind_yr1, 0)/[1]Tables!$AT$4, 0))</f>
        <v>0</v>
      </c>
      <c r="AR341" s="5" cm="1">
        <f t="array" aca="1" ref="AR341" ca="1">IF($E$327="N", IFERROR(IF(OR(input_Shift="No", [1]Tables!$BN$4=1), 0, (SUMIFS(rng_out_awp_post_yr2,rng_out_sel_excl_yr_ind, "", rng_out_GB_Medispan, O$1,rng_out_mail_ind,$B341,rng_out_ds,$C341,rng_out_sel_sp_ind,$D341,rng_out_sel_excl_ind,$E341, rng_out_MSB_excl, $F341)+
SUMIFS(rng_out_awp_post_yr2,rng_out_sel_excl_yr_ind, [1]Tables!$HN$4, rng_out_GB_Medispan, O$1,rng_out_mail_ind,$B341,rng_out_ds,$C341,rng_out_sel_sp_ind,$D341,rng_out_sel_excl_ind,$E341, rng_out_MSB_excl, $F341)* _xlfn.XLOOKUP([1]Tables!$HN$4,'[1]RA Output'!$AY$4:$AY$5,'[1]RA Output'!BA$4:BA$5,0)  +
SUMIFS(rng_out_awp_post_yr2,rng_out_sel_excl_yr_ind, [1]Tables!$HN$5, rng_out_GB_Medispan, O$1,rng_out_mail_ind,$B341,rng_out_ds,$C341,rng_out_sel_sp_ind,$D341,rng_out_sel_excl_ind,$E341, rng_out_MSB_excl, $F341)* _xlfn.XLOOKUP([1]Tables!$HN$5,'[1]RA Output'!$AY$4:$AY$5,'[1]RA Output'!BA$4:BA$5,0)) * ((1-[1]Tables!$BN$4)/[1]Tables!$BN$4) * [1]Tables!$BN$5)/[1]Tables!$AT$4, 0) +
IFERROR((SUMIFS(rng_out_awp_post_yr2,rng_out_sel_excl_yr_ind, "", rng_out_GB_Medispan, J$1,rng_out_mail_ind,$B341,rng_out_ds,$C341,rng_out_sel_sp_ind,$D341,rng_out_sel_excl_ind,$E341)+
SUMIFS(rng_out_awp_post_yr2,rng_out_sel_excl_yr_ind, [1]Tables!$HN$4, rng_out_GB_Medispan, J$1,rng_out_mail_ind,$B341,rng_out_ds,$C341,rng_out_sel_sp_ind,$D341,rng_out_sel_excl_ind,$E341)* _xlfn.XLOOKUP([1]Tables!$HN$4,'[1]RA Output'!$AY$4:$AY$5,'[1]RA Output'!BA$4:BA$5,0)  +
SUMIFS(rng_out_awp_post_yr2,rng_out_sel_excl_yr_ind, [1]Tables!$HN$5, rng_out_GB_Medispan, J$1,rng_out_mail_ind,$B341,rng_out_ds,$C341,rng_out_sel_sp_ind,$D341,rng_out_sel_excl_ind,$E341)* _xlfn.XLOOKUP([1]Tables!$HN$5,'[1]RA Output'!$AY$4:$AY$5,'[1]RA Output'!BA$4:BA$5,0))/[1]Tables!$AT$4, 0),
IFERROR(IF(OR(input_Shift="No", [1]Tables!$BN$4=1), 0, (SUMIFS(rng_out_awp_post_yr2,rng_out_sel_excl_yr_ind, "", rng_out_GB_Medispan, O$1,rng_out_mail_ind,$B341,rng_out_ds,$C341,rng_out_sel_sp_ind,$D341,rng_out_sel_excl_ind,$E341, rng_out_MSB_excl, $F341)+
SUMIFS(rng_out_awp_post_yr2,rng_out_sel_excl_yr_ind, [1]Tables!$HN$4, rng_out_GB_Medispan, O$1,rng_out_mail_ind,$B341,rng_out_ds,$C341,rng_out_sel_sp_ind,$D341,rng_out_sel_excl_ind,$E341, rng_out_MSB_excl, $F341)* _xlfn.XLOOKUP([1]Tables!$HN$4,'[1]RA Output'!$AY$4:$AY$5,'[1]RA Output'!BA$4:BA$5,0)  +
SUMIFS(rng_out_awp_post_yr2,rng_out_sel_excl_yr_ind, [1]Tables!$HN$5, rng_out_GB_Medispan, O$1,rng_out_mail_ind,$B341,rng_out_ds,$C341,rng_out_sel_sp_ind,$D341,rng_out_sel_excl_ind,$E341, rng_out_MSB_excl, $F341)* _xlfn.XLOOKUP([1]Tables!$HN$5,'[1]RA Output'!$AY$4:$AY$5,'[1]RA Output'!BA$4:BA$5,0)+
SUMIFS(rng_out_awp_post_yr2, rng_out_mail_ind, $B341, rng_out_GB_Medispan, J$1, rng_out_ds, $C341, rng_out_sel_sp_ind, $D341, rng_out_sel_excl_ind,"N", rng_out_MSB_excl, $F341, rng_out_post_reb_ind_yr2, 0)) * ((1-[1]Tables!$BN$4)/[1]Tables!$BN$4) * [1]Tables!$BN$5)/[1]Tables!$AT$4, 0) +
IFERROR(SUMIFS(rng_out_awp_post_yr2,rng_out_sel_excl_yr_ind, "", rng_out_GB_Medispan, J$1,rng_out_mail_ind,$B341,rng_out_ds,$C341,rng_out_sel_sp_ind,$D341,rng_out_sel_excl_ind,$E341)+
SUMIFS(rng_out_awp_post_yr2,rng_out_sel_excl_yr_ind, [1]Tables!$HN$4, rng_out_GB_Medispan, J$1,rng_out_mail_ind,$B341,rng_out_ds,$C341,rng_out_sel_sp_ind,$D341,rng_out_sel_excl_ind,$E341)* _xlfn.XLOOKUP([1]Tables!$HN$4,'[1]RA Output'!$AY$4:$AY$5,'[1]RA Output'!BA$4:BA$5,0)  +
SUMIFS(rng_out_awp_post_yr2,rng_out_sel_excl_yr_ind, [1]Tables!$HN$5, rng_out_GB_Medispan, J$1,rng_out_mail_ind,$B341,rng_out_ds,$C341,rng_out_sel_sp_ind,$D341,rng_out_sel_excl_ind,$E341)* _xlfn.XLOOKUP([1]Tables!$HN$5,'[1]RA Output'!$AY$4:$AY$5,'[1]RA Output'!BA$4:BA$5,0) + SUMIFS(rng_out_awp_post_yr2, rng_out_GB_Medispan, J$1, rng_out_mail_ind, $B341, rng_out_ds, $C341, rng_out_sel_sp_ind, $D341, rng_out_sel_excl_ind,"N", rng_out_post_reb_ind_yr2, 0)/[1]Tables!$AT$4, 0))</f>
        <v>0</v>
      </c>
      <c r="AS341" s="5" cm="1">
        <f t="array" aca="1" ref="AS341" ca="1">IF($E$327="N", IFERROR(IF(OR(input_Shift="No", [1]Tables!$BN$4=1), 0, (SUMIFS(rng_out_awp_post_yr3,rng_out_sel_excl_yr_ind, "", rng_out_GB_Medispan, P$1,rng_out_mail_ind,$B341,rng_out_ds,$C341,rng_out_sel_sp_ind,$D341,rng_out_sel_excl_ind,$E341, rng_out_MSB_excl, $F341)+
SUMIFS(rng_out_awp_post_yr3,rng_out_sel_excl_yr_ind, [1]Tables!$HN$4, rng_out_GB_Medispan, P$1,rng_out_mail_ind,$B341,rng_out_ds,$C341,rng_out_sel_sp_ind,$D341,rng_out_sel_excl_ind,$E341, rng_out_MSB_excl, $F341)* _xlfn.XLOOKUP([1]Tables!$HN$4,'[1]RA Output'!$AY$4:$AY$5,'[1]RA Output'!BB$4:BB$5,0)  +
SUMIFS(rng_out_awp_post_yr3,rng_out_sel_excl_yr_ind, [1]Tables!$HN$5, rng_out_GB_Medispan, P$1,rng_out_mail_ind,$B341,rng_out_ds,$C341,rng_out_sel_sp_ind,$D341,rng_out_sel_excl_ind,$E341, rng_out_MSB_excl, $F341)* _xlfn.XLOOKUP([1]Tables!$HN$5,'[1]RA Output'!$AY$4:$AY$5,'[1]RA Output'!BB$4:BB$5,0)) * ((1-[1]Tables!$BN$4)/[1]Tables!$BN$4) * [1]Tables!$BN$5)/[1]Tables!$AT$4, 0) +
IFERROR((SUMIFS(rng_out_awp_post_yr3,rng_out_sel_excl_yr_ind, "", rng_out_GB_Medispan, K$1,rng_out_mail_ind,$B341,rng_out_ds,$C341,rng_out_sel_sp_ind,$D341,rng_out_sel_excl_ind,$E341)+
SUMIFS(rng_out_awp_post_yr3,rng_out_sel_excl_yr_ind, [1]Tables!$HN$4, rng_out_GB_Medispan, K$1,rng_out_mail_ind,$B341,rng_out_ds,$C341,rng_out_sel_sp_ind,$D341,rng_out_sel_excl_ind,$E341)* _xlfn.XLOOKUP([1]Tables!$HN$4,'[1]RA Output'!$AY$4:$AY$5,'[1]RA Output'!BB$4:BB$5,0)  +
SUMIFS(rng_out_awp_post_yr3,rng_out_sel_excl_yr_ind, [1]Tables!$HN$5, rng_out_GB_Medispan, K$1,rng_out_mail_ind,$B341,rng_out_ds,$C341,rng_out_sel_sp_ind,$D341,rng_out_sel_excl_ind,$E341)* _xlfn.XLOOKUP([1]Tables!$HN$5,'[1]RA Output'!$AY$4:$AY$5,'[1]RA Output'!BB$4:BB$5,0))/[1]Tables!$AT$4, 0),
IFERROR(IF(OR(input_Shift="No", [1]Tables!$BN$4=1), 0, (SUMIFS(rng_out_awp_post_yr3,rng_out_sel_excl_yr_ind, "", rng_out_GB_Medispan, P$1,rng_out_mail_ind,$B341,rng_out_ds,$C341,rng_out_sel_sp_ind,$D341,rng_out_sel_excl_ind,$E341, rng_out_MSB_excl, $F341)+
SUMIFS(rng_out_awp_post_yr3,rng_out_sel_excl_yr_ind, [1]Tables!$HN$4, rng_out_GB_Medispan, P$1,rng_out_mail_ind,$B341,rng_out_ds,$C341,rng_out_sel_sp_ind,$D341,rng_out_sel_excl_ind,$E341, rng_out_MSB_excl, $F341)* _xlfn.XLOOKUP([1]Tables!$HN$4,'[1]RA Output'!$AY$4:$AY$5,'[1]RA Output'!BB$4:BB$5,0)  +
SUMIFS(rng_out_awp_post_yr3,rng_out_sel_excl_yr_ind, [1]Tables!$HN$5, rng_out_GB_Medispan, P$1,rng_out_mail_ind,$B341,rng_out_ds,$C341,rng_out_sel_sp_ind,$D341,rng_out_sel_excl_ind,$E341, rng_out_MSB_excl, $F341)* _xlfn.XLOOKUP([1]Tables!$HN$5,'[1]RA Output'!$AY$4:$AY$5,'[1]RA Output'!BB$4:BB$5,0)+
SUMIFS(rng_out_awp_post_yr3, rng_out_mail_ind, $B341, rng_out_GB_Medispan, K$1, rng_out_ds, $C341, rng_out_sel_sp_ind, $D341, rng_out_sel_excl_ind,"N", rng_out_MSB_excl, $F341, rng_out_post_reb_ind_yr3, 0)) * ((1-[1]Tables!$BN$4)/[1]Tables!$BN$4) * [1]Tables!$BN$5)/[1]Tables!$AT$4, 0) +
IFERROR(SUMIFS(rng_out_awp_post_yr3,rng_out_sel_excl_yr_ind, "", rng_out_GB_Medispan, K$1,rng_out_mail_ind,$B341,rng_out_ds,$C341,rng_out_sel_sp_ind,$D341,rng_out_sel_excl_ind,$E341)+
SUMIFS(rng_out_awp_post_yr3,rng_out_sel_excl_yr_ind, [1]Tables!$HN$4, rng_out_GB_Medispan, K$1,rng_out_mail_ind,$B341,rng_out_ds,$C341,rng_out_sel_sp_ind,$D341,rng_out_sel_excl_ind,$E341)* _xlfn.XLOOKUP([1]Tables!$HN$4,'[1]RA Output'!$AY$4:$AY$5,'[1]RA Output'!BB$4:BB$5,0)  +
SUMIFS(rng_out_awp_post_yr3,rng_out_sel_excl_yr_ind, [1]Tables!$HN$5, rng_out_GB_Medispan, K$1,rng_out_mail_ind,$B341,rng_out_ds,$C341,rng_out_sel_sp_ind,$D341,rng_out_sel_excl_ind,$E341)* _xlfn.XLOOKUP([1]Tables!$HN$5,'[1]RA Output'!$AY$4:$AY$5,'[1]RA Output'!BB$4:BB$5,0) + SUMIFS(rng_out_awp_post_yr3, rng_out_GB_Medispan, K$1, rng_out_mail_ind, $B341, rng_out_ds, $C341, rng_out_sel_sp_ind, $D341, rng_out_sel_excl_ind,"N", rng_out_post_reb_ind_yr3, 0)/[1]Tables!$AT$4, 0))</f>
        <v>0</v>
      </c>
      <c r="AT341" s="5" cm="1">
        <f t="array" aca="1" ref="AT341" ca="1">IF($E$327="N", IFERROR(IF(OR(input_Shift="No", [1]Tables!$BN$4=1), 0, (SUMIFS(rng_out_awp_post_yr4,rng_out_sel_excl_yr_ind, "", rng_out_GB_Medispan, Q$1,rng_out_mail_ind,$B341,rng_out_ds,$C341,rng_out_sel_sp_ind,$D341,rng_out_sel_excl_ind,$E341, rng_out_MSB_excl, $F341)+
SUMIFS(rng_out_awp_post_yr4,rng_out_sel_excl_yr_ind, [1]Tables!$HN$4, rng_out_GB_Medispan, Q$1,rng_out_mail_ind,$B341,rng_out_ds,$C341,rng_out_sel_sp_ind,$D341,rng_out_sel_excl_ind,$E341, rng_out_MSB_excl, $F341)* _xlfn.XLOOKUP([1]Tables!$HN$4,'[1]RA Output'!$AY$4:$AY$5,'[1]RA Output'!BC$4:BC$5,0)  +
SUMIFS(rng_out_awp_post_yr4,rng_out_sel_excl_yr_ind, [1]Tables!$HN$5, rng_out_GB_Medispan, Q$1,rng_out_mail_ind,$B341,rng_out_ds,$C341,rng_out_sel_sp_ind,$D341,rng_out_sel_excl_ind,$E341, rng_out_MSB_excl, $F341)* _xlfn.XLOOKUP([1]Tables!$HN$5,'[1]RA Output'!$AY$4:$AY$5,'[1]RA Output'!BC$4:BC$5,0)) * ((1-[1]Tables!$BN$4)/[1]Tables!$BN$4) * [1]Tables!$BN$5)/[1]Tables!$AT$4, 0) +
IFERROR((SUMIFS(rng_out_awp_post_yr4,rng_out_sel_excl_yr_ind, "", rng_out_GB_Medispan, L$1,rng_out_mail_ind,$B341,rng_out_ds,$C341,rng_out_sel_sp_ind,$D341,rng_out_sel_excl_ind,$E341)+
SUMIFS(rng_out_awp_post_yr4,rng_out_sel_excl_yr_ind, [1]Tables!$HN$4, rng_out_GB_Medispan, L$1,rng_out_mail_ind,$B341,rng_out_ds,$C341,rng_out_sel_sp_ind,$D341,rng_out_sel_excl_ind,$E341)* _xlfn.XLOOKUP([1]Tables!$HN$4,'[1]RA Output'!$AY$4:$AY$5,'[1]RA Output'!BC$4:BC$5,0)  +
SUMIFS(rng_out_awp_post_yr4,rng_out_sel_excl_yr_ind, [1]Tables!$HN$5, rng_out_GB_Medispan, L$1,rng_out_mail_ind,$B341,rng_out_ds,$C341,rng_out_sel_sp_ind,$D341,rng_out_sel_excl_ind,$E341)* _xlfn.XLOOKUP([1]Tables!$HN$5,'[1]RA Output'!$AY$4:$AY$5,'[1]RA Output'!BC$4:BC$5,0))/[1]Tables!$AT$4, 0),
IFERROR(IF(OR(input_Shift="No", [1]Tables!$BN$4=1), 0, (SUMIFS(rng_out_awp_post_yr4,rng_out_sel_excl_yr_ind, "", rng_out_GB_Medispan, Q$1,rng_out_mail_ind,$B341,rng_out_ds,$C341,rng_out_sel_sp_ind,$D341,rng_out_sel_excl_ind,$E341, rng_out_MSB_excl, $F341)+
SUMIFS(rng_out_awp_post_yr4,rng_out_sel_excl_yr_ind, [1]Tables!$HN$4, rng_out_GB_Medispan, Q$1,rng_out_mail_ind,$B341,rng_out_ds,$C341,rng_out_sel_sp_ind,$D341,rng_out_sel_excl_ind,$E341, rng_out_MSB_excl, $F341)* _xlfn.XLOOKUP([1]Tables!$HN$4,'[1]RA Output'!$AY$4:$AY$5,'[1]RA Output'!BC$4:BC$5,0)  +
SUMIFS(rng_out_awp_post_yr4,rng_out_sel_excl_yr_ind, [1]Tables!$HN$5, rng_out_GB_Medispan, Q$1,rng_out_mail_ind,$B341,rng_out_ds,$C341,rng_out_sel_sp_ind,$D341,rng_out_sel_excl_ind,$E341, rng_out_MSB_excl, $F341)* _xlfn.XLOOKUP([1]Tables!$HN$5,'[1]RA Output'!$AY$4:$AY$5,'[1]RA Output'!BC$4:BC$5,0)+
SUMIFS(rng_out_awp_post_yr4, rng_out_mail_ind, $B341, rng_out_GB_Medispan, L$1, rng_out_ds, $C341, rng_out_sel_sp_ind, $D341, rng_out_sel_excl_ind,"N", rng_out_MSB_excl, $F341, rng_out_post_reb_ind_yr4, 0)) * ((1-[1]Tables!$BN$4)/[1]Tables!$BN$4) * [1]Tables!$BN$5)/[1]Tables!$AT$4, 0) +
IFERROR(SUMIFS(rng_out_awp_post_yr4,rng_out_sel_excl_yr_ind, "", rng_out_GB_Medispan, L$1,rng_out_mail_ind,$B341,rng_out_ds,$C341,rng_out_sel_sp_ind,$D341,rng_out_sel_excl_ind,$E341)+
SUMIFS(rng_out_awp_post_yr4,rng_out_sel_excl_yr_ind, [1]Tables!$HN$4, rng_out_GB_Medispan, L$1,rng_out_mail_ind,$B341,rng_out_ds,$C341,rng_out_sel_sp_ind,$D341,rng_out_sel_excl_ind,$E341)* _xlfn.XLOOKUP([1]Tables!$HN$4,'[1]RA Output'!$AY$4:$AY$5,'[1]RA Output'!BC$4:BC$5,0)  +
SUMIFS(rng_out_awp_post_yr4,rng_out_sel_excl_yr_ind, [1]Tables!$HN$5, rng_out_GB_Medispan, L$1,rng_out_mail_ind,$B341,rng_out_ds,$C341,rng_out_sel_sp_ind,$D341,rng_out_sel_excl_ind,$E341)* _xlfn.XLOOKUP([1]Tables!$HN$5,'[1]RA Output'!$AY$4:$AY$5,'[1]RA Output'!BC$4:BC$5,0) + SUMIFS(rng_out_awp_post_yr4, rng_out_GB_Medispan, L$1, rng_out_mail_ind, $B341, rng_out_ds, $C341, rng_out_sel_sp_ind, $D341, rng_out_sel_excl_ind,"N", rng_out_post_reb_ind_yr4, 0)/[1]Tables!$AT$4, 0))</f>
        <v>0</v>
      </c>
      <c r="AU341" s="85" cm="1">
        <f t="array" aca="1" ref="AU341" ca="1">IF($E$327="N", IFERROR(IF(OR(input_Shift="No", [1]Tables!$BN$4=1), 0, (SUMIFS(rng_out_awp_post_yr5,rng_out_sel_excl_yr_ind, "", rng_out_GB_Medispan, R$1,rng_out_mail_ind,$B341,rng_out_ds,$C341,rng_out_sel_sp_ind,$D341,rng_out_sel_excl_ind,$E341, rng_out_MSB_excl, $F341)+
SUMIFS(rng_out_awp_post_yr5,rng_out_sel_excl_yr_ind, [1]Tables!$HN$4, rng_out_GB_Medispan, R$1,rng_out_mail_ind,$B341,rng_out_ds,$C341,rng_out_sel_sp_ind,$D341,rng_out_sel_excl_ind,$E341, rng_out_MSB_excl, $F341)* _xlfn.XLOOKUP([1]Tables!$HN$4,'[1]RA Output'!$AY$4:$AY$5,'[1]RA Output'!BD$4:BD$5,0)  +
SUMIFS(rng_out_awp_post_yr5,rng_out_sel_excl_yr_ind, [1]Tables!$HN$5, rng_out_GB_Medispan, R$1,rng_out_mail_ind,$B341,rng_out_ds,$C341,rng_out_sel_sp_ind,$D341,rng_out_sel_excl_ind,$E341, rng_out_MSB_excl, $F341)* _xlfn.XLOOKUP([1]Tables!$HN$5,'[1]RA Output'!$AY$4:$AY$5,'[1]RA Output'!BD$4:BD$5,0)) * ((1-[1]Tables!$BN$4)/[1]Tables!$BN$4) * [1]Tables!$BN$5)/[1]Tables!$AT$4, 0) +
IFERROR((SUMIFS(rng_out_awp_post_yr5,rng_out_sel_excl_yr_ind, "", rng_out_GB_Medispan, M$1,rng_out_mail_ind,$B341,rng_out_ds,$C341,rng_out_sel_sp_ind,$D341,rng_out_sel_excl_ind,$E341)+
SUMIFS(rng_out_awp_post_yr5,rng_out_sel_excl_yr_ind, [1]Tables!$HN$4, rng_out_GB_Medispan, M$1,rng_out_mail_ind,$B341,rng_out_ds,$C341,rng_out_sel_sp_ind,$D341,rng_out_sel_excl_ind,$E341)* _xlfn.XLOOKUP([1]Tables!$HN$4,'[1]RA Output'!$AY$4:$AY$5,'[1]RA Output'!BD$4:BD$5,0)  +
SUMIFS(rng_out_awp_post_yr5,rng_out_sel_excl_yr_ind, [1]Tables!$HN$5, rng_out_GB_Medispan, M$1,rng_out_mail_ind,$B341,rng_out_ds,$C341,rng_out_sel_sp_ind,$D341,rng_out_sel_excl_ind,$E341)* _xlfn.XLOOKUP([1]Tables!$HN$5,'[1]RA Output'!$AY$4:$AY$5,'[1]RA Output'!BD$4:BD$5,0))/[1]Tables!$AT$4, 0),
IFERROR(IF(OR(input_Shift="No", [1]Tables!$BN$4=1), 0, (SUMIFS(rng_out_awp_post_yr5,rng_out_sel_excl_yr_ind, "", rng_out_GB_Medispan, R$1,rng_out_mail_ind,$B341,rng_out_ds,$C341,rng_out_sel_sp_ind,$D341,rng_out_sel_excl_ind,$E341, rng_out_MSB_excl, $F341)+
SUMIFS(rng_out_awp_post_yr5,rng_out_sel_excl_yr_ind, [1]Tables!$HN$4, rng_out_GB_Medispan, R$1,rng_out_mail_ind,$B341,rng_out_ds,$C341,rng_out_sel_sp_ind,$D341,rng_out_sel_excl_ind,$E341, rng_out_MSB_excl, $F341)* _xlfn.XLOOKUP([1]Tables!$HN$4,'[1]RA Output'!$AY$4:$AY$5,'[1]RA Output'!BD$4:BD$5,0)  +
SUMIFS(rng_out_awp_post_yr5,rng_out_sel_excl_yr_ind, [1]Tables!$HN$5, rng_out_GB_Medispan, R$1,rng_out_mail_ind,$B341,rng_out_ds,$C341,rng_out_sel_sp_ind,$D341,rng_out_sel_excl_ind,$E341, rng_out_MSB_excl, $F341)* _xlfn.XLOOKUP([1]Tables!$HN$5,'[1]RA Output'!$AY$4:$AY$5,'[1]RA Output'!BD$4:BD$5,0)+
SUMIFS(rng_out_awp_post_yr5, rng_out_mail_ind, $B341, rng_out_GB_Medispan, M$1, rng_out_ds, $C341, rng_out_sel_sp_ind, $D341, rng_out_sel_excl_ind,"N", rng_out_MSB_excl, $F341, rng_out_post_reb_ind_yr5, 0)) * ((1-[1]Tables!$BN$4)/[1]Tables!$BN$4) * [1]Tables!$BN$5)/[1]Tables!$AT$4, 0) +
IFERROR(SUMIFS(rng_out_awp_post_yr5,rng_out_sel_excl_yr_ind, "", rng_out_GB_Medispan, M$1,rng_out_mail_ind,$B341,rng_out_ds,$C341,rng_out_sel_sp_ind,$D341,rng_out_sel_excl_ind,$E341)+
SUMIFS(rng_out_awp_post_yr5,rng_out_sel_excl_yr_ind, [1]Tables!$HN$4, rng_out_GB_Medispan, M$1,rng_out_mail_ind,$B341,rng_out_ds,$C341,rng_out_sel_sp_ind,$D341,rng_out_sel_excl_ind,$E341)* _xlfn.XLOOKUP([1]Tables!$HN$4,'[1]RA Output'!$AY$4:$AY$5,'[1]RA Output'!BD$4:BD$5,0)  +
SUMIFS(rng_out_awp_post_yr5,rng_out_sel_excl_yr_ind, [1]Tables!$HN$5, rng_out_GB_Medispan, M$1,rng_out_mail_ind,$B341,rng_out_ds,$C341,rng_out_sel_sp_ind,$D341,rng_out_sel_excl_ind,$E341)* _xlfn.XLOOKUP([1]Tables!$HN$5,'[1]RA Output'!$AY$4:$AY$5,'[1]RA Output'!BD$4:BD$5,0) + SUMIFS(rng_out_awp_post_yr5, rng_out_GB_Medispan, M$1, rng_out_mail_ind, $B341, rng_out_ds, $C341, rng_out_sel_sp_ind, $D341, rng_out_sel_excl_ind,"N", rng_out_post_reb_ind_yr5, 0)/[1]Tables!$AT$4, 0))</f>
        <v>0</v>
      </c>
      <c r="AV341" s="86">
        <f t="shared" ref="AV341:AZ345" ca="1" si="365">IFERROR(AQ341/AQ294, 0)</f>
        <v>0</v>
      </c>
      <c r="AW341" s="75">
        <f t="shared" ca="1" si="365"/>
        <v>0</v>
      </c>
      <c r="AX341" s="75">
        <f t="shared" ca="1" si="365"/>
        <v>0</v>
      </c>
      <c r="AY341" s="75">
        <f t="shared" ca="1" si="365"/>
        <v>0</v>
      </c>
      <c r="AZ341" s="87">
        <f t="shared" ca="1" si="365"/>
        <v>0</v>
      </c>
      <c r="BG341" s="88" t="s">
        <v>14</v>
      </c>
      <c r="BH341" s="97">
        <f t="shared" ref="BH341:BL344" ca="1" si="366">AQ341</f>
        <v>0</v>
      </c>
      <c r="BI341" s="79">
        <f t="shared" ca="1" si="366"/>
        <v>0</v>
      </c>
      <c r="BJ341" s="79">
        <f t="shared" ca="1" si="366"/>
        <v>0</v>
      </c>
      <c r="BK341" s="79">
        <f t="shared" ca="1" si="366"/>
        <v>0</v>
      </c>
      <c r="BL341" s="98">
        <f t="shared" ca="1" si="366"/>
        <v>0</v>
      </c>
      <c r="BM341" s="92">
        <f t="shared" ref="BM341:BQ345" ca="1" si="367">IFERROR(BH341/BH294, 0)</f>
        <v>0</v>
      </c>
      <c r="BN341" s="75">
        <f t="shared" ca="1" si="367"/>
        <v>0</v>
      </c>
      <c r="BO341" s="75">
        <f t="shared" ca="1" si="367"/>
        <v>0</v>
      </c>
      <c r="BP341" s="75">
        <f t="shared" ca="1" si="367"/>
        <v>0</v>
      </c>
      <c r="BQ341" s="93">
        <f t="shared" ca="1" si="367"/>
        <v>0</v>
      </c>
      <c r="BX341" s="88" t="s">
        <v>14</v>
      </c>
      <c r="BY341" s="97" t="e">
        <f t="shared" ref="BY341:CC344" ca="1" si="368">CD341*BY294</f>
        <v>#VALUE!</v>
      </c>
      <c r="BZ341" s="79" t="e">
        <f t="shared" ca="1" si="368"/>
        <v>#VALUE!</v>
      </c>
      <c r="CA341" s="79" t="e">
        <f t="shared" ca="1" si="368"/>
        <v>#VALUE!</v>
      </c>
      <c r="CB341" s="79" t="e">
        <f t="shared" ca="1" si="368"/>
        <v>#VALUE!</v>
      </c>
      <c r="CC341" s="98" t="e">
        <f t="shared" ca="1" si="368"/>
        <v>#VALUE!</v>
      </c>
      <c r="CD341" s="92">
        <f t="shared" ref="CD341:CH344" ca="1" si="369">BM341</f>
        <v>0</v>
      </c>
      <c r="CE341" s="75">
        <f t="shared" ca="1" si="369"/>
        <v>0</v>
      </c>
      <c r="CF341" s="75">
        <f t="shared" ca="1" si="369"/>
        <v>0</v>
      </c>
      <c r="CG341" s="75">
        <f t="shared" ca="1" si="369"/>
        <v>0</v>
      </c>
      <c r="CH341" s="93">
        <f t="shared" ca="1" si="369"/>
        <v>0</v>
      </c>
      <c r="CO341" s="215" cm="1">
        <f t="array" aca="1" ref="CO341" ca="1">_xlfn.SINGLE(IFERROR(SUMIFS(rng_out_awp_base, rng_out_GB_Medispan, "G", rng_out_mail_ind, $B341, rng_out_ds, $C341, rng_out_sel_sp_ind, $D341, rng_out_sel_excl_ind,$E341)/[1]Tables!$AT$4, 0))</f>
        <v>0</v>
      </c>
      <c r="CP341" s="217" cm="1">
        <f t="array" aca="1" ref="CP341" ca="1">_xlfn.SINGLE(IFERROR(SUMIFS(rng_out_awp_base, rng_out_GB_Medispan, "B", rng_out_mail_ind, $B341, rng_out_ds, $C341, rng_out_sel_sp_ind, $D341, rng_out_sel_excl_ind,$E341)/[1]Tables!$AT$4, 0))</f>
        <v>0</v>
      </c>
      <c r="CQ341" s="218">
        <f ca="1">SUM(CO341:CP341)</f>
        <v>0</v>
      </c>
      <c r="CR341" s="94">
        <f t="shared" ref="CR341:CT345" ca="1" si="370">IFERROR(CO341/CO294, 0)</f>
        <v>0</v>
      </c>
      <c r="CS341" s="96">
        <f t="shared" ca="1" si="370"/>
        <v>0</v>
      </c>
      <c r="CT341" s="357">
        <f t="shared" ca="1" si="370"/>
        <v>0</v>
      </c>
    </row>
    <row r="342" spans="2:98" x14ac:dyDescent="0.35">
      <c r="B342" s="105" t="s">
        <v>11</v>
      </c>
      <c r="C342" s="106">
        <v>90</v>
      </c>
      <c r="D342" s="106" t="s">
        <v>12</v>
      </c>
      <c r="E342" s="107" t="s">
        <v>13</v>
      </c>
      <c r="F342" s="106">
        <v>1</v>
      </c>
      <c r="H342" s="108" t="s">
        <v>15</v>
      </c>
      <c r="I342" s="72" t="e" cm="1">
        <f t="array" aca="1" ref="I342" ca="1">SUMIFS(rng_out_awp_pre_yr1,rng_out_sel_excl_yr_ind, "", rng_out_GB_Medispan,I$1,rng_out_mail_ind,$B342,rng_out_ds,$C342,rng_out_sel_sp_ind,$D342,rng_out_sel_excl_ind,$E342)+
SUMIFS(rng_out_awp_pre_yr1,rng_out_sel_excl_yr_ind, [1]Tables!$HN$4,rng_out_GB_Medispan,I$1,rng_out_mail_ind,$B342,rng_out_ds,$C342,rng_out_sel_sp_ind,$D342,rng_out_sel_excl_ind,$E342)* _xlfn.XLOOKUP([1]Tables!$HN$4,'[1]RA Output'!$AY$4:$AY$5,'[1]RA Output'!AZ$4:AZ$5,0)  +
SUMIFS(rng_out_awp_pre_yr1,rng_out_sel_excl_yr_ind, [1]Tables!$HN$5,rng_out_GB_Medispan,I$1,rng_out_mail_ind,$B342,rng_out_ds,$C342,rng_out_sel_sp_ind,$D342,rng_out_sel_excl_ind,$E342)* _xlfn.XLOOKUP([1]Tables!$HN$5,'[1]RA Output'!$AY$4:$AY$5,'[1]RA Output'!AZ$4:AZ$5,0)+
IF($E$345="N", 0,
SUMIFS(rng_out_awp_pre_yr1, rng_out_GB_Medispan, I$1, rng_out_mail_ind, $B342, rng_out_ds, $C342, rng_out_sel_sp_ind, $D342, rng_out_sel_excl_ind,"N", rng_out_post_reb_ind_yr1, 0))</f>
        <v>#VALUE!</v>
      </c>
      <c r="J342" s="5" t="e" cm="1">
        <f t="array" aca="1" ref="J342" ca="1">SUMIFS(rng_out_awp_pre_yr2,rng_out_sel_excl_yr_ind, "", rng_out_GB_Medispan,J$1,rng_out_mail_ind,$B342,rng_out_ds,$C342,rng_out_sel_sp_ind,$D342,rng_out_sel_excl_ind,$E342)+
SUMIFS(rng_out_awp_pre_yr2,rng_out_sel_excl_yr_ind, [1]Tables!$HN$4,rng_out_GB_Medispan,J$1,rng_out_mail_ind,$B342,rng_out_ds,$C342,rng_out_sel_sp_ind,$D342,rng_out_sel_excl_ind,$E342)* _xlfn.XLOOKUP([1]Tables!$HN$4,'[1]RA Output'!$AY$4:$AY$5,'[1]RA Output'!BA$4:BA$5,0)  +
SUMIFS(rng_out_awp_pre_yr2,rng_out_sel_excl_yr_ind, [1]Tables!$HN$5,rng_out_GB_Medispan,J$1,rng_out_mail_ind,$B342,rng_out_ds,$C342,rng_out_sel_sp_ind,$D342,rng_out_sel_excl_ind,$E342)* _xlfn.XLOOKUP([1]Tables!$HN$5,'[1]RA Output'!$AY$4:$AY$5,'[1]RA Output'!BA$4:BA$5,0)+
IF($E$345="N", 0,
SUMIFS(rng_out_awp_pre_yr2, rng_out_GB_Medispan, J$1, rng_out_mail_ind, $B342, rng_out_ds, $C342, rng_out_sel_sp_ind, $D342, rng_out_sel_excl_ind,"N", rng_out_post_reb_ind_yr2, 0))</f>
        <v>#VALUE!</v>
      </c>
      <c r="K342" s="5" t="e" cm="1">
        <f t="array" aca="1" ref="K342" ca="1">SUMIFS(rng_out_awp_pre_yr3,rng_out_sel_excl_yr_ind, "", rng_out_GB_Medispan,K$1,rng_out_mail_ind,$B342,rng_out_ds,$C342,rng_out_sel_sp_ind,$D342,rng_out_sel_excl_ind,$E342)+
SUMIFS(rng_out_awp_pre_yr3,rng_out_sel_excl_yr_ind, [1]Tables!$HN$4,rng_out_GB_Medispan,K$1,rng_out_mail_ind,$B342,rng_out_ds,$C342,rng_out_sel_sp_ind,$D342,rng_out_sel_excl_ind,$E342)* _xlfn.XLOOKUP([1]Tables!$HN$4,'[1]RA Output'!$AY$4:$AY$5,'[1]RA Output'!BB$4:BB$5,0)  +
SUMIFS(rng_out_awp_pre_yr3,rng_out_sel_excl_yr_ind, [1]Tables!$HN$5,rng_out_GB_Medispan,K$1,rng_out_mail_ind,$B342,rng_out_ds,$C342,rng_out_sel_sp_ind,$D342,rng_out_sel_excl_ind,$E342)* _xlfn.XLOOKUP([1]Tables!$HN$5,'[1]RA Output'!$AY$4:$AY$5,'[1]RA Output'!BB$4:BB$5,0)+
IF($E$345="N", 0,
SUMIFS(rng_out_awp_pre_yr3, rng_out_GB_Medispan, K$1, rng_out_mail_ind, $B342, rng_out_ds, $C342, rng_out_sel_sp_ind, $D342, rng_out_sel_excl_ind,"N", rng_out_post_reb_ind_yr3, 0))</f>
        <v>#VALUE!</v>
      </c>
      <c r="L342" s="5" t="e" cm="1">
        <f t="array" aca="1" ref="L342" ca="1">SUMIFS(rng_out_awp_pre_yr4,rng_out_sel_excl_yr_ind, "", rng_out_GB_Medispan,L$1,rng_out_mail_ind,$B342,rng_out_ds,$C342,rng_out_sel_sp_ind,$D342,rng_out_sel_excl_ind,$E342)+
SUMIFS(rng_out_awp_pre_yr4,rng_out_sel_excl_yr_ind, [1]Tables!$HN$4,rng_out_GB_Medispan,L$1,rng_out_mail_ind,$B342,rng_out_ds,$C342,rng_out_sel_sp_ind,$D342,rng_out_sel_excl_ind,$E342)* _xlfn.XLOOKUP([1]Tables!$HN$4,'[1]RA Output'!$AY$4:$AY$5,'[1]RA Output'!BC$4:BC$5,0)  +
SUMIFS(rng_out_awp_pre_yr4,rng_out_sel_excl_yr_ind, [1]Tables!$HN$5,rng_out_GB_Medispan,L$1,rng_out_mail_ind,$B342,rng_out_ds,$C342,rng_out_sel_sp_ind,$D342,rng_out_sel_excl_ind,$E342)* _xlfn.XLOOKUP([1]Tables!$HN$5,'[1]RA Output'!$AY$4:$AY$5,'[1]RA Output'!BC$4:BC$5,0)+
IF($E$345="N", 0,
SUMIFS(rng_out_awp_pre_yr4, rng_out_GB_Medispan, L$1, rng_out_mail_ind, $B342, rng_out_ds, $C342, rng_out_sel_sp_ind, $D342, rng_out_sel_excl_ind,"N", rng_out_post_reb_ind_yr4, 0))</f>
        <v>#VALUE!</v>
      </c>
      <c r="M342" s="73" t="e" cm="1">
        <f t="array" aca="1" ref="M342" ca="1">SUMIFS(rng_out_awp_pre_yr5,rng_out_sel_excl_yr_ind, "", rng_out_GB_Medispan,M$1,rng_out_mail_ind,$B342,rng_out_ds,$C342,rng_out_sel_sp_ind,$D342,rng_out_sel_excl_ind,$E342)+
SUMIFS(rng_out_awp_pre_yr5,rng_out_sel_excl_yr_ind, [1]Tables!$HN$4,rng_out_GB_Medispan,M$1,rng_out_mail_ind,$B342,rng_out_ds,$C342,rng_out_sel_sp_ind,$D342,rng_out_sel_excl_ind,$E342)* _xlfn.XLOOKUP([1]Tables!$HN$4,'[1]RA Output'!$AY$4:$AY$5,'[1]RA Output'!BD$4:BD$5,0)  +
SUMIFS(rng_out_awp_pre_yr5,rng_out_sel_excl_yr_ind, [1]Tables!$HN$5,rng_out_GB_Medispan,M$1,rng_out_mail_ind,$B342,rng_out_ds,$C342,rng_out_sel_sp_ind,$D342,rng_out_sel_excl_ind,$E342)* _xlfn.XLOOKUP([1]Tables!$HN$5,'[1]RA Output'!$AY$4:$AY$5,'[1]RA Output'!BD$4:BD$5,0)+
IF($E$345="N", 0,
SUMIFS(rng_out_awp_pre_yr5, rng_out_GB_Medispan, M$1, rng_out_mail_ind, $B342, rng_out_ds, $C342, rng_out_sel_sp_ind, $D342, rng_out_sel_excl_ind,"N", rng_out_post_reb_ind_yr5, 0))</f>
        <v>#VALUE!</v>
      </c>
      <c r="N342" s="74">
        <f t="shared" ca="1" si="363"/>
        <v>0</v>
      </c>
      <c r="O342" s="75">
        <f t="shared" ca="1" si="363"/>
        <v>0</v>
      </c>
      <c r="P342" s="75">
        <f t="shared" ca="1" si="363"/>
        <v>0</v>
      </c>
      <c r="Q342" s="75">
        <f t="shared" ca="1" si="363"/>
        <v>0</v>
      </c>
      <c r="R342" s="76">
        <f t="shared" ca="1" si="363"/>
        <v>0</v>
      </c>
      <c r="Y342" s="109" t="s">
        <v>15</v>
      </c>
      <c r="Z342" s="78">
        <f ca="1">IFERROR(I342/[1]Tables!$AT$4, 0)</f>
        <v>0</v>
      </c>
      <c r="AA342" s="79">
        <f ca="1">IFERROR(J342/[1]Tables!$AT$4, 0)</f>
        <v>0</v>
      </c>
      <c r="AB342" s="79">
        <f ca="1">IFERROR(K342/[1]Tables!$AT$4, 0)</f>
        <v>0</v>
      </c>
      <c r="AC342" s="79">
        <f ca="1">IFERROR(L342/[1]Tables!$AT$4, 0)</f>
        <v>0</v>
      </c>
      <c r="AD342" s="80">
        <f ca="1">IFERROR(M342/[1]Tables!$AT$4, 0)</f>
        <v>0</v>
      </c>
      <c r="AE342" s="81">
        <f t="shared" ca="1" si="364"/>
        <v>0</v>
      </c>
      <c r="AF342" s="75">
        <f t="shared" ca="1" si="364"/>
        <v>0</v>
      </c>
      <c r="AG342" s="75">
        <f t="shared" ca="1" si="364"/>
        <v>0</v>
      </c>
      <c r="AH342" s="75">
        <f t="shared" ca="1" si="364"/>
        <v>0</v>
      </c>
      <c r="AI342" s="82">
        <f t="shared" ca="1" si="364"/>
        <v>0</v>
      </c>
      <c r="AP342" s="110" t="s">
        <v>15</v>
      </c>
      <c r="AQ342" s="356" cm="1">
        <f t="array" aca="1" ref="AQ342" ca="1">IF($E$327="N", IFERROR(IF(OR(input_Shift="No", [1]Tables!$BN$4=1), 0, (SUMIFS(rng_out_awp_post_yr1,rng_out_sel_excl_yr_ind, "", rng_out_GB_Medispan, N$1,rng_out_mail_ind,$B342,rng_out_ds,$C342,rng_out_sel_sp_ind,$D342,rng_out_sel_excl_ind,$E342, rng_out_MSB_excl, $F342)+
SUMIFS(rng_out_awp_post_yr1,rng_out_sel_excl_yr_ind, [1]Tables!$HN$4, rng_out_GB_Medispan, N$1,rng_out_mail_ind,$B342,rng_out_ds,$C342,rng_out_sel_sp_ind,$D342,rng_out_sel_excl_ind,$E342, rng_out_MSB_excl, $F342)* _xlfn.XLOOKUP([1]Tables!$HN$4,'[1]RA Output'!$AY$4:$AY$5,'[1]RA Output'!AZ$4:AZ$5,0)  +
SUMIFS(rng_out_awp_post_yr1,rng_out_sel_excl_yr_ind, [1]Tables!$HN$5, rng_out_GB_Medispan, N$1,rng_out_mail_ind,$B342,rng_out_ds,$C342,rng_out_sel_sp_ind,$D342,rng_out_sel_excl_ind,$E342, rng_out_MSB_excl, $F342)* _xlfn.XLOOKUP([1]Tables!$HN$5,'[1]RA Output'!$AY$4:$AY$5,'[1]RA Output'!AZ$4:AZ$5,0)) * ((1-[1]Tables!$BN$4)/[1]Tables!$BN$4) * [1]Tables!$BN$5)/[1]Tables!$AT$4, 0) +
IFERROR((SUMIFS(rng_out_awp_post_yr1,rng_out_sel_excl_yr_ind, "", rng_out_GB_Medispan, I$1,rng_out_mail_ind,$B342,rng_out_ds,$C342,rng_out_sel_sp_ind,$D342,rng_out_sel_excl_ind,$E342)+
SUMIFS(rng_out_awp_post_yr1,rng_out_sel_excl_yr_ind, [1]Tables!$HN$4, rng_out_GB_Medispan, I$1,rng_out_mail_ind,$B342,rng_out_ds,$C342,rng_out_sel_sp_ind,$D342,rng_out_sel_excl_ind,$E342)* _xlfn.XLOOKUP([1]Tables!$HN$4,'[1]RA Output'!$AY$4:$AY$5,'[1]RA Output'!AZ$4:AZ$5,0)  +
SUMIFS(rng_out_awp_post_yr1,rng_out_sel_excl_yr_ind, [1]Tables!$HN$5, rng_out_GB_Medispan, I$1,rng_out_mail_ind,$B342,rng_out_ds,$C342,rng_out_sel_sp_ind,$D342,rng_out_sel_excl_ind,$E342)* _xlfn.XLOOKUP([1]Tables!$HN$5,'[1]RA Output'!$AY$4:$AY$5,'[1]RA Output'!AZ$4:AZ$5,0))/[1]Tables!$AT$4, 0),
IFERROR(IF(OR(input_Shift="No", [1]Tables!$BN$4=1), 0, (SUMIFS(rng_out_awp_post_yr1,rng_out_sel_excl_yr_ind, "", rng_out_GB_Medispan, N$1,rng_out_mail_ind,$B342,rng_out_ds,$C342,rng_out_sel_sp_ind,$D342,rng_out_sel_excl_ind,$E342, rng_out_MSB_excl, $F342)+
SUMIFS(rng_out_awp_post_yr1,rng_out_sel_excl_yr_ind, [1]Tables!$HN$4, rng_out_GB_Medispan, N$1,rng_out_mail_ind,$B342,rng_out_ds,$C342,rng_out_sel_sp_ind,$D342,rng_out_sel_excl_ind,$E342, rng_out_MSB_excl, $F342)* _xlfn.XLOOKUP([1]Tables!$HN$4,'[1]RA Output'!$AY$4:$AY$5,'[1]RA Output'!AZ$4:AZ$5,0)  +
SUMIFS(rng_out_awp_post_yr1,rng_out_sel_excl_yr_ind, [1]Tables!$HN$5, rng_out_GB_Medispan, N$1,rng_out_mail_ind,$B342,rng_out_ds,$C342,rng_out_sel_sp_ind,$D342,rng_out_sel_excl_ind,$E342, rng_out_MSB_excl, $F342)* _xlfn.XLOOKUP([1]Tables!$HN$5,'[1]RA Output'!$AY$4:$AY$5,'[1]RA Output'!AZ$4:AZ$5,0)+
SUMIFS(rng_out_awp_post_yr1, rng_out_mail_ind, $B342, rng_out_GB_Medispan, I$1, rng_out_ds, $C342, rng_out_sel_sp_ind, $D342, rng_out_sel_excl_ind,"N", rng_out_MSB_excl, $F342, rng_out_post_reb_ind_yr1, 0)) * ((1-[1]Tables!$BN$4)/[1]Tables!$BN$4) * [1]Tables!$BN$5)/[1]Tables!$AT$4, 0) +
IFERROR(SUMIFS(rng_out_awp_post_yr1,rng_out_sel_excl_yr_ind, "", rng_out_GB_Medispan, I$1,rng_out_mail_ind,$B342,rng_out_ds,$C342,rng_out_sel_sp_ind,$D342,rng_out_sel_excl_ind,$E342)+
SUMIFS(rng_out_awp_post_yr1,rng_out_sel_excl_yr_ind, [1]Tables!$HN$4, rng_out_GB_Medispan, I$1,rng_out_mail_ind,$B342,rng_out_ds,$C342,rng_out_sel_sp_ind,$D342,rng_out_sel_excl_ind,$E342)* _xlfn.XLOOKUP([1]Tables!$HN$4,'[1]RA Output'!$AY$4:$AY$5,'[1]RA Output'!AZ$4:AZ$5,0)  +
SUMIFS(rng_out_awp_post_yr1,rng_out_sel_excl_yr_ind, [1]Tables!$HN$5, rng_out_GB_Medispan, I$1,rng_out_mail_ind,$B342,rng_out_ds,$C342,rng_out_sel_sp_ind,$D342,rng_out_sel_excl_ind,$E342)* _xlfn.XLOOKUP([1]Tables!$HN$5,'[1]RA Output'!$AY$4:$AY$5,'[1]RA Output'!AZ$4:AZ$5,0) + SUMIFS(rng_out_awp_post_yr1, rng_out_GB_Medispan, I$1, rng_out_mail_ind, $B342, rng_out_ds, $C342, rng_out_sel_sp_ind, $D342, rng_out_sel_excl_ind,"N", rng_out_post_reb_ind_yr1, 0)/[1]Tables!$AT$4, 0))</f>
        <v>0</v>
      </c>
      <c r="AR342" s="5" cm="1">
        <f t="array" aca="1" ref="AR342" ca="1">IF($E$327="N", IFERROR(IF(OR(input_Shift="No", [1]Tables!$BN$4=1), 0, (SUMIFS(rng_out_awp_post_yr2,rng_out_sel_excl_yr_ind, "", rng_out_GB_Medispan, O$1,rng_out_mail_ind,$B342,rng_out_ds,$C342,rng_out_sel_sp_ind,$D342,rng_out_sel_excl_ind,$E342, rng_out_MSB_excl, $F342)+
SUMIFS(rng_out_awp_post_yr2,rng_out_sel_excl_yr_ind, [1]Tables!$HN$4, rng_out_GB_Medispan, O$1,rng_out_mail_ind,$B342,rng_out_ds,$C342,rng_out_sel_sp_ind,$D342,rng_out_sel_excl_ind,$E342, rng_out_MSB_excl, $F342)* _xlfn.XLOOKUP([1]Tables!$HN$4,'[1]RA Output'!$AY$4:$AY$5,'[1]RA Output'!BA$4:BA$5,0)  +
SUMIFS(rng_out_awp_post_yr2,rng_out_sel_excl_yr_ind, [1]Tables!$HN$5, rng_out_GB_Medispan, O$1,rng_out_mail_ind,$B342,rng_out_ds,$C342,rng_out_sel_sp_ind,$D342,rng_out_sel_excl_ind,$E342, rng_out_MSB_excl, $F342)* _xlfn.XLOOKUP([1]Tables!$HN$5,'[1]RA Output'!$AY$4:$AY$5,'[1]RA Output'!BA$4:BA$5,0)) * ((1-[1]Tables!$BN$4)/[1]Tables!$BN$4) * [1]Tables!$BN$5)/[1]Tables!$AT$4, 0) +
IFERROR((SUMIFS(rng_out_awp_post_yr2,rng_out_sel_excl_yr_ind, "", rng_out_GB_Medispan, J$1,rng_out_mail_ind,$B342,rng_out_ds,$C342,rng_out_sel_sp_ind,$D342,rng_out_sel_excl_ind,$E342)+
SUMIFS(rng_out_awp_post_yr2,rng_out_sel_excl_yr_ind, [1]Tables!$HN$4, rng_out_GB_Medispan, J$1,rng_out_mail_ind,$B342,rng_out_ds,$C342,rng_out_sel_sp_ind,$D342,rng_out_sel_excl_ind,$E342)* _xlfn.XLOOKUP([1]Tables!$HN$4,'[1]RA Output'!$AY$4:$AY$5,'[1]RA Output'!BA$4:BA$5,0)  +
SUMIFS(rng_out_awp_post_yr2,rng_out_sel_excl_yr_ind, [1]Tables!$HN$5, rng_out_GB_Medispan, J$1,rng_out_mail_ind,$B342,rng_out_ds,$C342,rng_out_sel_sp_ind,$D342,rng_out_sel_excl_ind,$E342)* _xlfn.XLOOKUP([1]Tables!$HN$5,'[1]RA Output'!$AY$4:$AY$5,'[1]RA Output'!BA$4:BA$5,0))/[1]Tables!$AT$4, 0),
IFERROR(IF(OR(input_Shift="No", [1]Tables!$BN$4=1), 0, (SUMIFS(rng_out_awp_post_yr2,rng_out_sel_excl_yr_ind, "", rng_out_GB_Medispan, O$1,rng_out_mail_ind,$B342,rng_out_ds,$C342,rng_out_sel_sp_ind,$D342,rng_out_sel_excl_ind,$E342, rng_out_MSB_excl, $F342)+
SUMIFS(rng_out_awp_post_yr2,rng_out_sel_excl_yr_ind, [1]Tables!$HN$4, rng_out_GB_Medispan, O$1,rng_out_mail_ind,$B342,rng_out_ds,$C342,rng_out_sel_sp_ind,$D342,rng_out_sel_excl_ind,$E342, rng_out_MSB_excl, $F342)* _xlfn.XLOOKUP([1]Tables!$HN$4,'[1]RA Output'!$AY$4:$AY$5,'[1]RA Output'!BA$4:BA$5,0)  +
SUMIFS(rng_out_awp_post_yr2,rng_out_sel_excl_yr_ind, [1]Tables!$HN$5, rng_out_GB_Medispan, O$1,rng_out_mail_ind,$B342,rng_out_ds,$C342,rng_out_sel_sp_ind,$D342,rng_out_sel_excl_ind,$E342, rng_out_MSB_excl, $F342)* _xlfn.XLOOKUP([1]Tables!$HN$5,'[1]RA Output'!$AY$4:$AY$5,'[1]RA Output'!BA$4:BA$5,0)+
SUMIFS(rng_out_awp_post_yr2, rng_out_mail_ind, $B342, rng_out_GB_Medispan, J$1, rng_out_ds, $C342, rng_out_sel_sp_ind, $D342, rng_out_sel_excl_ind,"N", rng_out_MSB_excl, $F342, rng_out_post_reb_ind_yr2, 0)) * ((1-[1]Tables!$BN$4)/[1]Tables!$BN$4) * [1]Tables!$BN$5)/[1]Tables!$AT$4, 0) +
IFERROR(SUMIFS(rng_out_awp_post_yr2,rng_out_sel_excl_yr_ind, "", rng_out_GB_Medispan, J$1,rng_out_mail_ind,$B342,rng_out_ds,$C342,rng_out_sel_sp_ind,$D342,rng_out_sel_excl_ind,$E342)+
SUMIFS(rng_out_awp_post_yr2,rng_out_sel_excl_yr_ind, [1]Tables!$HN$4, rng_out_GB_Medispan, J$1,rng_out_mail_ind,$B342,rng_out_ds,$C342,rng_out_sel_sp_ind,$D342,rng_out_sel_excl_ind,$E342)* _xlfn.XLOOKUP([1]Tables!$HN$4,'[1]RA Output'!$AY$4:$AY$5,'[1]RA Output'!BA$4:BA$5,0)  +
SUMIFS(rng_out_awp_post_yr2,rng_out_sel_excl_yr_ind, [1]Tables!$HN$5, rng_out_GB_Medispan, J$1,rng_out_mail_ind,$B342,rng_out_ds,$C342,rng_out_sel_sp_ind,$D342,rng_out_sel_excl_ind,$E342)* _xlfn.XLOOKUP([1]Tables!$HN$5,'[1]RA Output'!$AY$4:$AY$5,'[1]RA Output'!BA$4:BA$5,0) + SUMIFS(rng_out_awp_post_yr2, rng_out_GB_Medispan, J$1, rng_out_mail_ind, $B342, rng_out_ds, $C342, rng_out_sel_sp_ind, $D342, rng_out_sel_excl_ind,"N", rng_out_post_reb_ind_yr2, 0)/[1]Tables!$AT$4, 0))</f>
        <v>0</v>
      </c>
      <c r="AS342" s="5" cm="1">
        <f t="array" aca="1" ref="AS342" ca="1">IF($E$327="N", IFERROR(IF(OR(input_Shift="No", [1]Tables!$BN$4=1), 0, (SUMIFS(rng_out_awp_post_yr3,rng_out_sel_excl_yr_ind, "", rng_out_GB_Medispan, P$1,rng_out_mail_ind,$B342,rng_out_ds,$C342,rng_out_sel_sp_ind,$D342,rng_out_sel_excl_ind,$E342, rng_out_MSB_excl, $F342)+
SUMIFS(rng_out_awp_post_yr3,rng_out_sel_excl_yr_ind, [1]Tables!$HN$4, rng_out_GB_Medispan, P$1,rng_out_mail_ind,$B342,rng_out_ds,$C342,rng_out_sel_sp_ind,$D342,rng_out_sel_excl_ind,$E342, rng_out_MSB_excl, $F342)* _xlfn.XLOOKUP([1]Tables!$HN$4,'[1]RA Output'!$AY$4:$AY$5,'[1]RA Output'!BB$4:BB$5,0)  +
SUMIFS(rng_out_awp_post_yr3,rng_out_sel_excl_yr_ind, [1]Tables!$HN$5, rng_out_GB_Medispan, P$1,rng_out_mail_ind,$B342,rng_out_ds,$C342,rng_out_sel_sp_ind,$D342,rng_out_sel_excl_ind,$E342, rng_out_MSB_excl, $F342)* _xlfn.XLOOKUP([1]Tables!$HN$5,'[1]RA Output'!$AY$4:$AY$5,'[1]RA Output'!BB$4:BB$5,0)) * ((1-[1]Tables!$BN$4)/[1]Tables!$BN$4) * [1]Tables!$BN$5)/[1]Tables!$AT$4, 0) +
IFERROR((SUMIFS(rng_out_awp_post_yr3,rng_out_sel_excl_yr_ind, "", rng_out_GB_Medispan, K$1,rng_out_mail_ind,$B342,rng_out_ds,$C342,rng_out_sel_sp_ind,$D342,rng_out_sel_excl_ind,$E342)+
SUMIFS(rng_out_awp_post_yr3,rng_out_sel_excl_yr_ind, [1]Tables!$HN$4, rng_out_GB_Medispan, K$1,rng_out_mail_ind,$B342,rng_out_ds,$C342,rng_out_sel_sp_ind,$D342,rng_out_sel_excl_ind,$E342)* _xlfn.XLOOKUP([1]Tables!$HN$4,'[1]RA Output'!$AY$4:$AY$5,'[1]RA Output'!BB$4:BB$5,0)  +
SUMIFS(rng_out_awp_post_yr3,rng_out_sel_excl_yr_ind, [1]Tables!$HN$5, rng_out_GB_Medispan, K$1,rng_out_mail_ind,$B342,rng_out_ds,$C342,rng_out_sel_sp_ind,$D342,rng_out_sel_excl_ind,$E342)* _xlfn.XLOOKUP([1]Tables!$HN$5,'[1]RA Output'!$AY$4:$AY$5,'[1]RA Output'!BB$4:BB$5,0))/[1]Tables!$AT$4, 0),
IFERROR(IF(OR(input_Shift="No", [1]Tables!$BN$4=1), 0, (SUMIFS(rng_out_awp_post_yr3,rng_out_sel_excl_yr_ind, "", rng_out_GB_Medispan, P$1,rng_out_mail_ind,$B342,rng_out_ds,$C342,rng_out_sel_sp_ind,$D342,rng_out_sel_excl_ind,$E342, rng_out_MSB_excl, $F342)+
SUMIFS(rng_out_awp_post_yr3,rng_out_sel_excl_yr_ind, [1]Tables!$HN$4, rng_out_GB_Medispan, P$1,rng_out_mail_ind,$B342,rng_out_ds,$C342,rng_out_sel_sp_ind,$D342,rng_out_sel_excl_ind,$E342, rng_out_MSB_excl, $F342)* _xlfn.XLOOKUP([1]Tables!$HN$4,'[1]RA Output'!$AY$4:$AY$5,'[1]RA Output'!BB$4:BB$5,0)  +
SUMIFS(rng_out_awp_post_yr3,rng_out_sel_excl_yr_ind, [1]Tables!$HN$5, rng_out_GB_Medispan, P$1,rng_out_mail_ind,$B342,rng_out_ds,$C342,rng_out_sel_sp_ind,$D342,rng_out_sel_excl_ind,$E342, rng_out_MSB_excl, $F342)* _xlfn.XLOOKUP([1]Tables!$HN$5,'[1]RA Output'!$AY$4:$AY$5,'[1]RA Output'!BB$4:BB$5,0)+
SUMIFS(rng_out_awp_post_yr3, rng_out_mail_ind, $B342, rng_out_GB_Medispan, K$1, rng_out_ds, $C342, rng_out_sel_sp_ind, $D342, rng_out_sel_excl_ind,"N", rng_out_MSB_excl, $F342, rng_out_post_reb_ind_yr3, 0)) * ((1-[1]Tables!$BN$4)/[1]Tables!$BN$4) * [1]Tables!$BN$5)/[1]Tables!$AT$4, 0) +
IFERROR(SUMIFS(rng_out_awp_post_yr3,rng_out_sel_excl_yr_ind, "", rng_out_GB_Medispan, K$1,rng_out_mail_ind,$B342,rng_out_ds,$C342,rng_out_sel_sp_ind,$D342,rng_out_sel_excl_ind,$E342)+
SUMIFS(rng_out_awp_post_yr3,rng_out_sel_excl_yr_ind, [1]Tables!$HN$4, rng_out_GB_Medispan, K$1,rng_out_mail_ind,$B342,rng_out_ds,$C342,rng_out_sel_sp_ind,$D342,rng_out_sel_excl_ind,$E342)* _xlfn.XLOOKUP([1]Tables!$HN$4,'[1]RA Output'!$AY$4:$AY$5,'[1]RA Output'!BB$4:BB$5,0)  +
SUMIFS(rng_out_awp_post_yr3,rng_out_sel_excl_yr_ind, [1]Tables!$HN$5, rng_out_GB_Medispan, K$1,rng_out_mail_ind,$B342,rng_out_ds,$C342,rng_out_sel_sp_ind,$D342,rng_out_sel_excl_ind,$E342)* _xlfn.XLOOKUP([1]Tables!$HN$5,'[1]RA Output'!$AY$4:$AY$5,'[1]RA Output'!BB$4:BB$5,0) + SUMIFS(rng_out_awp_post_yr3, rng_out_GB_Medispan, K$1, rng_out_mail_ind, $B342, rng_out_ds, $C342, rng_out_sel_sp_ind, $D342, rng_out_sel_excl_ind,"N", rng_out_post_reb_ind_yr3, 0)/[1]Tables!$AT$4, 0))</f>
        <v>0</v>
      </c>
      <c r="AT342" s="5" cm="1">
        <f t="array" aca="1" ref="AT342" ca="1">IF($E$327="N", IFERROR(IF(OR(input_Shift="No", [1]Tables!$BN$4=1), 0, (SUMIFS(rng_out_awp_post_yr4,rng_out_sel_excl_yr_ind, "", rng_out_GB_Medispan, Q$1,rng_out_mail_ind,$B342,rng_out_ds,$C342,rng_out_sel_sp_ind,$D342,rng_out_sel_excl_ind,$E342, rng_out_MSB_excl, $F342)+
SUMIFS(rng_out_awp_post_yr4,rng_out_sel_excl_yr_ind, [1]Tables!$HN$4, rng_out_GB_Medispan, Q$1,rng_out_mail_ind,$B342,rng_out_ds,$C342,rng_out_sel_sp_ind,$D342,rng_out_sel_excl_ind,$E342, rng_out_MSB_excl, $F342)* _xlfn.XLOOKUP([1]Tables!$HN$4,'[1]RA Output'!$AY$4:$AY$5,'[1]RA Output'!BC$4:BC$5,0)  +
SUMIFS(rng_out_awp_post_yr4,rng_out_sel_excl_yr_ind, [1]Tables!$HN$5, rng_out_GB_Medispan, Q$1,rng_out_mail_ind,$B342,rng_out_ds,$C342,rng_out_sel_sp_ind,$D342,rng_out_sel_excl_ind,$E342, rng_out_MSB_excl, $F342)* _xlfn.XLOOKUP([1]Tables!$HN$5,'[1]RA Output'!$AY$4:$AY$5,'[1]RA Output'!BC$4:BC$5,0)) * ((1-[1]Tables!$BN$4)/[1]Tables!$BN$4) * [1]Tables!$BN$5)/[1]Tables!$AT$4, 0) +
IFERROR((SUMIFS(rng_out_awp_post_yr4,rng_out_sel_excl_yr_ind, "", rng_out_GB_Medispan, L$1,rng_out_mail_ind,$B342,rng_out_ds,$C342,rng_out_sel_sp_ind,$D342,rng_out_sel_excl_ind,$E342)+
SUMIFS(rng_out_awp_post_yr4,rng_out_sel_excl_yr_ind, [1]Tables!$HN$4, rng_out_GB_Medispan, L$1,rng_out_mail_ind,$B342,rng_out_ds,$C342,rng_out_sel_sp_ind,$D342,rng_out_sel_excl_ind,$E342)* _xlfn.XLOOKUP([1]Tables!$HN$4,'[1]RA Output'!$AY$4:$AY$5,'[1]RA Output'!BC$4:BC$5,0)  +
SUMIFS(rng_out_awp_post_yr4,rng_out_sel_excl_yr_ind, [1]Tables!$HN$5, rng_out_GB_Medispan, L$1,rng_out_mail_ind,$B342,rng_out_ds,$C342,rng_out_sel_sp_ind,$D342,rng_out_sel_excl_ind,$E342)* _xlfn.XLOOKUP([1]Tables!$HN$5,'[1]RA Output'!$AY$4:$AY$5,'[1]RA Output'!BC$4:BC$5,0))/[1]Tables!$AT$4, 0),
IFERROR(IF(OR(input_Shift="No", [1]Tables!$BN$4=1), 0, (SUMIFS(rng_out_awp_post_yr4,rng_out_sel_excl_yr_ind, "", rng_out_GB_Medispan, Q$1,rng_out_mail_ind,$B342,rng_out_ds,$C342,rng_out_sel_sp_ind,$D342,rng_out_sel_excl_ind,$E342, rng_out_MSB_excl, $F342)+
SUMIFS(rng_out_awp_post_yr4,rng_out_sel_excl_yr_ind, [1]Tables!$HN$4, rng_out_GB_Medispan, Q$1,rng_out_mail_ind,$B342,rng_out_ds,$C342,rng_out_sel_sp_ind,$D342,rng_out_sel_excl_ind,$E342, rng_out_MSB_excl, $F342)* _xlfn.XLOOKUP([1]Tables!$HN$4,'[1]RA Output'!$AY$4:$AY$5,'[1]RA Output'!BC$4:BC$5,0)  +
SUMIFS(rng_out_awp_post_yr4,rng_out_sel_excl_yr_ind, [1]Tables!$HN$5, rng_out_GB_Medispan, Q$1,rng_out_mail_ind,$B342,rng_out_ds,$C342,rng_out_sel_sp_ind,$D342,rng_out_sel_excl_ind,$E342, rng_out_MSB_excl, $F342)* _xlfn.XLOOKUP([1]Tables!$HN$5,'[1]RA Output'!$AY$4:$AY$5,'[1]RA Output'!BC$4:BC$5,0)+
SUMIFS(rng_out_awp_post_yr4, rng_out_mail_ind, $B342, rng_out_GB_Medispan, L$1, rng_out_ds, $C342, rng_out_sel_sp_ind, $D342, rng_out_sel_excl_ind,"N", rng_out_MSB_excl, $F342, rng_out_post_reb_ind_yr4, 0)) * ((1-[1]Tables!$BN$4)/[1]Tables!$BN$4) * [1]Tables!$BN$5)/[1]Tables!$AT$4, 0) +
IFERROR(SUMIFS(rng_out_awp_post_yr4,rng_out_sel_excl_yr_ind, "", rng_out_GB_Medispan, L$1,rng_out_mail_ind,$B342,rng_out_ds,$C342,rng_out_sel_sp_ind,$D342,rng_out_sel_excl_ind,$E342)+
SUMIFS(rng_out_awp_post_yr4,rng_out_sel_excl_yr_ind, [1]Tables!$HN$4, rng_out_GB_Medispan, L$1,rng_out_mail_ind,$B342,rng_out_ds,$C342,rng_out_sel_sp_ind,$D342,rng_out_sel_excl_ind,$E342)* _xlfn.XLOOKUP([1]Tables!$HN$4,'[1]RA Output'!$AY$4:$AY$5,'[1]RA Output'!BC$4:BC$5,0)  +
SUMIFS(rng_out_awp_post_yr4,rng_out_sel_excl_yr_ind, [1]Tables!$HN$5, rng_out_GB_Medispan, L$1,rng_out_mail_ind,$B342,rng_out_ds,$C342,rng_out_sel_sp_ind,$D342,rng_out_sel_excl_ind,$E342)* _xlfn.XLOOKUP([1]Tables!$HN$5,'[1]RA Output'!$AY$4:$AY$5,'[1]RA Output'!BC$4:BC$5,0) + SUMIFS(rng_out_awp_post_yr4, rng_out_GB_Medispan, L$1, rng_out_mail_ind, $B342, rng_out_ds, $C342, rng_out_sel_sp_ind, $D342, rng_out_sel_excl_ind,"N", rng_out_post_reb_ind_yr4, 0)/[1]Tables!$AT$4, 0))</f>
        <v>0</v>
      </c>
      <c r="AU342" s="85" cm="1">
        <f t="array" aca="1" ref="AU342" ca="1">IF($E$327="N", IFERROR(IF(OR(input_Shift="No", [1]Tables!$BN$4=1), 0, (SUMIFS(rng_out_awp_post_yr5,rng_out_sel_excl_yr_ind, "", rng_out_GB_Medispan, R$1,rng_out_mail_ind,$B342,rng_out_ds,$C342,rng_out_sel_sp_ind,$D342,rng_out_sel_excl_ind,$E342, rng_out_MSB_excl, $F342)+
SUMIFS(rng_out_awp_post_yr5,rng_out_sel_excl_yr_ind, [1]Tables!$HN$4, rng_out_GB_Medispan, R$1,rng_out_mail_ind,$B342,rng_out_ds,$C342,rng_out_sel_sp_ind,$D342,rng_out_sel_excl_ind,$E342, rng_out_MSB_excl, $F342)* _xlfn.XLOOKUP([1]Tables!$HN$4,'[1]RA Output'!$AY$4:$AY$5,'[1]RA Output'!BD$4:BD$5,0)  +
SUMIFS(rng_out_awp_post_yr5,rng_out_sel_excl_yr_ind, [1]Tables!$HN$5, rng_out_GB_Medispan, R$1,rng_out_mail_ind,$B342,rng_out_ds,$C342,rng_out_sel_sp_ind,$D342,rng_out_sel_excl_ind,$E342, rng_out_MSB_excl, $F342)* _xlfn.XLOOKUP([1]Tables!$HN$5,'[1]RA Output'!$AY$4:$AY$5,'[1]RA Output'!BD$4:BD$5,0)) * ((1-[1]Tables!$BN$4)/[1]Tables!$BN$4) * [1]Tables!$BN$5)/[1]Tables!$AT$4, 0) +
IFERROR((SUMIFS(rng_out_awp_post_yr5,rng_out_sel_excl_yr_ind, "", rng_out_GB_Medispan, M$1,rng_out_mail_ind,$B342,rng_out_ds,$C342,rng_out_sel_sp_ind,$D342,rng_out_sel_excl_ind,$E342)+
SUMIFS(rng_out_awp_post_yr5,rng_out_sel_excl_yr_ind, [1]Tables!$HN$4, rng_out_GB_Medispan, M$1,rng_out_mail_ind,$B342,rng_out_ds,$C342,rng_out_sel_sp_ind,$D342,rng_out_sel_excl_ind,$E342)* _xlfn.XLOOKUP([1]Tables!$HN$4,'[1]RA Output'!$AY$4:$AY$5,'[1]RA Output'!BD$4:BD$5,0)  +
SUMIFS(rng_out_awp_post_yr5,rng_out_sel_excl_yr_ind, [1]Tables!$HN$5, rng_out_GB_Medispan, M$1,rng_out_mail_ind,$B342,rng_out_ds,$C342,rng_out_sel_sp_ind,$D342,rng_out_sel_excl_ind,$E342)* _xlfn.XLOOKUP([1]Tables!$HN$5,'[1]RA Output'!$AY$4:$AY$5,'[1]RA Output'!BD$4:BD$5,0))/[1]Tables!$AT$4, 0),
IFERROR(IF(OR(input_Shift="No", [1]Tables!$BN$4=1), 0, (SUMIFS(rng_out_awp_post_yr5,rng_out_sel_excl_yr_ind, "", rng_out_GB_Medispan, R$1,rng_out_mail_ind,$B342,rng_out_ds,$C342,rng_out_sel_sp_ind,$D342,rng_out_sel_excl_ind,$E342, rng_out_MSB_excl, $F342)+
SUMIFS(rng_out_awp_post_yr5,rng_out_sel_excl_yr_ind, [1]Tables!$HN$4, rng_out_GB_Medispan, R$1,rng_out_mail_ind,$B342,rng_out_ds,$C342,rng_out_sel_sp_ind,$D342,rng_out_sel_excl_ind,$E342, rng_out_MSB_excl, $F342)* _xlfn.XLOOKUP([1]Tables!$HN$4,'[1]RA Output'!$AY$4:$AY$5,'[1]RA Output'!BD$4:BD$5,0)  +
SUMIFS(rng_out_awp_post_yr5,rng_out_sel_excl_yr_ind, [1]Tables!$HN$5, rng_out_GB_Medispan, R$1,rng_out_mail_ind,$B342,rng_out_ds,$C342,rng_out_sel_sp_ind,$D342,rng_out_sel_excl_ind,$E342, rng_out_MSB_excl, $F342)* _xlfn.XLOOKUP([1]Tables!$HN$5,'[1]RA Output'!$AY$4:$AY$5,'[1]RA Output'!BD$4:BD$5,0)+
SUMIFS(rng_out_awp_post_yr5, rng_out_mail_ind, $B342, rng_out_GB_Medispan, M$1, rng_out_ds, $C342, rng_out_sel_sp_ind, $D342, rng_out_sel_excl_ind,"N", rng_out_MSB_excl, $F342, rng_out_post_reb_ind_yr5, 0)) * ((1-[1]Tables!$BN$4)/[1]Tables!$BN$4) * [1]Tables!$BN$5)/[1]Tables!$AT$4, 0) +
IFERROR(SUMIFS(rng_out_awp_post_yr5,rng_out_sel_excl_yr_ind, "", rng_out_GB_Medispan, M$1,rng_out_mail_ind,$B342,rng_out_ds,$C342,rng_out_sel_sp_ind,$D342,rng_out_sel_excl_ind,$E342)+
SUMIFS(rng_out_awp_post_yr5,rng_out_sel_excl_yr_ind, [1]Tables!$HN$4, rng_out_GB_Medispan, M$1,rng_out_mail_ind,$B342,rng_out_ds,$C342,rng_out_sel_sp_ind,$D342,rng_out_sel_excl_ind,$E342)* _xlfn.XLOOKUP([1]Tables!$HN$4,'[1]RA Output'!$AY$4:$AY$5,'[1]RA Output'!BD$4:BD$5,0)  +
SUMIFS(rng_out_awp_post_yr5,rng_out_sel_excl_yr_ind, [1]Tables!$HN$5, rng_out_GB_Medispan, M$1,rng_out_mail_ind,$B342,rng_out_ds,$C342,rng_out_sel_sp_ind,$D342,rng_out_sel_excl_ind,$E342)* _xlfn.XLOOKUP([1]Tables!$HN$5,'[1]RA Output'!$AY$4:$AY$5,'[1]RA Output'!BD$4:BD$5,0) + SUMIFS(rng_out_awp_post_yr5, rng_out_GB_Medispan, M$1, rng_out_mail_ind, $B342, rng_out_ds, $C342, rng_out_sel_sp_ind, $D342, rng_out_sel_excl_ind,"N", rng_out_post_reb_ind_yr5, 0)/[1]Tables!$AT$4, 0))</f>
        <v>0</v>
      </c>
      <c r="AV342" s="86">
        <f t="shared" ca="1" si="365"/>
        <v>0</v>
      </c>
      <c r="AW342" s="75">
        <f t="shared" ca="1" si="365"/>
        <v>0</v>
      </c>
      <c r="AX342" s="75">
        <f t="shared" ca="1" si="365"/>
        <v>0</v>
      </c>
      <c r="AY342" s="75">
        <f t="shared" ca="1" si="365"/>
        <v>0</v>
      </c>
      <c r="AZ342" s="87">
        <f t="shared" ca="1" si="365"/>
        <v>0</v>
      </c>
      <c r="BG342" s="111" t="s">
        <v>15</v>
      </c>
      <c r="BH342" s="97">
        <f t="shared" ca="1" si="366"/>
        <v>0</v>
      </c>
      <c r="BI342" s="79">
        <f t="shared" ca="1" si="366"/>
        <v>0</v>
      </c>
      <c r="BJ342" s="79">
        <f t="shared" ca="1" si="366"/>
        <v>0</v>
      </c>
      <c r="BK342" s="79">
        <f t="shared" ca="1" si="366"/>
        <v>0</v>
      </c>
      <c r="BL342" s="98">
        <f t="shared" ca="1" si="366"/>
        <v>0</v>
      </c>
      <c r="BM342" s="92">
        <f t="shared" ca="1" si="367"/>
        <v>0</v>
      </c>
      <c r="BN342" s="75">
        <f t="shared" ca="1" si="367"/>
        <v>0</v>
      </c>
      <c r="BO342" s="75">
        <f t="shared" ca="1" si="367"/>
        <v>0</v>
      </c>
      <c r="BP342" s="75">
        <f t="shared" ca="1" si="367"/>
        <v>0</v>
      </c>
      <c r="BQ342" s="93">
        <f t="shared" ca="1" si="367"/>
        <v>0</v>
      </c>
      <c r="BX342" s="111" t="s">
        <v>15</v>
      </c>
      <c r="BY342" s="97" t="e">
        <f t="shared" ca="1" si="368"/>
        <v>#VALUE!</v>
      </c>
      <c r="BZ342" s="79" t="e">
        <f t="shared" ca="1" si="368"/>
        <v>#VALUE!</v>
      </c>
      <c r="CA342" s="79" t="e">
        <f t="shared" ca="1" si="368"/>
        <v>#VALUE!</v>
      </c>
      <c r="CB342" s="79" t="e">
        <f t="shared" ca="1" si="368"/>
        <v>#VALUE!</v>
      </c>
      <c r="CC342" s="98" t="e">
        <f t="shared" ca="1" si="368"/>
        <v>#VALUE!</v>
      </c>
      <c r="CD342" s="92">
        <f t="shared" ca="1" si="369"/>
        <v>0</v>
      </c>
      <c r="CE342" s="75">
        <f t="shared" ca="1" si="369"/>
        <v>0</v>
      </c>
      <c r="CF342" s="75">
        <f t="shared" ca="1" si="369"/>
        <v>0</v>
      </c>
      <c r="CG342" s="75">
        <f t="shared" ca="1" si="369"/>
        <v>0</v>
      </c>
      <c r="CH342" s="93">
        <f t="shared" ca="1" si="369"/>
        <v>0</v>
      </c>
      <c r="CO342" s="213" cm="1">
        <f t="array" aca="1" ref="CO342" ca="1">_xlfn.SINGLE(IFERROR(SUMIFS(rng_out_awp_base, rng_out_GB_Medispan, "G", rng_out_mail_ind, $B342, rng_out_ds, $C342, rng_out_sel_sp_ind, $D342, rng_out_sel_excl_ind,$E342)/[1]Tables!$AT$4, 0))</f>
        <v>0</v>
      </c>
      <c r="CP342" s="214" cm="1">
        <f t="array" aca="1" ref="CP342" ca="1">_xlfn.SINGLE(IFERROR(SUMIFS(rng_out_awp_base, rng_out_GB_Medispan, "B", rng_out_mail_ind, $B342, rng_out_ds, $C342, rng_out_sel_sp_ind, $D342, rng_out_sel_excl_ind,$E342)/[1]Tables!$AT$4, 0))</f>
        <v>0</v>
      </c>
      <c r="CQ342" s="220">
        <f ca="1">SUM(CO342:CP342)</f>
        <v>0</v>
      </c>
      <c r="CR342" s="92">
        <f t="shared" ca="1" si="370"/>
        <v>0</v>
      </c>
      <c r="CS342" s="93">
        <f t="shared" ca="1" si="370"/>
        <v>0</v>
      </c>
      <c r="CT342" s="358">
        <f t="shared" ca="1" si="370"/>
        <v>0</v>
      </c>
    </row>
    <row r="343" spans="2:98" x14ac:dyDescent="0.35">
      <c r="B343" s="105" t="s">
        <v>16</v>
      </c>
      <c r="C343" s="106"/>
      <c r="D343" s="106" t="s">
        <v>12</v>
      </c>
      <c r="E343" s="107" t="s">
        <v>13</v>
      </c>
      <c r="F343" s="106">
        <v>1</v>
      </c>
      <c r="H343" s="118" t="s">
        <v>7</v>
      </c>
      <c r="I343" s="72" t="e" cm="1">
        <f t="array" aca="1" ref="I343" ca="1">SUMIFS(rng_out_awp_pre_yr1,rng_out_sel_excl_yr_ind, "", rng_out_GB_Medispan,I$1,rng_out_mail_ind,$B343,rng_out_sel_sp_ind,$D343,rng_out_sel_excl_ind,$E343)+
SUMIFS(rng_out_awp_pre_yr1,rng_out_sel_excl_yr_ind, [1]Tables!$HN$4,rng_out_GB_Medispan,I$1,rng_out_mail_ind,$B343,rng_out_sel_sp_ind,$D343,rng_out_sel_excl_ind,$E343)* _xlfn.XLOOKUP([1]Tables!$HN$4,'[1]RA Output'!$AY$4:$AY$5,'[1]RA Output'!AZ$4:AZ$5,0)  +
SUMIFS(rng_out_awp_pre_yr1,rng_out_sel_excl_yr_ind, [1]Tables!$HN$5,rng_out_GB_Medispan,I$1,rng_out_mail_ind,$B343,rng_out_sel_sp_ind,$D343,rng_out_sel_excl_ind,$E343)* _xlfn.XLOOKUP([1]Tables!$HN$5,'[1]RA Output'!$AY$4:$AY$5,'[1]RA Output'!AZ$4:AZ$5,0)+
IF($E$345="N", 0,
SUMIFS(rng_out_awp_pre_yr1, rng_out_GB_Medispan, I$1, rng_out_mail_ind, $B343, rng_out_sel_sp_ind, $D343, rng_out_sel_excl_ind,"N", rng_out_post_reb_ind_yr1, 0))</f>
        <v>#VALUE!</v>
      </c>
      <c r="J343" s="5" t="e" cm="1">
        <f t="array" aca="1" ref="J343" ca="1">SUMIFS(rng_out_awp_pre_yr2,rng_out_sel_excl_yr_ind, "", rng_out_GB_Medispan,J$1,rng_out_mail_ind,$B343,rng_out_sel_sp_ind,$D343,rng_out_sel_excl_ind,$E343)+
SUMIFS(rng_out_awp_pre_yr2,rng_out_sel_excl_yr_ind, [1]Tables!$HN$4,rng_out_GB_Medispan,J$1,rng_out_mail_ind,$B343,rng_out_sel_sp_ind,$D343,rng_out_sel_excl_ind,$E343)* _xlfn.XLOOKUP([1]Tables!$HN$4,'[1]RA Output'!$AY$4:$AY$5,'[1]RA Output'!BA$4:BA$5,0)  +
SUMIFS(rng_out_awp_pre_yr2,rng_out_sel_excl_yr_ind, [1]Tables!$HN$5,rng_out_GB_Medispan,J$1,rng_out_mail_ind,$B343,rng_out_sel_sp_ind,$D343,rng_out_sel_excl_ind,$E343)* _xlfn.XLOOKUP([1]Tables!$HN$5,'[1]RA Output'!$AY$4:$AY$5,'[1]RA Output'!BA$4:BA$5,0)+
IF($E$345="N", 0,
SUMIFS(rng_out_awp_pre_yr2, rng_out_GB_Medispan, J$1, rng_out_mail_ind, $B343, rng_out_sel_sp_ind, $D343, rng_out_sel_excl_ind,"N", rng_out_post_reb_ind_yr2, 0))</f>
        <v>#VALUE!</v>
      </c>
      <c r="K343" s="5" t="e" cm="1">
        <f t="array" aca="1" ref="K343" ca="1">SUMIFS(rng_out_awp_pre_yr3,rng_out_sel_excl_yr_ind, "", rng_out_GB_Medispan,K$1,rng_out_mail_ind,$B343,rng_out_sel_sp_ind,$D343,rng_out_sel_excl_ind,$E343)+
SUMIFS(rng_out_awp_pre_yr3,rng_out_sel_excl_yr_ind, [1]Tables!$HN$4,rng_out_GB_Medispan,K$1,rng_out_mail_ind,$B343,rng_out_sel_sp_ind,$D343,rng_out_sel_excl_ind,$E343)* _xlfn.XLOOKUP([1]Tables!$HN$4,'[1]RA Output'!$AY$4:$AY$5,'[1]RA Output'!BB$4:BB$5,0)  +
SUMIFS(rng_out_awp_pre_yr3,rng_out_sel_excl_yr_ind, [1]Tables!$HN$5,rng_out_GB_Medispan,K$1,rng_out_mail_ind,$B343,rng_out_sel_sp_ind,$D343,rng_out_sel_excl_ind,$E343)* _xlfn.XLOOKUP([1]Tables!$HN$5,'[1]RA Output'!$AY$4:$AY$5,'[1]RA Output'!BB$4:BB$5,0)+
IF($E$345="N", 0,
SUMIFS(rng_out_awp_pre_yr3, rng_out_GB_Medispan, K$1, rng_out_mail_ind, $B343, rng_out_sel_sp_ind, $D343, rng_out_sel_excl_ind,"N", rng_out_post_reb_ind_yr3, 0))</f>
        <v>#VALUE!</v>
      </c>
      <c r="L343" s="5" t="e" cm="1">
        <f t="array" aca="1" ref="L343" ca="1">SUMIFS(rng_out_awp_pre_yr4,rng_out_sel_excl_yr_ind, "", rng_out_GB_Medispan,L$1,rng_out_mail_ind,$B343,rng_out_sel_sp_ind,$D343,rng_out_sel_excl_ind,$E343)+
SUMIFS(rng_out_awp_pre_yr4,rng_out_sel_excl_yr_ind, [1]Tables!$HN$4,rng_out_GB_Medispan,L$1,rng_out_mail_ind,$B343,rng_out_sel_sp_ind,$D343,rng_out_sel_excl_ind,$E343)* _xlfn.XLOOKUP([1]Tables!$HN$4,'[1]RA Output'!$AY$4:$AY$5,'[1]RA Output'!BC$4:BC$5,0)  +
SUMIFS(rng_out_awp_pre_yr4,rng_out_sel_excl_yr_ind, [1]Tables!$HN$5,rng_out_GB_Medispan,L$1,rng_out_mail_ind,$B343,rng_out_sel_sp_ind,$D343,rng_out_sel_excl_ind,$E343)* _xlfn.XLOOKUP([1]Tables!$HN$5,'[1]RA Output'!$AY$4:$AY$5,'[1]RA Output'!BC$4:BC$5,0)+
IF($E$345="N", 0,
SUMIFS(rng_out_awp_pre_yr4, rng_out_GB_Medispan, L$1, rng_out_mail_ind, $B343, rng_out_sel_sp_ind, $D343, rng_out_sel_excl_ind,"N", rng_out_post_reb_ind_yr4, 0))</f>
        <v>#VALUE!</v>
      </c>
      <c r="M343" s="73" t="e" cm="1">
        <f t="array" aca="1" ref="M343" ca="1">SUMIFS(rng_out_awp_pre_yr5,rng_out_sel_excl_yr_ind, "", rng_out_GB_Medispan,M$1,rng_out_mail_ind,$B343,rng_out_sel_sp_ind,$D343,rng_out_sel_excl_ind,$E343)+
SUMIFS(rng_out_awp_pre_yr5,rng_out_sel_excl_yr_ind, [1]Tables!$HN$4,rng_out_GB_Medispan,M$1,rng_out_mail_ind,$B343,rng_out_sel_sp_ind,$D343,rng_out_sel_excl_ind,$E343)* _xlfn.XLOOKUP([1]Tables!$HN$4,'[1]RA Output'!$AY$4:$AY$5,'[1]RA Output'!BD$4:BD$5,0)  +
SUMIFS(rng_out_awp_pre_yr5,rng_out_sel_excl_yr_ind, [1]Tables!$HN$5,rng_out_GB_Medispan,M$1,rng_out_mail_ind,$B343,rng_out_sel_sp_ind,$D343,rng_out_sel_excl_ind,$E343)* _xlfn.XLOOKUP([1]Tables!$HN$5,'[1]RA Output'!$AY$4:$AY$5,'[1]RA Output'!BD$4:BD$5,0)+
IF($E$345="N", 0,
SUMIFS(rng_out_awp_pre_yr5, rng_out_GB_Medispan, M$1, rng_out_mail_ind, $B343, rng_out_sel_sp_ind, $D343, rng_out_sel_excl_ind,"N", rng_out_post_reb_ind_yr5, 0))</f>
        <v>#VALUE!</v>
      </c>
      <c r="N343" s="74">
        <f t="shared" ca="1" si="363"/>
        <v>0</v>
      </c>
      <c r="O343" s="75">
        <f t="shared" ca="1" si="363"/>
        <v>0</v>
      </c>
      <c r="P343" s="75">
        <f t="shared" ca="1" si="363"/>
        <v>0</v>
      </c>
      <c r="Q343" s="75">
        <f t="shared" ca="1" si="363"/>
        <v>0</v>
      </c>
      <c r="R343" s="76">
        <f t="shared" ca="1" si="363"/>
        <v>0</v>
      </c>
      <c r="Y343" s="119" t="s">
        <v>7</v>
      </c>
      <c r="Z343" s="78">
        <f ca="1">IFERROR(I343/[1]Tables!$AT$4, 0)</f>
        <v>0</v>
      </c>
      <c r="AA343" s="79">
        <f ca="1">IFERROR(J343/[1]Tables!$AT$4, 0)</f>
        <v>0</v>
      </c>
      <c r="AB343" s="79">
        <f ca="1">IFERROR(K343/[1]Tables!$AT$4, 0)</f>
        <v>0</v>
      </c>
      <c r="AC343" s="79">
        <f ca="1">IFERROR(L343/[1]Tables!$AT$4, 0)</f>
        <v>0</v>
      </c>
      <c r="AD343" s="80">
        <f ca="1">IFERROR(M343/[1]Tables!$AT$4, 0)</f>
        <v>0</v>
      </c>
      <c r="AE343" s="81">
        <f t="shared" ca="1" si="364"/>
        <v>0</v>
      </c>
      <c r="AF343" s="75">
        <f t="shared" ca="1" si="364"/>
        <v>0</v>
      </c>
      <c r="AG343" s="75">
        <f t="shared" ca="1" si="364"/>
        <v>0</v>
      </c>
      <c r="AH343" s="75">
        <f t="shared" ca="1" si="364"/>
        <v>0</v>
      </c>
      <c r="AI343" s="82">
        <f t="shared" ca="1" si="364"/>
        <v>0</v>
      </c>
      <c r="AP343" s="120" t="s">
        <v>7</v>
      </c>
      <c r="AQ343" s="356" cm="1">
        <f t="array" aca="1" ref="AQ343" ca="1">IF($E$327="N", IFERROR(IF(OR(input_Shift="No", [1]Tables!$BN$4=1), 0, (SUMIFS(rng_out_awp_post_yr1,rng_out_sel_excl_yr_ind, "", rng_out_GB_Medispan, N$1,rng_out_mail_ind,$B343,rng_out_sel_sp_ind,$D343,rng_out_sel_excl_ind,$E343, rng_out_MSB_excl, $F343)+
SUMIFS(rng_out_awp_post_yr1,rng_out_sel_excl_yr_ind, [1]Tables!$HN$4, rng_out_GB_Medispan, N$1,rng_out_mail_ind,$B343,rng_out_sel_sp_ind,$D343,rng_out_sel_excl_ind,$E343, rng_out_MSB_excl, $F343)* _xlfn.XLOOKUP([1]Tables!$HN$4,'[1]RA Output'!$AY$4:$AY$5,'[1]RA Output'!AZ$4:AZ$5,0)  +
SUMIFS(rng_out_awp_post_yr1,rng_out_sel_excl_yr_ind, [1]Tables!$HN$5, rng_out_GB_Medispan, N$1,rng_out_mail_ind,$B343,rng_out_sel_sp_ind,$D343,rng_out_sel_excl_ind,$E343, rng_out_MSB_excl, $F343)* _xlfn.XLOOKUP([1]Tables!$HN$5,'[1]RA Output'!$AY$4:$AY$5,'[1]RA Output'!AZ$4:AZ$5,0)) * ((1-[1]Tables!$BN$4)/[1]Tables!$BN$4) * [1]Tables!$BN$5)/[1]Tables!$AT$4, 0) +
IFERROR((SUMIFS(rng_out_awp_post_yr1,rng_out_sel_excl_yr_ind, "", rng_out_GB_Medispan, I$1,rng_out_mail_ind,$B343,rng_out_sel_sp_ind,$D343,rng_out_sel_excl_ind,$E343)+
SUMIFS(rng_out_awp_post_yr1,rng_out_sel_excl_yr_ind, [1]Tables!$HN$4, rng_out_GB_Medispan, I$1,rng_out_mail_ind,$B343,rng_out_sel_sp_ind,$D343,rng_out_sel_excl_ind,$E343)* _xlfn.XLOOKUP([1]Tables!$HN$4,'[1]RA Output'!$AY$4:$AY$5,'[1]RA Output'!AZ$4:AZ$5,0)  +
SUMIFS(rng_out_awp_post_yr1,rng_out_sel_excl_yr_ind, [1]Tables!$HN$5, rng_out_GB_Medispan, I$1,rng_out_mail_ind,$B343,rng_out_sel_sp_ind,$D343,rng_out_sel_excl_ind,$E343)* _xlfn.XLOOKUP([1]Tables!$HN$5,'[1]RA Output'!$AY$4:$AY$5,'[1]RA Output'!AZ$4:AZ$5,0))/[1]Tables!$AT$4, 0),
IFERROR(IF(OR(input_Shift="No", [1]Tables!$BN$4=1), 0, (SUMIFS(rng_out_awp_post_yr1,rng_out_sel_excl_yr_ind, "", rng_out_GB_Medispan, N$1,rng_out_mail_ind,$B343,rng_out_sel_sp_ind,$D343,rng_out_sel_excl_ind,$E343, rng_out_MSB_excl, $F343)+
SUMIFS(rng_out_awp_post_yr1,rng_out_sel_excl_yr_ind, [1]Tables!$HN$4, rng_out_GB_Medispan, N$1,rng_out_mail_ind,$B343,rng_out_sel_sp_ind,$D343,rng_out_sel_excl_ind,$E343, rng_out_MSB_excl, $F343)* _xlfn.XLOOKUP([1]Tables!$HN$4,'[1]RA Output'!$AY$4:$AY$5,'[1]RA Output'!AZ$4:AZ$5,0)  +
SUMIFS(rng_out_awp_post_yr1,rng_out_sel_excl_yr_ind, [1]Tables!$HN$5, rng_out_GB_Medispan, N$1,rng_out_mail_ind,$B343,rng_out_sel_sp_ind,$D343,rng_out_sel_excl_ind,$E343, rng_out_MSB_excl, $F343)* _xlfn.XLOOKUP([1]Tables!$HN$5,'[1]RA Output'!$AY$4:$AY$5,'[1]RA Output'!AZ$4:AZ$5,0)+
SUMIFS(rng_out_awp_post_yr1, rng_out_mail_ind, $B343, rng_out_GB_Medispan, I$1, rng_out_sel_sp_ind, $D343, rng_out_sel_excl_ind,"N", rng_out_MSB_excl, $F343, rng_out_post_reb_ind_yr1, 0)) * ((1-[1]Tables!$BN$4)/[1]Tables!$BN$4) * [1]Tables!$BN$5)/[1]Tables!$AT$4, 0) +
IFERROR(SUMIFS(rng_out_awp_post_yr1,rng_out_sel_excl_yr_ind, "", rng_out_GB_Medispan, I$1,rng_out_mail_ind,$B343,rng_out_sel_sp_ind,$D343,rng_out_sel_excl_ind,$E343)+
SUMIFS(rng_out_awp_post_yr1,rng_out_sel_excl_yr_ind, [1]Tables!$HN$4, rng_out_GB_Medispan, I$1,rng_out_mail_ind,$B343,rng_out_sel_sp_ind,$D343,rng_out_sel_excl_ind,$E343)* _xlfn.XLOOKUP([1]Tables!$HN$4,'[1]RA Output'!$AY$4:$AY$5,'[1]RA Output'!AZ$4:AZ$5,0)  +
SUMIFS(rng_out_awp_post_yr1,rng_out_sel_excl_yr_ind, [1]Tables!$HN$5, rng_out_GB_Medispan, I$1,rng_out_mail_ind,$B343,rng_out_sel_sp_ind,$D343,rng_out_sel_excl_ind,$E343)* _xlfn.XLOOKUP([1]Tables!$HN$5,'[1]RA Output'!$AY$4:$AY$5,'[1]RA Output'!AZ$4:AZ$5,0) + SUMIFS(rng_out_awp_post_yr1, rng_out_GB_Medispan, I$1, rng_out_mail_ind, $B343, rng_out_sel_sp_ind, $D343, rng_out_sel_excl_ind,"N", rng_out_post_reb_ind_yr1, 0)/[1]Tables!$AT$4, 0))</f>
        <v>0</v>
      </c>
      <c r="AR343" s="5" cm="1">
        <f t="array" aca="1" ref="AR343" ca="1">IF($E$327="N", IFERROR(IF(OR(input_Shift="No", [1]Tables!$BN$4=1), 0, (SUMIFS(rng_out_awp_post_yr2,rng_out_sel_excl_yr_ind, "", rng_out_GB_Medispan, O$1,rng_out_mail_ind,$B343,rng_out_sel_sp_ind,$D343,rng_out_sel_excl_ind,$E343, rng_out_MSB_excl, $F343)+
SUMIFS(rng_out_awp_post_yr2,rng_out_sel_excl_yr_ind, [1]Tables!$HN$4, rng_out_GB_Medispan, O$1,rng_out_mail_ind,$B343,rng_out_sel_sp_ind,$D343,rng_out_sel_excl_ind,$E343, rng_out_MSB_excl, $F343)* _xlfn.XLOOKUP([1]Tables!$HN$4,'[1]RA Output'!$AY$4:$AY$5,'[1]RA Output'!BA$4:BA$5,0)  +
SUMIFS(rng_out_awp_post_yr2,rng_out_sel_excl_yr_ind, [1]Tables!$HN$5, rng_out_GB_Medispan, O$1,rng_out_mail_ind,$B343,rng_out_sel_sp_ind,$D343,rng_out_sel_excl_ind,$E343, rng_out_MSB_excl, $F343)* _xlfn.XLOOKUP([1]Tables!$HN$5,'[1]RA Output'!$AY$4:$AY$5,'[1]RA Output'!BA$4:BA$5,0)) * ((1-[1]Tables!$BN$4)/[1]Tables!$BN$4) * [1]Tables!$BN$5)/[1]Tables!$AT$4, 0) +
IFERROR((SUMIFS(rng_out_awp_post_yr2,rng_out_sel_excl_yr_ind, "", rng_out_GB_Medispan, J$1,rng_out_mail_ind,$B343,rng_out_sel_sp_ind,$D343,rng_out_sel_excl_ind,$E343)+
SUMIFS(rng_out_awp_post_yr2,rng_out_sel_excl_yr_ind, [1]Tables!$HN$4, rng_out_GB_Medispan, J$1,rng_out_mail_ind,$B343,rng_out_sel_sp_ind,$D343,rng_out_sel_excl_ind,$E343)* _xlfn.XLOOKUP([1]Tables!$HN$4,'[1]RA Output'!$AY$4:$AY$5,'[1]RA Output'!BA$4:BA$5,0)  +
SUMIFS(rng_out_awp_post_yr2,rng_out_sel_excl_yr_ind, [1]Tables!$HN$5, rng_out_GB_Medispan, J$1,rng_out_mail_ind,$B343,rng_out_sel_sp_ind,$D343,rng_out_sel_excl_ind,$E343)* _xlfn.XLOOKUP([1]Tables!$HN$5,'[1]RA Output'!$AY$4:$AY$5,'[1]RA Output'!BA$4:BA$5,0))/[1]Tables!$AT$4, 0),
IFERROR(IF(OR(input_Shift="No", [1]Tables!$BN$4=1), 0, (SUMIFS(rng_out_awp_post_yr2,rng_out_sel_excl_yr_ind, "", rng_out_GB_Medispan, O$1,rng_out_mail_ind,$B343,rng_out_sel_sp_ind,$D343,rng_out_sel_excl_ind,$E343, rng_out_MSB_excl, $F343)+
SUMIFS(rng_out_awp_post_yr2,rng_out_sel_excl_yr_ind, [1]Tables!$HN$4, rng_out_GB_Medispan, O$1,rng_out_mail_ind,$B343,rng_out_sel_sp_ind,$D343,rng_out_sel_excl_ind,$E343, rng_out_MSB_excl, $F343)* _xlfn.XLOOKUP([1]Tables!$HN$4,'[1]RA Output'!$AY$4:$AY$5,'[1]RA Output'!BA$4:BA$5,0)  +
SUMIFS(rng_out_awp_post_yr2,rng_out_sel_excl_yr_ind, [1]Tables!$HN$5, rng_out_GB_Medispan, O$1,rng_out_mail_ind,$B343,rng_out_sel_sp_ind,$D343,rng_out_sel_excl_ind,$E343, rng_out_MSB_excl, $F343)* _xlfn.XLOOKUP([1]Tables!$HN$5,'[1]RA Output'!$AY$4:$AY$5,'[1]RA Output'!BA$4:BA$5,0)+
SUMIFS(rng_out_awp_post_yr2, rng_out_mail_ind, $B343, rng_out_GB_Medispan, J$1, rng_out_sel_sp_ind, $D343, rng_out_sel_excl_ind,"N", rng_out_MSB_excl, $F343, rng_out_post_reb_ind_yr2, 0)) * ((1-[1]Tables!$BN$4)/[1]Tables!$BN$4) * [1]Tables!$BN$5)/[1]Tables!$AT$4, 0) +
IFERROR(SUMIFS(rng_out_awp_post_yr2,rng_out_sel_excl_yr_ind, "", rng_out_GB_Medispan, J$1,rng_out_mail_ind,$B343,rng_out_sel_sp_ind,$D343,rng_out_sel_excl_ind,$E343)+
SUMIFS(rng_out_awp_post_yr2,rng_out_sel_excl_yr_ind, [1]Tables!$HN$4, rng_out_GB_Medispan, J$1,rng_out_mail_ind,$B343,rng_out_sel_sp_ind,$D343,rng_out_sel_excl_ind,$E343)* _xlfn.XLOOKUP([1]Tables!$HN$4,'[1]RA Output'!$AY$4:$AY$5,'[1]RA Output'!BA$4:BA$5,0)  +
SUMIFS(rng_out_awp_post_yr2,rng_out_sel_excl_yr_ind, [1]Tables!$HN$5, rng_out_GB_Medispan, J$1,rng_out_mail_ind,$B343,rng_out_sel_sp_ind,$D343,rng_out_sel_excl_ind,$E343)* _xlfn.XLOOKUP([1]Tables!$HN$5,'[1]RA Output'!$AY$4:$AY$5,'[1]RA Output'!BA$4:BA$5,0) + SUMIFS(rng_out_awp_post_yr2, rng_out_GB_Medispan, J$1, rng_out_mail_ind, $B343, rng_out_sel_sp_ind, $D343, rng_out_sel_excl_ind,"N", rng_out_post_reb_ind_yr2, 0)/[1]Tables!$AT$4, 0))</f>
        <v>0</v>
      </c>
      <c r="AS343" s="5" cm="1">
        <f t="array" aca="1" ref="AS343" ca="1">IF($E$327="N", IFERROR(IF(OR(input_Shift="No", [1]Tables!$BN$4=1), 0, (SUMIFS(rng_out_awp_post_yr3,rng_out_sel_excl_yr_ind, "", rng_out_GB_Medispan, P$1,rng_out_mail_ind,$B343,rng_out_sel_sp_ind,$D343,rng_out_sel_excl_ind,$E343, rng_out_MSB_excl, $F343)+
SUMIFS(rng_out_awp_post_yr3,rng_out_sel_excl_yr_ind, [1]Tables!$HN$4, rng_out_GB_Medispan, P$1,rng_out_mail_ind,$B343,rng_out_sel_sp_ind,$D343,rng_out_sel_excl_ind,$E343, rng_out_MSB_excl, $F343)* _xlfn.XLOOKUP([1]Tables!$HN$4,'[1]RA Output'!$AY$4:$AY$5,'[1]RA Output'!BB$4:BB$5,0)  +
SUMIFS(rng_out_awp_post_yr3,rng_out_sel_excl_yr_ind, [1]Tables!$HN$5, rng_out_GB_Medispan, P$1,rng_out_mail_ind,$B343,rng_out_sel_sp_ind,$D343,rng_out_sel_excl_ind,$E343, rng_out_MSB_excl, $F343)* _xlfn.XLOOKUP([1]Tables!$HN$5,'[1]RA Output'!$AY$4:$AY$5,'[1]RA Output'!BB$4:BB$5,0)) * ((1-[1]Tables!$BN$4)/[1]Tables!$BN$4) * [1]Tables!$BN$5)/[1]Tables!$AT$4, 0) +
IFERROR((SUMIFS(rng_out_awp_post_yr3,rng_out_sel_excl_yr_ind, "", rng_out_GB_Medispan, K$1,rng_out_mail_ind,$B343,rng_out_sel_sp_ind,$D343,rng_out_sel_excl_ind,$E343)+
SUMIFS(rng_out_awp_post_yr3,rng_out_sel_excl_yr_ind, [1]Tables!$HN$4, rng_out_GB_Medispan, K$1,rng_out_mail_ind,$B343,rng_out_sel_sp_ind,$D343,rng_out_sel_excl_ind,$E343)* _xlfn.XLOOKUP([1]Tables!$HN$4,'[1]RA Output'!$AY$4:$AY$5,'[1]RA Output'!BB$4:BB$5,0)  +
SUMIFS(rng_out_awp_post_yr3,rng_out_sel_excl_yr_ind, [1]Tables!$HN$5, rng_out_GB_Medispan, K$1,rng_out_mail_ind,$B343,rng_out_sel_sp_ind,$D343,rng_out_sel_excl_ind,$E343)* _xlfn.XLOOKUP([1]Tables!$HN$5,'[1]RA Output'!$AY$4:$AY$5,'[1]RA Output'!BB$4:BB$5,0))/[1]Tables!$AT$4, 0),
IFERROR(IF(OR(input_Shift="No", [1]Tables!$BN$4=1), 0, (SUMIFS(rng_out_awp_post_yr3,rng_out_sel_excl_yr_ind, "", rng_out_GB_Medispan, P$1,rng_out_mail_ind,$B343,rng_out_sel_sp_ind,$D343,rng_out_sel_excl_ind,$E343, rng_out_MSB_excl, $F343)+
SUMIFS(rng_out_awp_post_yr3,rng_out_sel_excl_yr_ind, [1]Tables!$HN$4, rng_out_GB_Medispan, P$1,rng_out_mail_ind,$B343,rng_out_sel_sp_ind,$D343,rng_out_sel_excl_ind,$E343, rng_out_MSB_excl, $F343)* _xlfn.XLOOKUP([1]Tables!$HN$4,'[1]RA Output'!$AY$4:$AY$5,'[1]RA Output'!BB$4:BB$5,0)  +
SUMIFS(rng_out_awp_post_yr3,rng_out_sel_excl_yr_ind, [1]Tables!$HN$5, rng_out_GB_Medispan, P$1,rng_out_mail_ind,$B343,rng_out_sel_sp_ind,$D343,rng_out_sel_excl_ind,$E343, rng_out_MSB_excl, $F343)* _xlfn.XLOOKUP([1]Tables!$HN$5,'[1]RA Output'!$AY$4:$AY$5,'[1]RA Output'!BB$4:BB$5,0)+
SUMIFS(rng_out_awp_post_yr3, rng_out_mail_ind, $B343, rng_out_GB_Medispan, K$1, rng_out_sel_sp_ind, $D343, rng_out_sel_excl_ind,"N", rng_out_MSB_excl, $F343, rng_out_post_reb_ind_yr3, 0)) * ((1-[1]Tables!$BN$4)/[1]Tables!$BN$4) * [1]Tables!$BN$5)/[1]Tables!$AT$4, 0) +
IFERROR(SUMIFS(rng_out_awp_post_yr3,rng_out_sel_excl_yr_ind, "", rng_out_GB_Medispan, K$1,rng_out_mail_ind,$B343,rng_out_sel_sp_ind,$D343,rng_out_sel_excl_ind,$E343)+
SUMIFS(rng_out_awp_post_yr3,rng_out_sel_excl_yr_ind, [1]Tables!$HN$4, rng_out_GB_Medispan, K$1,rng_out_mail_ind,$B343,rng_out_sel_sp_ind,$D343,rng_out_sel_excl_ind,$E343)* _xlfn.XLOOKUP([1]Tables!$HN$4,'[1]RA Output'!$AY$4:$AY$5,'[1]RA Output'!BB$4:BB$5,0)  +
SUMIFS(rng_out_awp_post_yr3,rng_out_sel_excl_yr_ind, [1]Tables!$HN$5, rng_out_GB_Medispan, K$1,rng_out_mail_ind,$B343,rng_out_sel_sp_ind,$D343,rng_out_sel_excl_ind,$E343)* _xlfn.XLOOKUP([1]Tables!$HN$5,'[1]RA Output'!$AY$4:$AY$5,'[1]RA Output'!BB$4:BB$5,0) + SUMIFS(rng_out_awp_post_yr3, rng_out_GB_Medispan, K$1, rng_out_mail_ind, $B343, rng_out_sel_sp_ind, $D343, rng_out_sel_excl_ind,"N", rng_out_post_reb_ind_yr3, 0)/[1]Tables!$AT$4, 0))</f>
        <v>0</v>
      </c>
      <c r="AT343" s="5" cm="1">
        <f t="array" aca="1" ref="AT343" ca="1">IF($E$327="N", IFERROR(IF(OR(input_Shift="No", [1]Tables!$BN$4=1), 0, (SUMIFS(rng_out_awp_post_yr4,rng_out_sel_excl_yr_ind, "", rng_out_GB_Medispan, Q$1,rng_out_mail_ind,$B343,rng_out_sel_sp_ind,$D343,rng_out_sel_excl_ind,$E343, rng_out_MSB_excl, $F343)+
SUMIFS(rng_out_awp_post_yr4,rng_out_sel_excl_yr_ind, [1]Tables!$HN$4, rng_out_GB_Medispan, Q$1,rng_out_mail_ind,$B343,rng_out_sel_sp_ind,$D343,rng_out_sel_excl_ind,$E343, rng_out_MSB_excl, $F343)* _xlfn.XLOOKUP([1]Tables!$HN$4,'[1]RA Output'!$AY$4:$AY$5,'[1]RA Output'!BC$4:BC$5,0)  +
SUMIFS(rng_out_awp_post_yr4,rng_out_sel_excl_yr_ind, [1]Tables!$HN$5, rng_out_GB_Medispan, Q$1,rng_out_mail_ind,$B343,rng_out_sel_sp_ind,$D343,rng_out_sel_excl_ind,$E343, rng_out_MSB_excl, $F343)* _xlfn.XLOOKUP([1]Tables!$HN$5,'[1]RA Output'!$AY$4:$AY$5,'[1]RA Output'!BC$4:BC$5,0)) * ((1-[1]Tables!$BN$4)/[1]Tables!$BN$4) * [1]Tables!$BN$5)/[1]Tables!$AT$4, 0) +
IFERROR((SUMIFS(rng_out_awp_post_yr4,rng_out_sel_excl_yr_ind, "", rng_out_GB_Medispan, L$1,rng_out_mail_ind,$B343,rng_out_sel_sp_ind,$D343,rng_out_sel_excl_ind,$E343)+
SUMIFS(rng_out_awp_post_yr4,rng_out_sel_excl_yr_ind, [1]Tables!$HN$4, rng_out_GB_Medispan, L$1,rng_out_mail_ind,$B343,rng_out_sel_sp_ind,$D343,rng_out_sel_excl_ind,$E343)* _xlfn.XLOOKUP([1]Tables!$HN$4,'[1]RA Output'!$AY$4:$AY$5,'[1]RA Output'!BC$4:BC$5,0)  +
SUMIFS(rng_out_awp_post_yr4,rng_out_sel_excl_yr_ind, [1]Tables!$HN$5, rng_out_GB_Medispan, L$1,rng_out_mail_ind,$B343,rng_out_sel_sp_ind,$D343,rng_out_sel_excl_ind,$E343)* _xlfn.XLOOKUP([1]Tables!$HN$5,'[1]RA Output'!$AY$4:$AY$5,'[1]RA Output'!BC$4:BC$5,0))/[1]Tables!$AT$4, 0),
IFERROR(IF(OR(input_Shift="No", [1]Tables!$BN$4=1), 0, (SUMIFS(rng_out_awp_post_yr4,rng_out_sel_excl_yr_ind, "", rng_out_GB_Medispan, Q$1,rng_out_mail_ind,$B343,rng_out_sel_sp_ind,$D343,rng_out_sel_excl_ind,$E343, rng_out_MSB_excl, $F343)+
SUMIFS(rng_out_awp_post_yr4,rng_out_sel_excl_yr_ind, [1]Tables!$HN$4, rng_out_GB_Medispan, Q$1,rng_out_mail_ind,$B343,rng_out_sel_sp_ind,$D343,rng_out_sel_excl_ind,$E343, rng_out_MSB_excl, $F343)* _xlfn.XLOOKUP([1]Tables!$HN$4,'[1]RA Output'!$AY$4:$AY$5,'[1]RA Output'!BC$4:BC$5,0)  +
SUMIFS(rng_out_awp_post_yr4,rng_out_sel_excl_yr_ind, [1]Tables!$HN$5, rng_out_GB_Medispan, Q$1,rng_out_mail_ind,$B343,rng_out_sel_sp_ind,$D343,rng_out_sel_excl_ind,$E343, rng_out_MSB_excl, $F343)* _xlfn.XLOOKUP([1]Tables!$HN$5,'[1]RA Output'!$AY$4:$AY$5,'[1]RA Output'!BC$4:BC$5,0)+
SUMIFS(rng_out_awp_post_yr4, rng_out_mail_ind, $B343, rng_out_GB_Medispan, L$1, rng_out_sel_sp_ind, $D343, rng_out_sel_excl_ind,"N", rng_out_MSB_excl, $F343, rng_out_post_reb_ind_yr4, 0)) * ((1-[1]Tables!$BN$4)/[1]Tables!$BN$4) * [1]Tables!$BN$5)/[1]Tables!$AT$4, 0) +
IFERROR(SUMIFS(rng_out_awp_post_yr4,rng_out_sel_excl_yr_ind, "", rng_out_GB_Medispan, L$1,rng_out_mail_ind,$B343,rng_out_sel_sp_ind,$D343,rng_out_sel_excl_ind,$E343)+
SUMIFS(rng_out_awp_post_yr4,rng_out_sel_excl_yr_ind, [1]Tables!$HN$4, rng_out_GB_Medispan, L$1,rng_out_mail_ind,$B343,rng_out_sel_sp_ind,$D343,rng_out_sel_excl_ind,$E343)* _xlfn.XLOOKUP([1]Tables!$HN$4,'[1]RA Output'!$AY$4:$AY$5,'[1]RA Output'!BC$4:BC$5,0)  +
SUMIFS(rng_out_awp_post_yr4,rng_out_sel_excl_yr_ind, [1]Tables!$HN$5, rng_out_GB_Medispan, L$1,rng_out_mail_ind,$B343,rng_out_sel_sp_ind,$D343,rng_out_sel_excl_ind,$E343)* _xlfn.XLOOKUP([1]Tables!$HN$5,'[1]RA Output'!$AY$4:$AY$5,'[1]RA Output'!BC$4:BC$5,0) + SUMIFS(rng_out_awp_post_yr4, rng_out_GB_Medispan, L$1, rng_out_mail_ind, $B343, rng_out_sel_sp_ind, $D343, rng_out_sel_excl_ind,"N", rng_out_post_reb_ind_yr4, 0)/[1]Tables!$AT$4, 0))</f>
        <v>0</v>
      </c>
      <c r="AU343" s="85" cm="1">
        <f t="array" aca="1" ref="AU343" ca="1">IF($E$327="N", IFERROR(IF(OR(input_Shift="No", [1]Tables!$BN$4=1), 0, (SUMIFS(rng_out_awp_post_yr5,rng_out_sel_excl_yr_ind, "", rng_out_GB_Medispan, R$1,rng_out_mail_ind,$B343,rng_out_sel_sp_ind,$D343,rng_out_sel_excl_ind,$E343, rng_out_MSB_excl, $F343)+
SUMIFS(rng_out_awp_post_yr5,rng_out_sel_excl_yr_ind, [1]Tables!$HN$4, rng_out_GB_Medispan, R$1,rng_out_mail_ind,$B343,rng_out_sel_sp_ind,$D343,rng_out_sel_excl_ind,$E343, rng_out_MSB_excl, $F343)* _xlfn.XLOOKUP([1]Tables!$HN$4,'[1]RA Output'!$AY$4:$AY$5,'[1]RA Output'!BD$4:BD$5,0)  +
SUMIFS(rng_out_awp_post_yr5,rng_out_sel_excl_yr_ind, [1]Tables!$HN$5, rng_out_GB_Medispan, R$1,rng_out_mail_ind,$B343,rng_out_sel_sp_ind,$D343,rng_out_sel_excl_ind,$E343, rng_out_MSB_excl, $F343)* _xlfn.XLOOKUP([1]Tables!$HN$5,'[1]RA Output'!$AY$4:$AY$5,'[1]RA Output'!BD$4:BD$5,0)) * ((1-[1]Tables!$BN$4)/[1]Tables!$BN$4) * [1]Tables!$BN$5)/[1]Tables!$AT$4, 0) +
IFERROR((SUMIFS(rng_out_awp_post_yr5,rng_out_sel_excl_yr_ind, "", rng_out_GB_Medispan, M$1,rng_out_mail_ind,$B343,rng_out_sel_sp_ind,$D343,rng_out_sel_excl_ind,$E343)+
SUMIFS(rng_out_awp_post_yr5,rng_out_sel_excl_yr_ind, [1]Tables!$HN$4, rng_out_GB_Medispan, M$1,rng_out_mail_ind,$B343,rng_out_sel_sp_ind,$D343,rng_out_sel_excl_ind,$E343)* _xlfn.XLOOKUP([1]Tables!$HN$4,'[1]RA Output'!$AY$4:$AY$5,'[1]RA Output'!BD$4:BD$5,0)  +
SUMIFS(rng_out_awp_post_yr5,rng_out_sel_excl_yr_ind, [1]Tables!$HN$5, rng_out_GB_Medispan, M$1,rng_out_mail_ind,$B343,rng_out_sel_sp_ind,$D343,rng_out_sel_excl_ind,$E343)* _xlfn.XLOOKUP([1]Tables!$HN$5,'[1]RA Output'!$AY$4:$AY$5,'[1]RA Output'!BD$4:BD$5,0))/[1]Tables!$AT$4, 0),
IFERROR(IF(OR(input_Shift="No", [1]Tables!$BN$4=1), 0, (SUMIFS(rng_out_awp_post_yr5,rng_out_sel_excl_yr_ind, "", rng_out_GB_Medispan, R$1,rng_out_mail_ind,$B343,rng_out_sel_sp_ind,$D343,rng_out_sel_excl_ind,$E343, rng_out_MSB_excl, $F343)+
SUMIFS(rng_out_awp_post_yr5,rng_out_sel_excl_yr_ind, [1]Tables!$HN$4, rng_out_GB_Medispan, R$1,rng_out_mail_ind,$B343,rng_out_sel_sp_ind,$D343,rng_out_sel_excl_ind,$E343, rng_out_MSB_excl, $F343)* _xlfn.XLOOKUP([1]Tables!$HN$4,'[1]RA Output'!$AY$4:$AY$5,'[1]RA Output'!BD$4:BD$5,0)  +
SUMIFS(rng_out_awp_post_yr5,rng_out_sel_excl_yr_ind, [1]Tables!$HN$5, rng_out_GB_Medispan, R$1,rng_out_mail_ind,$B343,rng_out_sel_sp_ind,$D343,rng_out_sel_excl_ind,$E343, rng_out_MSB_excl, $F343)* _xlfn.XLOOKUP([1]Tables!$HN$5,'[1]RA Output'!$AY$4:$AY$5,'[1]RA Output'!BD$4:BD$5,0)+
SUMIFS(rng_out_awp_post_yr5, rng_out_mail_ind, $B343, rng_out_GB_Medispan, M$1, rng_out_sel_sp_ind, $D343, rng_out_sel_excl_ind,"N", rng_out_MSB_excl, $F343, rng_out_post_reb_ind_yr5, 0)) * ((1-[1]Tables!$BN$4)/[1]Tables!$BN$4) * [1]Tables!$BN$5)/[1]Tables!$AT$4, 0) +
IFERROR(SUMIFS(rng_out_awp_post_yr5,rng_out_sel_excl_yr_ind, "", rng_out_GB_Medispan, M$1,rng_out_mail_ind,$B343,rng_out_sel_sp_ind,$D343,rng_out_sel_excl_ind,$E343)+
SUMIFS(rng_out_awp_post_yr5,rng_out_sel_excl_yr_ind, [1]Tables!$HN$4, rng_out_GB_Medispan, M$1,rng_out_mail_ind,$B343,rng_out_sel_sp_ind,$D343,rng_out_sel_excl_ind,$E343)* _xlfn.XLOOKUP([1]Tables!$HN$4,'[1]RA Output'!$AY$4:$AY$5,'[1]RA Output'!BD$4:BD$5,0)  +
SUMIFS(rng_out_awp_post_yr5,rng_out_sel_excl_yr_ind, [1]Tables!$HN$5, rng_out_GB_Medispan, M$1,rng_out_mail_ind,$B343,rng_out_sel_sp_ind,$D343,rng_out_sel_excl_ind,$E343)* _xlfn.XLOOKUP([1]Tables!$HN$5,'[1]RA Output'!$AY$4:$AY$5,'[1]RA Output'!BD$4:BD$5,0) + SUMIFS(rng_out_awp_post_yr5, rng_out_GB_Medispan, M$1, rng_out_mail_ind, $B343, rng_out_sel_sp_ind, $D343, rng_out_sel_excl_ind,"N", rng_out_post_reb_ind_yr5, 0)/[1]Tables!$AT$4, 0))</f>
        <v>0</v>
      </c>
      <c r="AV343" s="86">
        <f t="shared" ca="1" si="365"/>
        <v>0</v>
      </c>
      <c r="AW343" s="75">
        <f t="shared" ca="1" si="365"/>
        <v>0</v>
      </c>
      <c r="AX343" s="75">
        <f t="shared" ca="1" si="365"/>
        <v>0</v>
      </c>
      <c r="AY343" s="75">
        <f t="shared" ca="1" si="365"/>
        <v>0</v>
      </c>
      <c r="AZ343" s="87">
        <f t="shared" ca="1" si="365"/>
        <v>0</v>
      </c>
      <c r="BG343" s="121" t="s">
        <v>7</v>
      </c>
      <c r="BH343" s="97">
        <f t="shared" ca="1" si="366"/>
        <v>0</v>
      </c>
      <c r="BI343" s="79">
        <f t="shared" ca="1" si="366"/>
        <v>0</v>
      </c>
      <c r="BJ343" s="79">
        <f t="shared" ca="1" si="366"/>
        <v>0</v>
      </c>
      <c r="BK343" s="79">
        <f t="shared" ca="1" si="366"/>
        <v>0</v>
      </c>
      <c r="BL343" s="98">
        <f t="shared" ca="1" si="366"/>
        <v>0</v>
      </c>
      <c r="BM343" s="92">
        <f t="shared" ca="1" si="367"/>
        <v>0</v>
      </c>
      <c r="BN343" s="75">
        <f t="shared" ca="1" si="367"/>
        <v>0</v>
      </c>
      <c r="BO343" s="75">
        <f t="shared" ca="1" si="367"/>
        <v>0</v>
      </c>
      <c r="BP343" s="75">
        <f t="shared" ca="1" si="367"/>
        <v>0</v>
      </c>
      <c r="BQ343" s="93">
        <f t="shared" ca="1" si="367"/>
        <v>0</v>
      </c>
      <c r="BX343" s="121" t="s">
        <v>7</v>
      </c>
      <c r="BY343" s="97" t="e">
        <f t="shared" ca="1" si="368"/>
        <v>#VALUE!</v>
      </c>
      <c r="BZ343" s="79" t="e">
        <f t="shared" ca="1" si="368"/>
        <v>#VALUE!</v>
      </c>
      <c r="CA343" s="79" t="e">
        <f t="shared" ca="1" si="368"/>
        <v>#VALUE!</v>
      </c>
      <c r="CB343" s="79" t="e">
        <f t="shared" ca="1" si="368"/>
        <v>#VALUE!</v>
      </c>
      <c r="CC343" s="98" t="e">
        <f t="shared" ca="1" si="368"/>
        <v>#VALUE!</v>
      </c>
      <c r="CD343" s="92">
        <f t="shared" ca="1" si="369"/>
        <v>0</v>
      </c>
      <c r="CE343" s="75">
        <f t="shared" ca="1" si="369"/>
        <v>0</v>
      </c>
      <c r="CF343" s="75">
        <f t="shared" ca="1" si="369"/>
        <v>0</v>
      </c>
      <c r="CG343" s="75">
        <f t="shared" ca="1" si="369"/>
        <v>0</v>
      </c>
      <c r="CH343" s="93">
        <f t="shared" ca="1" si="369"/>
        <v>0</v>
      </c>
      <c r="CO343" s="213" cm="1">
        <f t="array" aca="1" ref="CO343" ca="1">_xlfn.SINGLE(IFERROR(SUMIFS(rng_out_awp_base, rng_out_GB_Medispan, "G", rng_out_mail_ind, $B343, rng_out_sel_sp_ind, $D343, rng_out_sel_excl_ind,$E343)/[1]Tables!$AT$4, 0))</f>
        <v>0</v>
      </c>
      <c r="CP343" s="214" cm="1">
        <f t="array" aca="1" ref="CP343" ca="1">_xlfn.SINGLE(IFERROR(SUMIFS(rng_out_awp_base, rng_out_GB_Medispan, "B", rng_out_mail_ind, $B343, rng_out_sel_sp_ind, $D343, rng_out_sel_excl_ind,$E343)/[1]Tables!$AT$4, 0))</f>
        <v>0</v>
      </c>
      <c r="CQ343" s="220">
        <f ca="1">SUM(CO343:CP343)</f>
        <v>0</v>
      </c>
      <c r="CR343" s="92">
        <f t="shared" ca="1" si="370"/>
        <v>0</v>
      </c>
      <c r="CS343" s="93">
        <f t="shared" ca="1" si="370"/>
        <v>0</v>
      </c>
      <c r="CT343" s="358">
        <f t="shared" ca="1" si="370"/>
        <v>0</v>
      </c>
    </row>
    <row r="344" spans="2:98" ht="15" thickBot="1" x14ac:dyDescent="0.4">
      <c r="B344" s="122"/>
      <c r="C344" s="123"/>
      <c r="D344" s="123" t="s">
        <v>13</v>
      </c>
      <c r="E344" s="124" t="s">
        <v>13</v>
      </c>
      <c r="F344" s="106">
        <v>1</v>
      </c>
      <c r="H344" s="118" t="s">
        <v>17</v>
      </c>
      <c r="I344" s="72" t="e" cm="1">
        <f t="array" aca="1" ref="I344" ca="1">SUMIFS(rng_out_awp_pre_yr1,rng_out_sel_excl_yr_ind, "", rng_out_GB_Medispan,I$1,rng_out_sel_sp_ind,$D344,rng_out_sel_excl_ind,$E344)+
SUMIFS(rng_out_awp_pre_yr1,rng_out_sel_excl_yr_ind, [1]Tables!$HN$4,rng_out_GB_Medispan,I$1,rng_out_sel_sp_ind,$D344,rng_out_sel_excl_ind,$E344)* _xlfn.XLOOKUP([1]Tables!$HN$4,'[1]RA Output'!$AY$4:$AY$5,'[1]RA Output'!AZ$4:AZ$5,0)  +
SUMIFS(rng_out_awp_pre_yr1,rng_out_sel_excl_yr_ind, [1]Tables!$HN$5,rng_out_GB_Medispan,I$1,rng_out_sel_sp_ind,$D344,rng_out_sel_excl_ind,$E344)* _xlfn.XLOOKUP([1]Tables!$HN$5,'[1]RA Output'!$AY$4:$AY$5,'[1]RA Output'!AZ$4:AZ$5,0)+
IF($E$345="N", 0,
SUMIFS(rng_out_awp_pre_yr1, rng_out_GB_Medispan, I$1, rng_out_sel_sp_ind, $D344, rng_out_sel_excl_ind,"N", rng_out_post_reb_ind_yr1, 0))</f>
        <v>#VALUE!</v>
      </c>
      <c r="J344" s="5" t="e" cm="1">
        <f t="array" aca="1" ref="J344" ca="1">SUMIFS(rng_out_awp_pre_yr2,rng_out_sel_excl_yr_ind, "", rng_out_GB_Medispan,J$1,rng_out_sel_sp_ind,$D344,rng_out_sel_excl_ind,$E344)+
SUMIFS(rng_out_awp_pre_yr2,rng_out_sel_excl_yr_ind, [1]Tables!$HN$4,rng_out_GB_Medispan,J$1,rng_out_sel_sp_ind,$D344,rng_out_sel_excl_ind,$E344)* _xlfn.XLOOKUP([1]Tables!$HN$4,'[1]RA Output'!$AY$4:$AY$5,'[1]RA Output'!BA$4:BA$5,0)  +
SUMIFS(rng_out_awp_pre_yr2,rng_out_sel_excl_yr_ind, [1]Tables!$HN$5,rng_out_GB_Medispan,J$1,rng_out_sel_sp_ind,$D344,rng_out_sel_excl_ind,$E344)* _xlfn.XLOOKUP([1]Tables!$HN$5,'[1]RA Output'!$AY$4:$AY$5,'[1]RA Output'!BA$4:BA$5,0)+
IF($E$345="N", 0,
SUMIFS(rng_out_awp_pre_yr2, rng_out_GB_Medispan, J$1, rng_out_sel_sp_ind, $D344, rng_out_sel_excl_ind,"N", rng_out_post_reb_ind_yr2, 0))</f>
        <v>#VALUE!</v>
      </c>
      <c r="K344" s="5" t="e" cm="1">
        <f t="array" aca="1" ref="K344" ca="1">SUMIFS(rng_out_awp_pre_yr3,rng_out_sel_excl_yr_ind, "", rng_out_GB_Medispan,K$1,rng_out_sel_sp_ind,$D344,rng_out_sel_excl_ind,$E344)+
SUMIFS(rng_out_awp_pre_yr3,rng_out_sel_excl_yr_ind, [1]Tables!$HN$4,rng_out_GB_Medispan,K$1,rng_out_sel_sp_ind,$D344,rng_out_sel_excl_ind,$E344)* _xlfn.XLOOKUP([1]Tables!$HN$4,'[1]RA Output'!$AY$4:$AY$5,'[1]RA Output'!BB$4:BB$5,0)  +
SUMIFS(rng_out_awp_pre_yr3,rng_out_sel_excl_yr_ind, [1]Tables!$HN$5,rng_out_GB_Medispan,K$1,rng_out_sel_sp_ind,$D344,rng_out_sel_excl_ind,$E344)* _xlfn.XLOOKUP([1]Tables!$HN$5,'[1]RA Output'!$AY$4:$AY$5,'[1]RA Output'!BB$4:BB$5,0)+
IF($E$345="N", 0,
SUMIFS(rng_out_awp_pre_yr3, rng_out_GB_Medispan, K$1, rng_out_sel_sp_ind, $D344, rng_out_sel_excl_ind,"N", rng_out_post_reb_ind_yr3, 0))</f>
        <v>#VALUE!</v>
      </c>
      <c r="L344" s="5" t="e" cm="1">
        <f t="array" aca="1" ref="L344" ca="1">SUMIFS(rng_out_awp_pre_yr4,rng_out_sel_excl_yr_ind, "", rng_out_GB_Medispan,L$1,rng_out_sel_sp_ind,$D344,rng_out_sel_excl_ind,$E344)+
SUMIFS(rng_out_awp_pre_yr4,rng_out_sel_excl_yr_ind, [1]Tables!$HN$4,rng_out_GB_Medispan,L$1,rng_out_sel_sp_ind,$D344,rng_out_sel_excl_ind,$E344)* _xlfn.XLOOKUP([1]Tables!$HN$4,'[1]RA Output'!$AY$4:$AY$5,'[1]RA Output'!BC$4:BC$5,0)  +
SUMIFS(rng_out_awp_pre_yr4,rng_out_sel_excl_yr_ind, [1]Tables!$HN$5,rng_out_GB_Medispan,L$1,rng_out_sel_sp_ind,$D344,rng_out_sel_excl_ind,$E344)* _xlfn.XLOOKUP([1]Tables!$HN$5,'[1]RA Output'!$AY$4:$AY$5,'[1]RA Output'!BC$4:BC$5,0)+
IF($E$345="N", 0,
SUMIFS(rng_out_awp_pre_yr4, rng_out_GB_Medispan, L$1, rng_out_sel_sp_ind, $D344, rng_out_sel_excl_ind,"N", rng_out_post_reb_ind_yr4, 0))</f>
        <v>#VALUE!</v>
      </c>
      <c r="M344" s="125" t="e" cm="1">
        <f t="array" aca="1" ref="M344" ca="1">SUMIFS(rng_out_awp_pre_yr5,rng_out_sel_excl_yr_ind, "", rng_out_GB_Medispan,M$1,rng_out_sel_sp_ind,$D344,rng_out_sel_excl_ind,$E344)+
SUMIFS(rng_out_awp_pre_yr5,rng_out_sel_excl_yr_ind, [1]Tables!$HN$4,rng_out_GB_Medispan,M$1,rng_out_sel_sp_ind,$D344,rng_out_sel_excl_ind,$E344)* _xlfn.XLOOKUP([1]Tables!$HN$4,'[1]RA Output'!$AY$4:$AY$5,'[1]RA Output'!BD$4:BD$5,0)  +
SUMIFS(rng_out_awp_pre_yr5,rng_out_sel_excl_yr_ind, [1]Tables!$HN$5,rng_out_GB_Medispan,M$1,rng_out_sel_sp_ind,$D344,rng_out_sel_excl_ind,$E344)* _xlfn.XLOOKUP([1]Tables!$HN$5,'[1]RA Output'!$AY$4:$AY$5,'[1]RA Output'!BD$4:BD$5,0)+
IF($E$345="N", 0,
SUMIFS(rng_out_awp_pre_yr5, rng_out_GB_Medispan, M$1, rng_out_sel_sp_ind, $D344, rng_out_sel_excl_ind,"N", rng_out_post_reb_ind_yr5, 0))</f>
        <v>#VALUE!</v>
      </c>
      <c r="N344" s="74">
        <f t="shared" ca="1" si="363"/>
        <v>0</v>
      </c>
      <c r="O344" s="75">
        <f t="shared" ca="1" si="363"/>
        <v>0</v>
      </c>
      <c r="P344" s="75">
        <f t="shared" ca="1" si="363"/>
        <v>0</v>
      </c>
      <c r="Q344" s="75">
        <f t="shared" ca="1" si="363"/>
        <v>0</v>
      </c>
      <c r="R344" s="126">
        <f t="shared" ca="1" si="363"/>
        <v>0</v>
      </c>
      <c r="Y344" s="119" t="s">
        <v>17</v>
      </c>
      <c r="Z344" s="127">
        <f ca="1">IFERROR(I344/[1]Tables!$AT$4, 0)</f>
        <v>0</v>
      </c>
      <c r="AA344" s="128">
        <f ca="1">IFERROR(J344/[1]Tables!$AT$4, 0)</f>
        <v>0</v>
      </c>
      <c r="AB344" s="128">
        <f ca="1">IFERROR(K344/[1]Tables!$AT$4, 0)</f>
        <v>0</v>
      </c>
      <c r="AC344" s="128">
        <f ca="1">IFERROR(L344/[1]Tables!$AT$4, 0)</f>
        <v>0</v>
      </c>
      <c r="AD344" s="129">
        <f ca="1">IFERROR(M344/[1]Tables!$AT$4, 0)</f>
        <v>0</v>
      </c>
      <c r="AE344" s="130">
        <f t="shared" ca="1" si="364"/>
        <v>0</v>
      </c>
      <c r="AF344" s="131">
        <f t="shared" ca="1" si="364"/>
        <v>0</v>
      </c>
      <c r="AG344" s="131">
        <f t="shared" ca="1" si="364"/>
        <v>0</v>
      </c>
      <c r="AH344" s="131">
        <f t="shared" ca="1" si="364"/>
        <v>0</v>
      </c>
      <c r="AI344" s="132">
        <f t="shared" ca="1" si="364"/>
        <v>0</v>
      </c>
      <c r="AP344" s="120" t="s">
        <v>17</v>
      </c>
      <c r="AQ344" s="167" cm="1">
        <f t="array" aca="1" ref="AQ344" ca="1">IF($E$327="N", IFERROR(IF(OR(input_Shift="No", [1]Tables!$BN$4=1), 0, (SUMIFS(rng_out_awp_post_yr1,rng_out_sel_excl_yr_ind, "", rng_out_GB_Medispan, N$1,rng_out_sel_sp_ind,$D344,rng_out_sel_excl_ind,$E344, rng_out_MSB_excl, $F344)+
SUMIFS(rng_out_awp_post_yr1,rng_out_sel_excl_yr_ind, [1]Tables!$HN$4, rng_out_GB_Medispan, N$1,rng_out_sel_sp_ind,$D344,rng_out_sel_excl_ind,$E344, rng_out_MSB_excl, $F344)* _xlfn.XLOOKUP([1]Tables!$HN$4,'[1]RA Output'!$AY$4:$AY$5,'[1]RA Output'!AZ$4:AZ$5,0)  +
SUMIFS(rng_out_awp_post_yr1,rng_out_sel_excl_yr_ind, [1]Tables!$HN$5, rng_out_GB_Medispan, N$1,rng_out_sel_sp_ind,$D344,rng_out_sel_excl_ind,$E344, rng_out_MSB_excl, $F344)* _xlfn.XLOOKUP([1]Tables!$HN$5,'[1]RA Output'!$AY$4:$AY$5,'[1]RA Output'!AZ$4:AZ$5,0)) * ((1-[1]Tables!$BN$4)/[1]Tables!$BN$4) * [1]Tables!$BN$5)/[1]Tables!$AT$4, 0) +
IFERROR((SUMIFS(rng_out_awp_post_yr1,rng_out_sel_excl_yr_ind, "", rng_out_GB_Medispan, I$1,rng_out_sel_sp_ind,$D344,rng_out_sel_excl_ind,$E344)+
SUMIFS(rng_out_awp_post_yr1,rng_out_sel_excl_yr_ind, [1]Tables!$HN$4, rng_out_GB_Medispan, I$1,rng_out_sel_sp_ind,$D344,rng_out_sel_excl_ind,$E344)* _xlfn.XLOOKUP([1]Tables!$HN$4,'[1]RA Output'!$AY$4:$AY$5,'[1]RA Output'!AZ$4:AZ$5,0)  +
SUMIFS(rng_out_awp_post_yr1,rng_out_sel_excl_yr_ind, [1]Tables!$HN$5, rng_out_GB_Medispan, I$1,rng_out_sel_sp_ind,$D344,rng_out_sel_excl_ind,$E344)* _xlfn.XLOOKUP([1]Tables!$HN$5,'[1]RA Output'!$AY$4:$AY$5,'[1]RA Output'!AZ$4:AZ$5,0))/[1]Tables!$AT$4, 0),
IFERROR(IF(OR(input_Shift="No", [1]Tables!$BN$4=1), 0, (SUMIFS(rng_out_awp_post_yr1,rng_out_sel_excl_yr_ind, "", rng_out_GB_Medispan, N$1,rng_out_sel_sp_ind,$D344,rng_out_sel_excl_ind,$E344, rng_out_MSB_excl, $F344)+
SUMIFS(rng_out_awp_post_yr1,rng_out_sel_excl_yr_ind, [1]Tables!$HN$4, rng_out_GB_Medispan, N$1,rng_out_sel_sp_ind,$D344,rng_out_sel_excl_ind,$E344, rng_out_MSB_excl, $F344)* _xlfn.XLOOKUP([1]Tables!$HN$4,'[1]RA Output'!$AY$4:$AY$5,'[1]RA Output'!AZ$4:AZ$5,0)  +
SUMIFS(rng_out_awp_post_yr1,rng_out_sel_excl_yr_ind, [1]Tables!$HN$5, rng_out_GB_Medispan, N$1,rng_out_sel_sp_ind,$D344,rng_out_sel_excl_ind,$E344, rng_out_MSB_excl, $F344)* _xlfn.XLOOKUP([1]Tables!$HN$5,'[1]RA Output'!$AY$4:$AY$5,'[1]RA Output'!AZ$4:AZ$5,0)+
SUMIFS(rng_out_awp_post_yr1, rng_out_GB_Medispan, I$1, rng_out_sel_sp_ind, $D344, rng_out_sel_excl_ind,"N", rng_out_MSB_excl, $F344, rng_out_post_reb_ind_yr1, 0)) * ((1-[1]Tables!$BN$4)/[1]Tables!$BN$4) * [1]Tables!$BN$5)/[1]Tables!$AT$4, 0) +
IFERROR(SUMIFS(rng_out_awp_post_yr1,rng_out_sel_excl_yr_ind, "", rng_out_GB_Medispan, I$1,rng_out_sel_sp_ind,$D344,rng_out_sel_excl_ind,$E344)+
SUMIFS(rng_out_awp_post_yr1,rng_out_sel_excl_yr_ind, [1]Tables!$HN$4, rng_out_GB_Medispan, I$1,rng_out_sel_sp_ind,$D344,rng_out_sel_excl_ind,$E344)* _xlfn.XLOOKUP([1]Tables!$HN$4,'[1]RA Output'!$AY$4:$AY$5,'[1]RA Output'!AZ$4:AZ$5,0)  +
SUMIFS(rng_out_awp_post_yr1,rng_out_sel_excl_yr_ind, [1]Tables!$HN$5, rng_out_GB_Medispan, I$1,rng_out_sel_sp_ind,$D344,rng_out_sel_excl_ind,$E344)* _xlfn.XLOOKUP([1]Tables!$HN$5,'[1]RA Output'!$AY$4:$AY$5,'[1]RA Output'!AZ$4:AZ$5,0) + SUMIFS(rng_out_awp_post_yr1, rng_out_GB_Medispan, I$1, rng_out_sel_sp_ind, $D344, rng_out_sel_excl_ind,"N", rng_out_post_reb_ind_yr1, 0)/[1]Tables!$AT$4, 0))</f>
        <v>0</v>
      </c>
      <c r="AR344" s="134" cm="1">
        <f t="array" aca="1" ref="AR344" ca="1">IF($E$327="N", IFERROR(IF(OR(input_Shift="No", [1]Tables!$BN$4=1), 0, (SUMIFS(rng_out_awp_post_yr2,rng_out_sel_excl_yr_ind, "", rng_out_GB_Medispan, O$1,rng_out_sel_sp_ind,$D344,rng_out_sel_excl_ind,$E344, rng_out_MSB_excl, $F344)+
SUMIFS(rng_out_awp_post_yr2,rng_out_sel_excl_yr_ind, [1]Tables!$HN$4, rng_out_GB_Medispan, O$1,rng_out_sel_sp_ind,$D344,rng_out_sel_excl_ind,$E344, rng_out_MSB_excl, $F344)* _xlfn.XLOOKUP([1]Tables!$HN$4,'[1]RA Output'!$AY$4:$AY$5,'[1]RA Output'!BA$4:BA$5,0)  +
SUMIFS(rng_out_awp_post_yr2,rng_out_sel_excl_yr_ind, [1]Tables!$HN$5, rng_out_GB_Medispan, O$1,rng_out_sel_sp_ind,$D344,rng_out_sel_excl_ind,$E344, rng_out_MSB_excl, $F344)* _xlfn.XLOOKUP([1]Tables!$HN$5,'[1]RA Output'!$AY$4:$AY$5,'[1]RA Output'!BA$4:BA$5,0)) * ((1-[1]Tables!$BN$4)/[1]Tables!$BN$4) * [1]Tables!$BN$5)/[1]Tables!$AT$4, 0) +
IFERROR((SUMIFS(rng_out_awp_post_yr2,rng_out_sel_excl_yr_ind, "", rng_out_GB_Medispan, J$1,rng_out_sel_sp_ind,$D344,rng_out_sel_excl_ind,$E344)+
SUMIFS(rng_out_awp_post_yr2,rng_out_sel_excl_yr_ind, [1]Tables!$HN$4, rng_out_GB_Medispan, J$1,rng_out_sel_sp_ind,$D344,rng_out_sel_excl_ind,$E344)* _xlfn.XLOOKUP([1]Tables!$HN$4,'[1]RA Output'!$AY$4:$AY$5,'[1]RA Output'!BA$4:BA$5,0)  +
SUMIFS(rng_out_awp_post_yr2,rng_out_sel_excl_yr_ind, [1]Tables!$HN$5, rng_out_GB_Medispan, J$1,rng_out_sel_sp_ind,$D344,rng_out_sel_excl_ind,$E344)* _xlfn.XLOOKUP([1]Tables!$HN$5,'[1]RA Output'!$AY$4:$AY$5,'[1]RA Output'!BA$4:BA$5,0))/[1]Tables!$AT$4, 0),
IFERROR(IF(OR(input_Shift="No", [1]Tables!$BN$4=1), 0, (SUMIFS(rng_out_awp_post_yr2,rng_out_sel_excl_yr_ind, "", rng_out_GB_Medispan, O$1,rng_out_sel_sp_ind,$D344,rng_out_sel_excl_ind,$E344, rng_out_MSB_excl, $F344)+
SUMIFS(rng_out_awp_post_yr2,rng_out_sel_excl_yr_ind, [1]Tables!$HN$4, rng_out_GB_Medispan, O$1,rng_out_sel_sp_ind,$D344,rng_out_sel_excl_ind,$E344, rng_out_MSB_excl, $F344)* _xlfn.XLOOKUP([1]Tables!$HN$4,'[1]RA Output'!$AY$4:$AY$5,'[1]RA Output'!BA$4:BA$5,0)  +
SUMIFS(rng_out_awp_post_yr2,rng_out_sel_excl_yr_ind, [1]Tables!$HN$5, rng_out_GB_Medispan, O$1,rng_out_sel_sp_ind,$D344,rng_out_sel_excl_ind,$E344, rng_out_MSB_excl, $F344)* _xlfn.XLOOKUP([1]Tables!$HN$5,'[1]RA Output'!$AY$4:$AY$5,'[1]RA Output'!BA$4:BA$5,0)+
SUMIFS(rng_out_awp_post_yr2, rng_out_GB_Medispan, J$1, rng_out_sel_sp_ind, $D344, rng_out_sel_excl_ind,"N", rng_out_MSB_excl, $F344, rng_out_post_reb_ind_yr2, 0)) * ((1-[1]Tables!$BN$4)/[1]Tables!$BN$4) * [1]Tables!$BN$5)/[1]Tables!$AT$4, 0) +
IFERROR(SUMIFS(rng_out_awp_post_yr2,rng_out_sel_excl_yr_ind, "", rng_out_GB_Medispan, J$1,rng_out_sel_sp_ind,$D344,rng_out_sel_excl_ind,$E344)+
SUMIFS(rng_out_awp_post_yr2,rng_out_sel_excl_yr_ind, [1]Tables!$HN$4, rng_out_GB_Medispan, J$1,rng_out_sel_sp_ind,$D344,rng_out_sel_excl_ind,$E344)* _xlfn.XLOOKUP([1]Tables!$HN$4,'[1]RA Output'!$AY$4:$AY$5,'[1]RA Output'!BA$4:BA$5,0)  +
SUMIFS(rng_out_awp_post_yr2,rng_out_sel_excl_yr_ind, [1]Tables!$HN$5, rng_out_GB_Medispan, J$1,rng_out_sel_sp_ind,$D344,rng_out_sel_excl_ind,$E344)* _xlfn.XLOOKUP([1]Tables!$HN$5,'[1]RA Output'!$AY$4:$AY$5,'[1]RA Output'!BA$4:BA$5,0) + SUMIFS(rng_out_awp_post_yr2, rng_out_GB_Medispan, J$1, rng_out_sel_sp_ind, $D344, rng_out_sel_excl_ind,"N", rng_out_post_reb_ind_yr2, 0)/[1]Tables!$AT$4, 0))</f>
        <v>0</v>
      </c>
      <c r="AS344" s="134" cm="1">
        <f t="array" aca="1" ref="AS344" ca="1">IF($E$327="N", IFERROR(IF(OR(input_Shift="No", [1]Tables!$BN$4=1), 0, (SUMIFS(rng_out_awp_post_yr3,rng_out_sel_excl_yr_ind, "", rng_out_GB_Medispan, P$1,rng_out_sel_sp_ind,$D344,rng_out_sel_excl_ind,$E344, rng_out_MSB_excl, $F344)+
SUMIFS(rng_out_awp_post_yr3,rng_out_sel_excl_yr_ind, [1]Tables!$HN$4, rng_out_GB_Medispan, P$1,rng_out_sel_sp_ind,$D344,rng_out_sel_excl_ind,$E344, rng_out_MSB_excl, $F344)* _xlfn.XLOOKUP([1]Tables!$HN$4,'[1]RA Output'!$AY$4:$AY$5,'[1]RA Output'!BB$4:BB$5,0)  +
SUMIFS(rng_out_awp_post_yr3,rng_out_sel_excl_yr_ind, [1]Tables!$HN$5, rng_out_GB_Medispan, P$1,rng_out_sel_sp_ind,$D344,rng_out_sel_excl_ind,$E344, rng_out_MSB_excl, $F344)* _xlfn.XLOOKUP([1]Tables!$HN$5,'[1]RA Output'!$AY$4:$AY$5,'[1]RA Output'!BB$4:BB$5,0)) * ((1-[1]Tables!$BN$4)/[1]Tables!$BN$4) * [1]Tables!$BN$5)/[1]Tables!$AT$4, 0) +
IFERROR((SUMIFS(rng_out_awp_post_yr3,rng_out_sel_excl_yr_ind, "", rng_out_GB_Medispan, K$1,rng_out_sel_sp_ind,$D344,rng_out_sel_excl_ind,$E344)+
SUMIFS(rng_out_awp_post_yr3,rng_out_sel_excl_yr_ind, [1]Tables!$HN$4, rng_out_GB_Medispan, K$1,rng_out_sel_sp_ind,$D344,rng_out_sel_excl_ind,$E344)* _xlfn.XLOOKUP([1]Tables!$HN$4,'[1]RA Output'!$AY$4:$AY$5,'[1]RA Output'!BB$4:BB$5,0)  +
SUMIFS(rng_out_awp_post_yr3,rng_out_sel_excl_yr_ind, [1]Tables!$HN$5, rng_out_GB_Medispan, K$1,rng_out_sel_sp_ind,$D344,rng_out_sel_excl_ind,$E344)* _xlfn.XLOOKUP([1]Tables!$HN$5,'[1]RA Output'!$AY$4:$AY$5,'[1]RA Output'!BB$4:BB$5,0))/[1]Tables!$AT$4, 0),
IFERROR(IF(OR(input_Shift="No", [1]Tables!$BN$4=1), 0, (SUMIFS(rng_out_awp_post_yr3,rng_out_sel_excl_yr_ind, "", rng_out_GB_Medispan, P$1,rng_out_sel_sp_ind,$D344,rng_out_sel_excl_ind,$E344, rng_out_MSB_excl, $F344)+
SUMIFS(rng_out_awp_post_yr3,rng_out_sel_excl_yr_ind, [1]Tables!$HN$4, rng_out_GB_Medispan, P$1,rng_out_sel_sp_ind,$D344,rng_out_sel_excl_ind,$E344, rng_out_MSB_excl, $F344)* _xlfn.XLOOKUP([1]Tables!$HN$4,'[1]RA Output'!$AY$4:$AY$5,'[1]RA Output'!BB$4:BB$5,0)  +
SUMIFS(rng_out_awp_post_yr3,rng_out_sel_excl_yr_ind, [1]Tables!$HN$5, rng_out_GB_Medispan, P$1,rng_out_sel_sp_ind,$D344,rng_out_sel_excl_ind,$E344, rng_out_MSB_excl, $F344)* _xlfn.XLOOKUP([1]Tables!$HN$5,'[1]RA Output'!$AY$4:$AY$5,'[1]RA Output'!BB$4:BB$5,0)+
SUMIFS(rng_out_awp_post_yr3, rng_out_GB_Medispan, K$1, rng_out_sel_sp_ind, $D344, rng_out_sel_excl_ind,"N", rng_out_MSB_excl, $F344, rng_out_post_reb_ind_yr3, 0)) * ((1-[1]Tables!$BN$4)/[1]Tables!$BN$4) * [1]Tables!$BN$5)/[1]Tables!$AT$4, 0) +
IFERROR(SUMIFS(rng_out_awp_post_yr3,rng_out_sel_excl_yr_ind, "", rng_out_GB_Medispan, K$1,rng_out_sel_sp_ind,$D344,rng_out_sel_excl_ind,$E344)+
SUMIFS(rng_out_awp_post_yr3,rng_out_sel_excl_yr_ind, [1]Tables!$HN$4, rng_out_GB_Medispan, K$1,rng_out_sel_sp_ind,$D344,rng_out_sel_excl_ind,$E344)* _xlfn.XLOOKUP([1]Tables!$HN$4,'[1]RA Output'!$AY$4:$AY$5,'[1]RA Output'!BB$4:BB$5,0)  +
SUMIFS(rng_out_awp_post_yr3,rng_out_sel_excl_yr_ind, [1]Tables!$HN$5, rng_out_GB_Medispan, K$1,rng_out_sel_sp_ind,$D344,rng_out_sel_excl_ind,$E344)* _xlfn.XLOOKUP([1]Tables!$HN$5,'[1]RA Output'!$AY$4:$AY$5,'[1]RA Output'!BB$4:BB$5,0) + SUMIFS(rng_out_awp_post_yr3, rng_out_GB_Medispan, K$1, rng_out_sel_sp_ind, $D344, rng_out_sel_excl_ind,"N", rng_out_post_reb_ind_yr3, 0)/[1]Tables!$AT$4, 0))</f>
        <v>0</v>
      </c>
      <c r="AT344" s="134" cm="1">
        <f t="array" aca="1" ref="AT344" ca="1">IF($E$327="N", IFERROR(IF(OR(input_Shift="No", [1]Tables!$BN$4=1), 0, (SUMIFS(rng_out_awp_post_yr4,rng_out_sel_excl_yr_ind, "", rng_out_GB_Medispan, Q$1,rng_out_sel_sp_ind,$D344,rng_out_sel_excl_ind,$E344, rng_out_MSB_excl, $F344)+
SUMIFS(rng_out_awp_post_yr4,rng_out_sel_excl_yr_ind, [1]Tables!$HN$4, rng_out_GB_Medispan, Q$1,rng_out_sel_sp_ind,$D344,rng_out_sel_excl_ind,$E344, rng_out_MSB_excl, $F344)* _xlfn.XLOOKUP([1]Tables!$HN$4,'[1]RA Output'!$AY$4:$AY$5,'[1]RA Output'!BC$4:BC$5,0)  +
SUMIFS(rng_out_awp_post_yr4,rng_out_sel_excl_yr_ind, [1]Tables!$HN$5, rng_out_GB_Medispan, Q$1,rng_out_sel_sp_ind,$D344,rng_out_sel_excl_ind,$E344, rng_out_MSB_excl, $F344)* _xlfn.XLOOKUP([1]Tables!$HN$5,'[1]RA Output'!$AY$4:$AY$5,'[1]RA Output'!BC$4:BC$5,0)) * ((1-[1]Tables!$BN$4)/[1]Tables!$BN$4) * [1]Tables!$BN$5)/[1]Tables!$AT$4, 0) +
IFERROR((SUMIFS(rng_out_awp_post_yr4,rng_out_sel_excl_yr_ind, "", rng_out_GB_Medispan, L$1,rng_out_sel_sp_ind,$D344,rng_out_sel_excl_ind,$E344)+
SUMIFS(rng_out_awp_post_yr4,rng_out_sel_excl_yr_ind, [1]Tables!$HN$4, rng_out_GB_Medispan, L$1,rng_out_sel_sp_ind,$D344,rng_out_sel_excl_ind,$E344)* _xlfn.XLOOKUP([1]Tables!$HN$4,'[1]RA Output'!$AY$4:$AY$5,'[1]RA Output'!BC$4:BC$5,0)  +
SUMIFS(rng_out_awp_post_yr4,rng_out_sel_excl_yr_ind, [1]Tables!$HN$5, rng_out_GB_Medispan, L$1,rng_out_sel_sp_ind,$D344,rng_out_sel_excl_ind,$E344)* _xlfn.XLOOKUP([1]Tables!$HN$5,'[1]RA Output'!$AY$4:$AY$5,'[1]RA Output'!BC$4:BC$5,0))/[1]Tables!$AT$4, 0),
IFERROR(IF(OR(input_Shift="No", [1]Tables!$BN$4=1), 0, (SUMIFS(rng_out_awp_post_yr4,rng_out_sel_excl_yr_ind, "", rng_out_GB_Medispan, Q$1,rng_out_sel_sp_ind,$D344,rng_out_sel_excl_ind,$E344, rng_out_MSB_excl, $F344)+
SUMIFS(rng_out_awp_post_yr4,rng_out_sel_excl_yr_ind, [1]Tables!$HN$4, rng_out_GB_Medispan, Q$1,rng_out_sel_sp_ind,$D344,rng_out_sel_excl_ind,$E344, rng_out_MSB_excl, $F344)* _xlfn.XLOOKUP([1]Tables!$HN$4,'[1]RA Output'!$AY$4:$AY$5,'[1]RA Output'!BC$4:BC$5,0)  +
SUMIFS(rng_out_awp_post_yr4,rng_out_sel_excl_yr_ind, [1]Tables!$HN$5, rng_out_GB_Medispan, Q$1,rng_out_sel_sp_ind,$D344,rng_out_sel_excl_ind,$E344, rng_out_MSB_excl, $F344)* _xlfn.XLOOKUP([1]Tables!$HN$5,'[1]RA Output'!$AY$4:$AY$5,'[1]RA Output'!BC$4:BC$5,0)+
SUMIFS(rng_out_awp_post_yr4, rng_out_GB_Medispan, L$1, rng_out_sel_sp_ind, $D344, rng_out_sel_excl_ind,"N", rng_out_MSB_excl, $F344, rng_out_post_reb_ind_yr4, 0)) * ((1-[1]Tables!$BN$4)/[1]Tables!$BN$4) * [1]Tables!$BN$5)/[1]Tables!$AT$4, 0) +
IFERROR(SUMIFS(rng_out_awp_post_yr4,rng_out_sel_excl_yr_ind, "", rng_out_GB_Medispan, L$1,rng_out_sel_sp_ind,$D344,rng_out_sel_excl_ind,$E344)+
SUMIFS(rng_out_awp_post_yr4,rng_out_sel_excl_yr_ind, [1]Tables!$HN$4, rng_out_GB_Medispan, L$1,rng_out_sel_sp_ind,$D344,rng_out_sel_excl_ind,$E344)* _xlfn.XLOOKUP([1]Tables!$HN$4,'[1]RA Output'!$AY$4:$AY$5,'[1]RA Output'!BC$4:BC$5,0)  +
SUMIFS(rng_out_awp_post_yr4,rng_out_sel_excl_yr_ind, [1]Tables!$HN$5, rng_out_GB_Medispan, L$1,rng_out_sel_sp_ind,$D344,rng_out_sel_excl_ind,$E344)* _xlfn.XLOOKUP([1]Tables!$HN$5,'[1]RA Output'!$AY$4:$AY$5,'[1]RA Output'!BC$4:BC$5,0) + SUMIFS(rng_out_awp_post_yr4, rng_out_GB_Medispan, L$1, rng_out_sel_sp_ind, $D344, rng_out_sel_excl_ind,"N", rng_out_post_reb_ind_yr4, 0)/[1]Tables!$AT$4, 0))</f>
        <v>0</v>
      </c>
      <c r="AU344" s="135" cm="1">
        <f t="array" aca="1" ref="AU344" ca="1">IF($E$327="N", IFERROR(IF(OR(input_Shift="No", [1]Tables!$BN$4=1), 0, (SUMIFS(rng_out_awp_post_yr5,rng_out_sel_excl_yr_ind, "", rng_out_GB_Medispan, R$1,rng_out_sel_sp_ind,$D344,rng_out_sel_excl_ind,$E344, rng_out_MSB_excl, $F344)+
SUMIFS(rng_out_awp_post_yr5,rng_out_sel_excl_yr_ind, [1]Tables!$HN$4, rng_out_GB_Medispan, R$1,rng_out_sel_sp_ind,$D344,rng_out_sel_excl_ind,$E344, rng_out_MSB_excl, $F344)* _xlfn.XLOOKUP([1]Tables!$HN$4,'[1]RA Output'!$AY$4:$AY$5,'[1]RA Output'!BD$4:BD$5,0)  +
SUMIFS(rng_out_awp_post_yr5,rng_out_sel_excl_yr_ind, [1]Tables!$HN$5, rng_out_GB_Medispan, R$1,rng_out_sel_sp_ind,$D344,rng_out_sel_excl_ind,$E344, rng_out_MSB_excl, $F344)* _xlfn.XLOOKUP([1]Tables!$HN$5,'[1]RA Output'!$AY$4:$AY$5,'[1]RA Output'!BD$4:BD$5,0)) * ((1-[1]Tables!$BN$4)/[1]Tables!$BN$4) * [1]Tables!$BN$5)/[1]Tables!$AT$4, 0) +
IFERROR((SUMIFS(rng_out_awp_post_yr5,rng_out_sel_excl_yr_ind, "", rng_out_GB_Medispan, M$1,rng_out_sel_sp_ind,$D344,rng_out_sel_excl_ind,$E344)+
SUMIFS(rng_out_awp_post_yr5,rng_out_sel_excl_yr_ind, [1]Tables!$HN$4, rng_out_GB_Medispan, M$1,rng_out_sel_sp_ind,$D344,rng_out_sel_excl_ind,$E344)* _xlfn.XLOOKUP([1]Tables!$HN$4,'[1]RA Output'!$AY$4:$AY$5,'[1]RA Output'!BD$4:BD$5,0)  +
SUMIFS(rng_out_awp_post_yr5,rng_out_sel_excl_yr_ind, [1]Tables!$HN$5, rng_out_GB_Medispan, M$1,rng_out_sel_sp_ind,$D344,rng_out_sel_excl_ind,$E344)* _xlfn.XLOOKUP([1]Tables!$HN$5,'[1]RA Output'!$AY$4:$AY$5,'[1]RA Output'!BD$4:BD$5,0))/[1]Tables!$AT$4, 0),
IFERROR(IF(OR(input_Shift="No", [1]Tables!$BN$4=1), 0, (SUMIFS(rng_out_awp_post_yr5,rng_out_sel_excl_yr_ind, "", rng_out_GB_Medispan, R$1,rng_out_sel_sp_ind,$D344,rng_out_sel_excl_ind,$E344, rng_out_MSB_excl, $F344)+
SUMIFS(rng_out_awp_post_yr5,rng_out_sel_excl_yr_ind, [1]Tables!$HN$4, rng_out_GB_Medispan, R$1,rng_out_sel_sp_ind,$D344,rng_out_sel_excl_ind,$E344, rng_out_MSB_excl, $F344)* _xlfn.XLOOKUP([1]Tables!$HN$4,'[1]RA Output'!$AY$4:$AY$5,'[1]RA Output'!BD$4:BD$5,0)  +
SUMIFS(rng_out_awp_post_yr5,rng_out_sel_excl_yr_ind, [1]Tables!$HN$5, rng_out_GB_Medispan, R$1,rng_out_sel_sp_ind,$D344,rng_out_sel_excl_ind,$E344, rng_out_MSB_excl, $F344)* _xlfn.XLOOKUP([1]Tables!$HN$5,'[1]RA Output'!$AY$4:$AY$5,'[1]RA Output'!BD$4:BD$5,0)+
SUMIFS(rng_out_awp_post_yr5, rng_out_GB_Medispan, M$1, rng_out_sel_sp_ind, $D344, rng_out_sel_excl_ind,"N", rng_out_MSB_excl, $F344, rng_out_post_reb_ind_yr5, 0)) * ((1-[1]Tables!$BN$4)/[1]Tables!$BN$4) * [1]Tables!$BN$5)/[1]Tables!$AT$4, 0) +
IFERROR(SUMIFS(rng_out_awp_post_yr5,rng_out_sel_excl_yr_ind, "", rng_out_GB_Medispan, M$1,rng_out_sel_sp_ind,$D344,rng_out_sel_excl_ind,$E344)+
SUMIFS(rng_out_awp_post_yr5,rng_out_sel_excl_yr_ind, [1]Tables!$HN$4, rng_out_GB_Medispan, M$1,rng_out_sel_sp_ind,$D344,rng_out_sel_excl_ind,$E344)* _xlfn.XLOOKUP([1]Tables!$HN$4,'[1]RA Output'!$AY$4:$AY$5,'[1]RA Output'!BD$4:BD$5,0)  +
SUMIFS(rng_out_awp_post_yr5,rng_out_sel_excl_yr_ind, [1]Tables!$HN$5, rng_out_GB_Medispan, M$1,rng_out_sel_sp_ind,$D344,rng_out_sel_excl_ind,$E344)* _xlfn.XLOOKUP([1]Tables!$HN$5,'[1]RA Output'!$AY$4:$AY$5,'[1]RA Output'!BD$4:BD$5,0) + SUMIFS(rng_out_awp_post_yr5, rng_out_GB_Medispan, M$1, rng_out_sel_sp_ind, $D344, rng_out_sel_excl_ind,"N", rng_out_post_reb_ind_yr5, 0)/[1]Tables!$AT$4, 0))</f>
        <v>0</v>
      </c>
      <c r="AV344" s="136">
        <f t="shared" ca="1" si="365"/>
        <v>0</v>
      </c>
      <c r="AW344" s="137">
        <f t="shared" ca="1" si="365"/>
        <v>0</v>
      </c>
      <c r="AX344" s="137">
        <f t="shared" ca="1" si="365"/>
        <v>0</v>
      </c>
      <c r="AY344" s="137">
        <f t="shared" ca="1" si="365"/>
        <v>0</v>
      </c>
      <c r="AZ344" s="138">
        <f t="shared" ca="1" si="365"/>
        <v>0</v>
      </c>
      <c r="BG344" s="121" t="s">
        <v>17</v>
      </c>
      <c r="BH344" s="145">
        <f t="shared" ca="1" si="366"/>
        <v>0</v>
      </c>
      <c r="BI344" s="146">
        <f t="shared" ca="1" si="366"/>
        <v>0</v>
      </c>
      <c r="BJ344" s="146">
        <f t="shared" ca="1" si="366"/>
        <v>0</v>
      </c>
      <c r="BK344" s="146">
        <f t="shared" ca="1" si="366"/>
        <v>0</v>
      </c>
      <c r="BL344" s="147">
        <f t="shared" ca="1" si="366"/>
        <v>0</v>
      </c>
      <c r="BM344" s="142">
        <f t="shared" ca="1" si="367"/>
        <v>0</v>
      </c>
      <c r="BN344" s="143">
        <f t="shared" ca="1" si="367"/>
        <v>0</v>
      </c>
      <c r="BO344" s="143">
        <f t="shared" ca="1" si="367"/>
        <v>0</v>
      </c>
      <c r="BP344" s="143">
        <f t="shared" ca="1" si="367"/>
        <v>0</v>
      </c>
      <c r="BQ344" s="144">
        <f t="shared" ca="1" si="367"/>
        <v>0</v>
      </c>
      <c r="BX344" s="121" t="s">
        <v>17</v>
      </c>
      <c r="BY344" s="145" t="e">
        <f t="shared" ca="1" si="368"/>
        <v>#VALUE!</v>
      </c>
      <c r="BZ344" s="146" t="e">
        <f t="shared" ca="1" si="368"/>
        <v>#VALUE!</v>
      </c>
      <c r="CA344" s="146" t="e">
        <f t="shared" ca="1" si="368"/>
        <v>#VALUE!</v>
      </c>
      <c r="CB344" s="146" t="e">
        <f t="shared" ca="1" si="368"/>
        <v>#VALUE!</v>
      </c>
      <c r="CC344" s="147" t="e">
        <f t="shared" ca="1" si="368"/>
        <v>#VALUE!</v>
      </c>
      <c r="CD344" s="142">
        <f t="shared" ca="1" si="369"/>
        <v>0</v>
      </c>
      <c r="CE344" s="143">
        <f t="shared" ca="1" si="369"/>
        <v>0</v>
      </c>
      <c r="CF344" s="143">
        <f t="shared" ca="1" si="369"/>
        <v>0</v>
      </c>
      <c r="CG344" s="143">
        <f t="shared" ca="1" si="369"/>
        <v>0</v>
      </c>
      <c r="CH344" s="144">
        <f t="shared" ca="1" si="369"/>
        <v>0</v>
      </c>
      <c r="CO344" s="231" cm="1">
        <f t="array" aca="1" ref="CO344" ca="1">_xlfn.SINGLE(IFERROR(SUMIFS(rng_out_awp_base, rng_out_GB_Medispan, "G", rng_out_sel_sp_ind, $D344, rng_out_sel_excl_ind,$E344)/[1]Tables!$AT$4, 0))</f>
        <v>0</v>
      </c>
      <c r="CP344" s="233" cm="1">
        <f t="array" aca="1" ref="CP344" ca="1">_xlfn.SINGLE(IFERROR(SUMIFS(rng_out_awp_base, rng_out_GB_Medispan, "B", rng_out_sel_sp_ind, $D344, rng_out_sel_excl_ind,$E344)/[1]Tables!$AT$4, 0))</f>
        <v>0</v>
      </c>
      <c r="CQ344" s="234">
        <f ca="1">SUM(CO344:CP344)</f>
        <v>0</v>
      </c>
      <c r="CR344" s="142">
        <f t="shared" ca="1" si="370"/>
        <v>0</v>
      </c>
      <c r="CS344" s="144">
        <f t="shared" ca="1" si="370"/>
        <v>0</v>
      </c>
      <c r="CT344" s="177">
        <f t="shared" ca="1" si="370"/>
        <v>0</v>
      </c>
    </row>
    <row r="345" spans="2:98" ht="15" thickBot="1" x14ac:dyDescent="0.4">
      <c r="B345" s="106"/>
      <c r="C345" s="236"/>
      <c r="D345" s="236" t="s">
        <v>29</v>
      </c>
      <c r="E345" s="237" t="str">
        <f>IF(sel_excl_nonRebatable=1, "Y", "N")</f>
        <v>N</v>
      </c>
      <c r="H345" s="154" t="s">
        <v>18</v>
      </c>
      <c r="I345" s="155" t="e">
        <f ca="1">SUM(I341:I344)</f>
        <v>#VALUE!</v>
      </c>
      <c r="J345" s="155" t="e">
        <f ca="1">SUM(J341:J344)</f>
        <v>#VALUE!</v>
      </c>
      <c r="K345" s="155" t="e">
        <f ca="1">SUM(K341:K344)</f>
        <v>#VALUE!</v>
      </c>
      <c r="L345" s="155" t="e">
        <f ca="1">SUM(L341:L344)</f>
        <v>#VALUE!</v>
      </c>
      <c r="M345" s="156" t="e">
        <f ca="1">SUM(M341:M344)</f>
        <v>#VALUE!</v>
      </c>
      <c r="N345" s="157">
        <f t="shared" ca="1" si="363"/>
        <v>0</v>
      </c>
      <c r="O345" s="157">
        <f t="shared" ca="1" si="363"/>
        <v>0</v>
      </c>
      <c r="P345" s="157">
        <f t="shared" ca="1" si="363"/>
        <v>0</v>
      </c>
      <c r="Q345" s="157">
        <f t="shared" ca="1" si="363"/>
        <v>0</v>
      </c>
      <c r="R345" s="158">
        <f t="shared" ca="1" si="363"/>
        <v>0</v>
      </c>
      <c r="Y345" s="159" t="s">
        <v>18</v>
      </c>
      <c r="Z345" s="160">
        <f ca="1">SUM(Z341:Z344)</f>
        <v>0</v>
      </c>
      <c r="AA345" s="161">
        <f ca="1">SUM(AA341:AA344)</f>
        <v>0</v>
      </c>
      <c r="AB345" s="161">
        <f ca="1">SUM(AB341:AB344)</f>
        <v>0</v>
      </c>
      <c r="AC345" s="161">
        <f ca="1">SUM(AC341:AC344)</f>
        <v>0</v>
      </c>
      <c r="AD345" s="162">
        <f ca="1">SUM(AD341:AD344)</f>
        <v>0</v>
      </c>
      <c r="AE345" s="163">
        <f t="shared" ca="1" si="364"/>
        <v>0</v>
      </c>
      <c r="AF345" s="164">
        <f t="shared" ca="1" si="364"/>
        <v>0</v>
      </c>
      <c r="AG345" s="164">
        <f t="shared" ca="1" si="364"/>
        <v>0</v>
      </c>
      <c r="AH345" s="164">
        <f t="shared" ca="1" si="364"/>
        <v>0</v>
      </c>
      <c r="AI345" s="165">
        <f t="shared" ca="1" si="364"/>
        <v>0</v>
      </c>
      <c r="AP345" s="166" t="s">
        <v>18</v>
      </c>
      <c r="AQ345" s="167">
        <f ca="1">SUM(AQ341:AQ344)</f>
        <v>0</v>
      </c>
      <c r="AR345" s="134">
        <f ca="1">SUM(AR341:AR344)</f>
        <v>0</v>
      </c>
      <c r="AS345" s="134">
        <f ca="1">SUM(AS341:AS344)</f>
        <v>0</v>
      </c>
      <c r="AT345" s="134">
        <f ca="1">SUM(AT341:AT344)</f>
        <v>0</v>
      </c>
      <c r="AU345" s="135">
        <f ca="1">SUM(AU341:AU344)</f>
        <v>0</v>
      </c>
      <c r="AV345" s="168">
        <f t="shared" ca="1" si="365"/>
        <v>0</v>
      </c>
      <c r="AW345" s="169">
        <f t="shared" ca="1" si="365"/>
        <v>0</v>
      </c>
      <c r="AX345" s="169">
        <f t="shared" ca="1" si="365"/>
        <v>0</v>
      </c>
      <c r="AY345" s="169">
        <f t="shared" ca="1" si="365"/>
        <v>0</v>
      </c>
      <c r="AZ345" s="170">
        <f t="shared" ca="1" si="365"/>
        <v>0</v>
      </c>
      <c r="BG345" s="171" t="s">
        <v>18</v>
      </c>
      <c r="BH345" s="172">
        <f ca="1">SUM(BH341:BH344)</f>
        <v>0</v>
      </c>
      <c r="BI345" s="173">
        <f ca="1">SUM(BI341:BI344)</f>
        <v>0</v>
      </c>
      <c r="BJ345" s="173">
        <f ca="1">SUM(BJ341:BJ344)</f>
        <v>0</v>
      </c>
      <c r="BK345" s="173">
        <f ca="1">SUM(BK341:BK344)</f>
        <v>0</v>
      </c>
      <c r="BL345" s="174">
        <f ca="1">SUM(BL341:BL344)</f>
        <v>0</v>
      </c>
      <c r="BM345" s="175">
        <f t="shared" ca="1" si="367"/>
        <v>0</v>
      </c>
      <c r="BN345" s="176">
        <f t="shared" ca="1" si="367"/>
        <v>0</v>
      </c>
      <c r="BO345" s="176">
        <f t="shared" ca="1" si="367"/>
        <v>0</v>
      </c>
      <c r="BP345" s="176">
        <f t="shared" ca="1" si="367"/>
        <v>0</v>
      </c>
      <c r="BQ345" s="177">
        <f t="shared" ca="1" si="367"/>
        <v>0</v>
      </c>
      <c r="BX345" s="171" t="s">
        <v>18</v>
      </c>
      <c r="BY345" s="172" t="e">
        <f ca="1">SUM(BY341:BY344)</f>
        <v>#VALUE!</v>
      </c>
      <c r="BZ345" s="173" t="e">
        <f ca="1">SUM(BZ341:BZ344)</f>
        <v>#VALUE!</v>
      </c>
      <c r="CA345" s="173" t="e">
        <f ca="1">SUM(CA341:CA344)</f>
        <v>#VALUE!</v>
      </c>
      <c r="CB345" s="173" t="e">
        <f ca="1">SUM(CB341:CB344)</f>
        <v>#VALUE!</v>
      </c>
      <c r="CC345" s="174" t="e">
        <f ca="1">SUM(CC341:CC344)</f>
        <v>#VALUE!</v>
      </c>
      <c r="CD345" s="175">
        <f ca="1">IFERROR(BY345/BY298, 0)</f>
        <v>0</v>
      </c>
      <c r="CE345" s="176">
        <f ca="1">IFERROR(BZ345/BZ298, 0)</f>
        <v>0</v>
      </c>
      <c r="CF345" s="176">
        <f ca="1">IFERROR(CA345/CA298, 0)</f>
        <v>0</v>
      </c>
      <c r="CG345" s="176">
        <f ca="1">IFERROR(CB345/CB298, 0)</f>
        <v>0</v>
      </c>
      <c r="CH345" s="177">
        <f ca="1">IFERROR(CC345/CC298, 0)</f>
        <v>0</v>
      </c>
      <c r="CO345" s="246">
        <f ca="1">SUM(CO341:CO344)</f>
        <v>0</v>
      </c>
      <c r="CP345" s="247">
        <f ca="1">SUM(CP341:CP344)</f>
        <v>0</v>
      </c>
      <c r="CQ345" s="247">
        <f ca="1">SUM(CQ341:CQ344)</f>
        <v>0</v>
      </c>
      <c r="CR345" s="359">
        <f t="shared" ca="1" si="370"/>
        <v>0</v>
      </c>
      <c r="CS345" s="360">
        <f t="shared" ca="1" si="370"/>
        <v>0</v>
      </c>
      <c r="CT345" s="360">
        <f t="shared" ca="1" si="370"/>
        <v>0</v>
      </c>
    </row>
    <row r="346" spans="2:98" ht="15" thickBot="1" x14ac:dyDescent="0.4"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O346" s="252"/>
      <c r="CP346" s="252"/>
    </row>
    <row r="347" spans="2:98" ht="15" thickBot="1" x14ac:dyDescent="0.4">
      <c r="I347" s="21" t="s">
        <v>75</v>
      </c>
      <c r="J347" s="22"/>
      <c r="K347" s="22"/>
      <c r="L347" s="22"/>
      <c r="M347" s="22"/>
      <c r="N347" s="22"/>
      <c r="O347" s="22"/>
      <c r="P347" s="22"/>
      <c r="Q347" s="22"/>
      <c r="R347" s="23"/>
      <c r="Z347" s="24" t="s">
        <v>75</v>
      </c>
      <c r="AA347" s="25"/>
      <c r="AB347" s="25"/>
      <c r="AC347" s="25"/>
      <c r="AD347" s="25"/>
      <c r="AE347" s="25"/>
      <c r="AF347" s="25"/>
      <c r="AG347" s="25"/>
      <c r="AH347" s="25"/>
      <c r="AI347" s="26"/>
      <c r="AQ347" s="354" t="s">
        <v>75</v>
      </c>
      <c r="AR347" s="29"/>
      <c r="AS347" s="29"/>
      <c r="AT347" s="29"/>
      <c r="AU347" s="29"/>
      <c r="AV347" s="29"/>
      <c r="AW347" s="29"/>
      <c r="AX347" s="29"/>
      <c r="AY347" s="29"/>
      <c r="AZ347" s="355"/>
      <c r="BH347" s="31" t="s">
        <v>75</v>
      </c>
      <c r="BI347" s="32"/>
      <c r="BJ347" s="32"/>
      <c r="BK347" s="32"/>
      <c r="BL347" s="32"/>
      <c r="BM347" s="32"/>
      <c r="BN347" s="32"/>
      <c r="BO347" s="32"/>
      <c r="BP347" s="32"/>
      <c r="BQ347" s="33"/>
      <c r="BY347" s="34" t="s">
        <v>75</v>
      </c>
      <c r="BZ347" s="35"/>
      <c r="CA347" s="35"/>
      <c r="CB347" s="35"/>
      <c r="CC347" s="35"/>
      <c r="CD347" s="35"/>
      <c r="CE347" s="35"/>
      <c r="CF347" s="35"/>
      <c r="CG347" s="35"/>
      <c r="CH347" s="36"/>
      <c r="CO347" s="252"/>
      <c r="CP347" s="252"/>
    </row>
    <row r="348" spans="2:98" ht="15" thickBot="1" x14ac:dyDescent="0.4">
      <c r="H348" s="37"/>
      <c r="I348" s="302" t="s">
        <v>64</v>
      </c>
      <c r="J348" s="303"/>
      <c r="K348" s="303"/>
      <c r="L348" s="303"/>
      <c r="M348" s="304"/>
      <c r="N348" s="302" t="s">
        <v>65</v>
      </c>
      <c r="O348" s="303"/>
      <c r="P348" s="303"/>
      <c r="Q348" s="303"/>
      <c r="R348" s="304"/>
      <c r="Z348" s="41" t="s">
        <v>64</v>
      </c>
      <c r="AA348" s="42"/>
      <c r="AB348" s="42"/>
      <c r="AC348" s="42"/>
      <c r="AD348" s="43"/>
      <c r="AE348" s="41" t="s">
        <v>65</v>
      </c>
      <c r="AF348" s="42"/>
      <c r="AG348" s="42"/>
      <c r="AH348" s="42"/>
      <c r="AI348" s="43"/>
      <c r="AQ348" s="44" t="s">
        <v>64</v>
      </c>
      <c r="AR348" s="45"/>
      <c r="AS348" s="45"/>
      <c r="AT348" s="45"/>
      <c r="AU348" s="46"/>
      <c r="AV348" s="44" t="s">
        <v>65</v>
      </c>
      <c r="AW348" s="45"/>
      <c r="AX348" s="45"/>
      <c r="AY348" s="45"/>
      <c r="AZ348" s="46"/>
      <c r="BH348" s="305" t="s">
        <v>64</v>
      </c>
      <c r="BI348" s="306"/>
      <c r="BJ348" s="306"/>
      <c r="BK348" s="306"/>
      <c r="BL348" s="307"/>
      <c r="BM348" s="305" t="s">
        <v>65</v>
      </c>
      <c r="BN348" s="306"/>
      <c r="BO348" s="306"/>
      <c r="BP348" s="306"/>
      <c r="BQ348" s="307"/>
      <c r="BY348" s="305" t="s">
        <v>64</v>
      </c>
      <c r="BZ348" s="306"/>
      <c r="CA348" s="306"/>
      <c r="CB348" s="306"/>
      <c r="CC348" s="307"/>
      <c r="CD348" s="305" t="s">
        <v>65</v>
      </c>
      <c r="CE348" s="306"/>
      <c r="CF348" s="306"/>
      <c r="CG348" s="306"/>
      <c r="CH348" s="307"/>
      <c r="CO348" s="252"/>
      <c r="CP348" s="252"/>
    </row>
    <row r="349" spans="2:98" ht="15" thickBot="1" x14ac:dyDescent="0.4">
      <c r="H349" s="55"/>
      <c r="I349" s="56" t="str">
        <f>[1]Tables!$AA$4</f>
        <v>07/27 - 06/28</v>
      </c>
      <c r="J349" s="55" t="str">
        <f>[1]Tables!$AA$5</f>
        <v>07/28 - 06/29</v>
      </c>
      <c r="K349" s="55" t="str">
        <f>[1]Tables!$AA$6</f>
        <v>07/29 - 06/30</v>
      </c>
      <c r="L349" s="55" t="str">
        <f>[1]Tables!$AA$7</f>
        <v>07/30 - 06/31</v>
      </c>
      <c r="M349" s="57" t="str">
        <f>[1]Tables!$AA$8</f>
        <v>07/31 - 06/32</v>
      </c>
      <c r="N349" s="56" t="str">
        <f>[1]Tables!$AA$4</f>
        <v>07/27 - 06/28</v>
      </c>
      <c r="O349" s="55" t="str">
        <f>[1]Tables!$AA$5</f>
        <v>07/28 - 06/29</v>
      </c>
      <c r="P349" s="55" t="str">
        <f>[1]Tables!$AA$6</f>
        <v>07/29 - 06/30</v>
      </c>
      <c r="Q349" s="55" t="str">
        <f>[1]Tables!$AA$7</f>
        <v>07/30 - 06/31</v>
      </c>
      <c r="R349" s="57" t="str">
        <f>[1]Tables!$AA$8</f>
        <v>07/31 - 06/32</v>
      </c>
      <c r="Y349" s="58"/>
      <c r="Z349" s="59" t="str">
        <f>[1]Tables!$AA$4</f>
        <v>07/27 - 06/28</v>
      </c>
      <c r="AA349" s="60" t="str">
        <f>[1]Tables!$AA$5</f>
        <v>07/28 - 06/29</v>
      </c>
      <c r="AB349" s="60" t="str">
        <f>[1]Tables!$AA$6</f>
        <v>07/29 - 06/30</v>
      </c>
      <c r="AC349" s="60" t="str">
        <f>[1]Tables!$AA$7</f>
        <v>07/30 - 06/31</v>
      </c>
      <c r="AD349" s="61" t="str">
        <f>[1]Tables!$AA$8</f>
        <v>07/31 - 06/32</v>
      </c>
      <c r="AE349" s="59" t="str">
        <f>[1]Tables!$AA$4</f>
        <v>07/27 - 06/28</v>
      </c>
      <c r="AF349" s="60" t="str">
        <f>[1]Tables!$AA$5</f>
        <v>07/28 - 06/29</v>
      </c>
      <c r="AG349" s="60" t="str">
        <f>[1]Tables!$AA$6</f>
        <v>07/29 - 06/30</v>
      </c>
      <c r="AH349" s="60" t="str">
        <f>[1]Tables!$AA$7</f>
        <v>07/30 - 06/31</v>
      </c>
      <c r="AI349" s="61" t="str">
        <f>[1]Tables!$AA$8</f>
        <v>07/31 - 06/32</v>
      </c>
      <c r="AP349" s="58"/>
      <c r="AQ349" s="62" t="str">
        <f>[1]Tables!$AA$4</f>
        <v>07/27 - 06/28</v>
      </c>
      <c r="AR349" s="63" t="str">
        <f>[1]Tables!$AA$5</f>
        <v>07/28 - 06/29</v>
      </c>
      <c r="AS349" s="63" t="str">
        <f>[1]Tables!$AA$6</f>
        <v>07/29 - 06/30</v>
      </c>
      <c r="AT349" s="63" t="str">
        <f>[1]Tables!$AA$7</f>
        <v>07/30 - 06/31</v>
      </c>
      <c r="AU349" s="64" t="str">
        <f>[1]Tables!$AA$8</f>
        <v>07/31 - 06/32</v>
      </c>
      <c r="AV349" s="62" t="str">
        <f>[1]Tables!$AA$4</f>
        <v>07/27 - 06/28</v>
      </c>
      <c r="AW349" s="63" t="str">
        <f>[1]Tables!$AA$5</f>
        <v>07/28 - 06/29</v>
      </c>
      <c r="AX349" s="63" t="str">
        <f>[1]Tables!$AA$6</f>
        <v>07/29 - 06/30</v>
      </c>
      <c r="AY349" s="63" t="str">
        <f>[1]Tables!$AA$7</f>
        <v>07/30 - 06/31</v>
      </c>
      <c r="AZ349" s="64" t="str">
        <f>[1]Tables!$AA$8</f>
        <v>07/31 - 06/32</v>
      </c>
      <c r="BG349" s="58"/>
      <c r="BH349" s="65" t="str">
        <f>[1]Tables!$AA$4</f>
        <v>07/27 - 06/28</v>
      </c>
      <c r="BI349" s="66" t="str">
        <f>[1]Tables!$AA$5</f>
        <v>07/28 - 06/29</v>
      </c>
      <c r="BJ349" s="66" t="str">
        <f>[1]Tables!$AA$6</f>
        <v>07/29 - 06/30</v>
      </c>
      <c r="BK349" s="66" t="str">
        <f>[1]Tables!$AA$7</f>
        <v>07/30 - 06/31</v>
      </c>
      <c r="BL349" s="67" t="str">
        <f>[1]Tables!$AA$8</f>
        <v>07/31 - 06/32</v>
      </c>
      <c r="BM349" s="65" t="str">
        <f>[1]Tables!$AA$4</f>
        <v>07/27 - 06/28</v>
      </c>
      <c r="BN349" s="66" t="str">
        <f>[1]Tables!$AA$5</f>
        <v>07/28 - 06/29</v>
      </c>
      <c r="BO349" s="66" t="str">
        <f>[1]Tables!$AA$6</f>
        <v>07/29 - 06/30</v>
      </c>
      <c r="BP349" s="66" t="str">
        <f>[1]Tables!$AA$7</f>
        <v>07/30 - 06/31</v>
      </c>
      <c r="BQ349" s="67" t="str">
        <f>[1]Tables!$AA$8</f>
        <v>07/31 - 06/32</v>
      </c>
      <c r="BX349" s="58"/>
      <c r="BY349" s="65" t="str">
        <f>[1]Tables!$AA$4</f>
        <v>07/27 - 06/28</v>
      </c>
      <c r="BZ349" s="66" t="str">
        <f>[1]Tables!$AA$5</f>
        <v>07/28 - 06/29</v>
      </c>
      <c r="CA349" s="66" t="str">
        <f>[1]Tables!$AA$6</f>
        <v>07/29 - 06/30</v>
      </c>
      <c r="CB349" s="66" t="str">
        <f>[1]Tables!$AA$7</f>
        <v>07/30 - 06/31</v>
      </c>
      <c r="CC349" s="67" t="str">
        <f>[1]Tables!$AA$8</f>
        <v>07/31 - 06/32</v>
      </c>
      <c r="CD349" s="65" t="str">
        <f>[1]Tables!$AA$4</f>
        <v>07/27 - 06/28</v>
      </c>
      <c r="CE349" s="66" t="str">
        <f>[1]Tables!$AA$5</f>
        <v>07/28 - 06/29</v>
      </c>
      <c r="CF349" s="66" t="str">
        <f>[1]Tables!$AA$6</f>
        <v>07/29 - 06/30</v>
      </c>
      <c r="CG349" s="66" t="str">
        <f>[1]Tables!$AA$7</f>
        <v>07/30 - 06/31</v>
      </c>
      <c r="CH349" s="67" t="str">
        <f>[1]Tables!$AA$8</f>
        <v>07/31 - 06/32</v>
      </c>
      <c r="CO349" s="252"/>
      <c r="CP349" s="252"/>
    </row>
    <row r="350" spans="2:98" x14ac:dyDescent="0.35">
      <c r="B350" s="68" t="s">
        <v>11</v>
      </c>
      <c r="C350" s="69">
        <v>30</v>
      </c>
      <c r="D350" s="69" t="s">
        <v>12</v>
      </c>
      <c r="E350" s="70" t="s">
        <v>13</v>
      </c>
      <c r="F350" s="106"/>
      <c r="H350" s="71" t="s">
        <v>14</v>
      </c>
      <c r="I350" s="72" t="e" cm="1">
        <f t="array" aca="1" ref="I350" ca="1">SUMIFS(rng_out_awp_pre_yr1,rng_out_sel_excl_yr_ind, "", rng_out_GB_Medispan, N$1,rng_out_sel_G_ind,N$1,rng_out_mail_ind,$B350,rng_out_ds,$C350,rng_out_sel_sp_ind,$D350,rng_out_sel_excl_ind,$E350)+
SUMIFS(rng_out_awp_pre_yr1,rng_out_sel_excl_yr_ind, [1]Tables!$HN$4, rng_out_GB_Medispan, N$1,rng_out_sel_G_ind,N$1,rng_out_mail_ind,$B350,rng_out_ds,$C350,rng_out_sel_sp_ind,$D350,rng_out_sel_excl_ind,$E350)* _xlfn.XLOOKUP([1]Tables!$HN$4,'[1]RA Output'!$AY$4:$AY$5,'[1]RA Output'!AZ$4:AZ$5,0)  +
SUMIFS(rng_out_awp_pre_yr1,rng_out_sel_excl_yr_ind, [1]Tables!$HN$5, rng_out_GB_Medispan, N$1,rng_out_sel_G_ind,N$1,rng_out_mail_ind,$B350,rng_out_ds,$C350,rng_out_sel_sp_ind,$D350,rng_out_sel_excl_ind,$E350)* _xlfn.XLOOKUP([1]Tables!$HN$5,'[1]RA Output'!$AY$4:$AY$5,'[1]RA Output'!AZ$4:AZ$5,0)+
IF($E$354="N", 0,
SUMIFS(rng_out_awp_pre_yr1, rng_out_GB_Medispan, N$1, rng_out_sel_G_ind, N$1, rng_out_mail_ind, $B350, rng_out_ds, $C350, rng_out_sel_sp_ind, $D350, rng_out_sel_excl_ind,"N", rng_out_post_reb_ind_yr1, 0))</f>
        <v>#VALUE!</v>
      </c>
      <c r="J350" s="5" t="e" cm="1">
        <f t="array" aca="1" ref="J350" ca="1">SUMIFS(rng_out_awp_pre_yr2,rng_out_sel_excl_yr_ind, "", rng_out_GB_Medispan, O$1,rng_out_sel_G_ind,O$1,rng_out_mail_ind,$B350,rng_out_ds,$C350,rng_out_sel_sp_ind,$D350,rng_out_sel_excl_ind,$E350)+
SUMIFS(rng_out_awp_pre_yr2,rng_out_sel_excl_yr_ind, [1]Tables!$HN$4, rng_out_GB_Medispan, O$1,rng_out_sel_G_ind,O$1,rng_out_mail_ind,$B350,rng_out_ds,$C350,rng_out_sel_sp_ind,$D350,rng_out_sel_excl_ind,$E350)* _xlfn.XLOOKUP([1]Tables!$HN$4,'[1]RA Output'!$AY$4:$AY$5,'[1]RA Output'!BA$4:BA$5,0)  +
SUMIFS(rng_out_awp_pre_yr2,rng_out_sel_excl_yr_ind, [1]Tables!$HN$5, rng_out_GB_Medispan, O$1,rng_out_sel_G_ind,O$1,rng_out_mail_ind,$B350,rng_out_ds,$C350,rng_out_sel_sp_ind,$D350,rng_out_sel_excl_ind,$E350)* _xlfn.XLOOKUP([1]Tables!$HN$5,'[1]RA Output'!$AY$4:$AY$5,'[1]RA Output'!BA$4:BA$5,0)+
IF($E$354="N", 0,
SUMIFS(rng_out_awp_pre_yr2, rng_out_GB_Medispan, O$1, rng_out_sel_G_ind, O$1, rng_out_mail_ind, $B350, rng_out_ds, $C350, rng_out_sel_sp_ind, $D350, rng_out_sel_excl_ind,"N", rng_out_post_reb_ind_yr2, 0))</f>
        <v>#VALUE!</v>
      </c>
      <c r="K350" s="5" t="e" cm="1">
        <f t="array" aca="1" ref="K350" ca="1">SUMIFS(rng_out_awp_pre_yr3,rng_out_sel_excl_yr_ind, "", rng_out_GB_Medispan, P$1,rng_out_sel_G_ind,P$1,rng_out_mail_ind,$B350,rng_out_ds,$C350,rng_out_sel_sp_ind,$D350,rng_out_sel_excl_ind,$E350)+
SUMIFS(rng_out_awp_pre_yr3,rng_out_sel_excl_yr_ind, [1]Tables!$HN$4, rng_out_GB_Medispan, P$1,rng_out_sel_G_ind,P$1,rng_out_mail_ind,$B350,rng_out_ds,$C350,rng_out_sel_sp_ind,$D350,rng_out_sel_excl_ind,$E350)* _xlfn.XLOOKUP([1]Tables!$HN$4,'[1]RA Output'!$AY$4:$AY$5,'[1]RA Output'!BB$4:BB$5,0)  +
SUMIFS(rng_out_awp_pre_yr3,rng_out_sel_excl_yr_ind, [1]Tables!$HN$5, rng_out_GB_Medispan, P$1,rng_out_sel_G_ind,P$1,rng_out_mail_ind,$B350,rng_out_ds,$C350,rng_out_sel_sp_ind,$D350,rng_out_sel_excl_ind,$E350)* _xlfn.XLOOKUP([1]Tables!$HN$5,'[1]RA Output'!$AY$4:$AY$5,'[1]RA Output'!BB$4:BB$5,0)+
IF($E$354="N", 0,
SUMIFS(rng_out_awp_pre_yr3, rng_out_GB_Medispan, P$1, rng_out_sel_G_ind, P$1, rng_out_mail_ind, $B350, rng_out_ds, $C350, rng_out_sel_sp_ind, $D350, rng_out_sel_excl_ind,"N", rng_out_post_reb_ind_yr3, 0))</f>
        <v>#VALUE!</v>
      </c>
      <c r="L350" s="5" t="e" cm="1">
        <f t="array" aca="1" ref="L350" ca="1">SUMIFS(rng_out_awp_pre_yr4,rng_out_sel_excl_yr_ind, "", rng_out_GB_Medispan, Q$1,rng_out_sel_G_ind,Q$1,rng_out_mail_ind,$B350,rng_out_ds,$C350,rng_out_sel_sp_ind,$D350,rng_out_sel_excl_ind,$E350)+
SUMIFS(rng_out_awp_pre_yr4,rng_out_sel_excl_yr_ind, [1]Tables!$HN$4, rng_out_GB_Medispan, Q$1,rng_out_sel_G_ind,Q$1,rng_out_mail_ind,$B350,rng_out_ds,$C350,rng_out_sel_sp_ind,$D350,rng_out_sel_excl_ind,$E350)* _xlfn.XLOOKUP([1]Tables!$HN$4,'[1]RA Output'!$AY$4:$AY$5,'[1]RA Output'!BC$4:BC$5,0)  +
SUMIFS(rng_out_awp_pre_yr4,rng_out_sel_excl_yr_ind, [1]Tables!$HN$5, rng_out_GB_Medispan, Q$1,rng_out_sel_G_ind,Q$1,rng_out_mail_ind,$B350,rng_out_ds,$C350,rng_out_sel_sp_ind,$D350,rng_out_sel_excl_ind,$E350)* _xlfn.XLOOKUP([1]Tables!$HN$5,'[1]RA Output'!$AY$4:$AY$5,'[1]RA Output'!BC$4:BC$5,0)+
IF($E$354="N", 0,
SUMIFS(rng_out_awp_pre_yr4, rng_out_GB_Medispan, Q$1, rng_out_sel_G_ind, Q$1, rng_out_mail_ind, $B350, rng_out_ds, $C350, rng_out_sel_sp_ind, $D350, rng_out_sel_excl_ind,"N", rng_out_post_reb_ind_yr4, 0))</f>
        <v>#VALUE!</v>
      </c>
      <c r="M350" s="73" t="e" cm="1">
        <f t="array" aca="1" ref="M350" ca="1">SUMIFS(rng_out_awp_pre_yr5,rng_out_sel_excl_yr_ind, "", rng_out_GB_Medispan, R$1,rng_out_sel_G_ind,R$1,rng_out_mail_ind,$B350,rng_out_ds,$C350,rng_out_sel_sp_ind,$D350,rng_out_sel_excl_ind,$E350)+
SUMIFS(rng_out_awp_pre_yr5,rng_out_sel_excl_yr_ind, [1]Tables!$HN$4, rng_out_GB_Medispan, R$1,rng_out_sel_G_ind,R$1,rng_out_mail_ind,$B350,rng_out_ds,$C350,rng_out_sel_sp_ind,$D350,rng_out_sel_excl_ind,$E350)* _xlfn.XLOOKUP([1]Tables!$HN$4,'[1]RA Output'!$AY$4:$AY$5,'[1]RA Output'!BD$4:BD$5,0)  +
SUMIFS(rng_out_awp_pre_yr5,rng_out_sel_excl_yr_ind, [1]Tables!$HN$5, rng_out_GB_Medispan, R$1,rng_out_sel_G_ind,R$1,rng_out_mail_ind,$B350,rng_out_ds,$C350,rng_out_sel_sp_ind,$D350,rng_out_sel_excl_ind,$E350)* _xlfn.XLOOKUP([1]Tables!$HN$5,'[1]RA Output'!$AY$4:$AY$5,'[1]RA Output'!BD$4:BD$5,0)+
IF($E$354="N", 0,
SUMIFS(rng_out_awp_pre_yr5, rng_out_GB_Medispan, R$1, rng_out_sel_G_ind, R$1, rng_out_mail_ind, $B350, rng_out_ds, $C350, rng_out_sel_sp_ind, $D350, rng_out_sel_excl_ind,"N", rng_out_post_reb_ind_yr5, 0))</f>
        <v>#VALUE!</v>
      </c>
      <c r="N350" s="74">
        <f t="shared" ref="N350:R354" ca="1" si="371">IFERROR(I350/N276, 0)</f>
        <v>0</v>
      </c>
      <c r="O350" s="75">
        <f t="shared" ca="1" si="371"/>
        <v>0</v>
      </c>
      <c r="P350" s="75">
        <f t="shared" ca="1" si="371"/>
        <v>0</v>
      </c>
      <c r="Q350" s="75">
        <f t="shared" ca="1" si="371"/>
        <v>0</v>
      </c>
      <c r="R350" s="76">
        <f t="shared" ca="1" si="371"/>
        <v>0</v>
      </c>
      <c r="Y350" s="77" t="s">
        <v>14</v>
      </c>
      <c r="Z350" s="78">
        <f ca="1">IFERROR(I350/[1]Tables!$AT$4, 0)</f>
        <v>0</v>
      </c>
      <c r="AA350" s="79">
        <f ca="1">IFERROR(J350/[1]Tables!$AT$4, 0)</f>
        <v>0</v>
      </c>
      <c r="AB350" s="79">
        <f ca="1">IFERROR(K350/[1]Tables!$AT$4, 0)</f>
        <v>0</v>
      </c>
      <c r="AC350" s="79">
        <f ca="1">IFERROR(L350/[1]Tables!$AT$4, 0)</f>
        <v>0</v>
      </c>
      <c r="AD350" s="80">
        <f ca="1">IFERROR(M350/[1]Tables!$AT$4, 0)</f>
        <v>0</v>
      </c>
      <c r="AE350" s="81">
        <f t="shared" ref="AE350:AI354" ca="1" si="372">IFERROR(Z350/AE276, 0)</f>
        <v>0</v>
      </c>
      <c r="AF350" s="75">
        <f t="shared" ca="1" si="372"/>
        <v>0</v>
      </c>
      <c r="AG350" s="75">
        <f t="shared" ca="1" si="372"/>
        <v>0</v>
      </c>
      <c r="AH350" s="75">
        <f t="shared" ca="1" si="372"/>
        <v>0</v>
      </c>
      <c r="AI350" s="82">
        <f t="shared" ca="1" si="372"/>
        <v>0</v>
      </c>
      <c r="AP350" s="83" t="s">
        <v>14</v>
      </c>
      <c r="AQ350" s="356" cm="1">
        <f t="array" aca="1" ref="AQ350" ca="1">IFERROR(IF($E$354="N", (SUMIFS(rng_out_awp_post_yr1,rng_out_sel_excl_yr_ind, "", rng_out_GB_Medispan, N$1,rng_out_sel_G_ind,N$1,rng_out_mail_ind,$B350,rng_out_ds,$C350,rng_out_sel_sp_ind,$D350,rng_out_sel_excl_ind,$E350)+
SUMIFS(rng_out_awp_post_yr1,rng_out_sel_excl_yr_ind, [1]Tables!$HN$4, rng_out_GB_Medispan, N$1,rng_out_sel_G_ind,N$1,rng_out_mail_ind,$B350,rng_out_ds,$C350,rng_out_sel_sp_ind,$D350,rng_out_sel_excl_ind,$E350)* _xlfn.XLOOKUP([1]Tables!$HN$4,'[1]RA Output'!$AY$4:$AY$5,'[1]RA Output'!AZ$4:AZ$5,0)  +
SUMIFS(rng_out_awp_post_yr1,rng_out_sel_excl_yr_ind, [1]Tables!$HN$5, rng_out_GB_Medispan, N$1,rng_out_sel_G_ind,N$1,rng_out_mail_ind,$B350,rng_out_ds,$C350,rng_out_sel_sp_ind,$D350,rng_out_sel_excl_ind,$E350)* _xlfn.XLOOKUP([1]Tables!$HN$5,'[1]RA Output'!$AY$4:$AY$5,'[1]RA Output'!AZ$4:AZ$5,0))/[1]Tables!$AT$4,
(SUMIFS(rng_out_awp_post_yr1,rng_out_sel_excl_yr_ind, "", rng_out_GB_Medispan, N$1,rng_out_sel_G_ind,N$1,rng_out_mail_ind,$B350,rng_out_ds,$C350,rng_out_sel_sp_ind,$D350,rng_out_sel_excl_ind,$E350)+
SUMIFS(rng_out_awp_post_yr1,rng_out_sel_excl_yr_ind, [1]Tables!$HN$4, rng_out_GB_Medispan, N$1,rng_out_sel_G_ind,N$1,rng_out_mail_ind,$B350,rng_out_ds,$C350,rng_out_sel_sp_ind,$D350,rng_out_sel_excl_ind,$E350)* _xlfn.XLOOKUP([1]Tables!$HN$4,'[1]RA Output'!$AY$4:$AY$5,'[1]RA Output'!AZ$4:AZ$5,0)  +
SUMIFS(rng_out_awp_post_yr1,rng_out_sel_excl_yr_ind, [1]Tables!$HN$5, rng_out_GB_Medispan, N$1,rng_out_sel_G_ind,N$1,rng_out_mail_ind,$B350,rng_out_ds,$C350,rng_out_sel_sp_ind,$D350,rng_out_sel_excl_ind,$E350)* _xlfn.XLOOKUP([1]Tables!$HN$5,'[1]RA Output'!$AY$4:$AY$5,'[1]RA Output'!AZ$4:AZ$5,0))/[1]Tables!$AT$4 +
SUMIFS(rng_out_awp_post_yr1, rng_out_GB_Medispan, N$1, rng_out_sel_G_ind, N$1, rng_out_mail_ind, $B350, rng_out_ds, $C350, rng_out_sel_sp_ind, $D350, rng_out_sel_excl_ind,"N", rng_out_post_reb_ind_yr1, 0)/[1]Tables!$AT$4), 0)</f>
        <v>0</v>
      </c>
      <c r="AR350" s="5" cm="1">
        <f t="array" aca="1" ref="AR350" ca="1">IFERROR(IF($E$354="N", (SUMIFS(rng_out_awp_post_yr2,rng_out_sel_excl_yr_ind, "", rng_out_GB_Medispan, O$1,rng_out_sel_G_ind,O$1,rng_out_mail_ind,$B350,rng_out_ds,$C350,rng_out_sel_sp_ind,$D350,rng_out_sel_excl_ind,$E350)+
SUMIFS(rng_out_awp_post_yr2,rng_out_sel_excl_yr_ind, [1]Tables!$HN$4, rng_out_GB_Medispan, O$1,rng_out_sel_G_ind,O$1,rng_out_mail_ind,$B350,rng_out_ds,$C350,rng_out_sel_sp_ind,$D350,rng_out_sel_excl_ind,$E350)* _xlfn.XLOOKUP([1]Tables!$HN$4,'[1]RA Output'!$AY$4:$AY$5,'[1]RA Output'!BA$4:BA$5,0)  +
SUMIFS(rng_out_awp_post_yr2,rng_out_sel_excl_yr_ind, [1]Tables!$HN$5, rng_out_GB_Medispan, O$1,rng_out_sel_G_ind,O$1,rng_out_mail_ind,$B350,rng_out_ds,$C350,rng_out_sel_sp_ind,$D350,rng_out_sel_excl_ind,$E350)* _xlfn.XLOOKUP([1]Tables!$HN$5,'[1]RA Output'!$AY$4:$AY$5,'[1]RA Output'!BA$4:BA$5,0))/[1]Tables!$AT$4,
(SUMIFS(rng_out_awp_post_yr2,rng_out_sel_excl_yr_ind, "", rng_out_GB_Medispan, O$1,rng_out_sel_G_ind,O$1,rng_out_mail_ind,$B350,rng_out_ds,$C350,rng_out_sel_sp_ind,$D350,rng_out_sel_excl_ind,$E350)+
SUMIFS(rng_out_awp_post_yr2,rng_out_sel_excl_yr_ind, [1]Tables!$HN$4, rng_out_GB_Medispan, O$1,rng_out_sel_G_ind,O$1,rng_out_mail_ind,$B350,rng_out_ds,$C350,rng_out_sel_sp_ind,$D350,rng_out_sel_excl_ind,$E350)* _xlfn.XLOOKUP([1]Tables!$HN$4,'[1]RA Output'!$AY$4:$AY$5,'[1]RA Output'!BA$4:BA$5,0)  +
SUMIFS(rng_out_awp_post_yr2,rng_out_sel_excl_yr_ind, [1]Tables!$HN$5, rng_out_GB_Medispan, O$1,rng_out_sel_G_ind,O$1,rng_out_mail_ind,$B350,rng_out_ds,$C350,rng_out_sel_sp_ind,$D350,rng_out_sel_excl_ind,$E350)* _xlfn.XLOOKUP([1]Tables!$HN$5,'[1]RA Output'!$AY$4:$AY$5,'[1]RA Output'!BA$4:BA$5,0))/[1]Tables!$AT$4 +
SUMIFS(rng_out_awp_post_yr2, rng_out_GB_Medispan, O$1, rng_out_sel_G_ind, O$1, rng_out_mail_ind, $B350, rng_out_ds, $C350, rng_out_sel_sp_ind, $D350, rng_out_sel_excl_ind,"N", rng_out_post_reb_ind_yr2, 0)/[1]Tables!$AT$4), 0)</f>
        <v>0</v>
      </c>
      <c r="AS350" s="5" cm="1">
        <f t="array" aca="1" ref="AS350" ca="1">IFERROR(IF($E$354="N", (SUMIFS(rng_out_awp_post_yr3,rng_out_sel_excl_yr_ind, "", rng_out_GB_Medispan, P$1,rng_out_sel_G_ind,P$1,rng_out_mail_ind,$B350,rng_out_ds,$C350,rng_out_sel_sp_ind,$D350,rng_out_sel_excl_ind,$E350)+
SUMIFS(rng_out_awp_post_yr3,rng_out_sel_excl_yr_ind, [1]Tables!$HN$4, rng_out_GB_Medispan, P$1,rng_out_sel_G_ind,P$1,rng_out_mail_ind,$B350,rng_out_ds,$C350,rng_out_sel_sp_ind,$D350,rng_out_sel_excl_ind,$E350)* _xlfn.XLOOKUP([1]Tables!$HN$4,'[1]RA Output'!$AY$4:$AY$5,'[1]RA Output'!BB$4:BB$5,0)  +
SUMIFS(rng_out_awp_post_yr3,rng_out_sel_excl_yr_ind, [1]Tables!$HN$5, rng_out_GB_Medispan, P$1,rng_out_sel_G_ind,P$1,rng_out_mail_ind,$B350,rng_out_ds,$C350,rng_out_sel_sp_ind,$D350,rng_out_sel_excl_ind,$E350)* _xlfn.XLOOKUP([1]Tables!$HN$5,'[1]RA Output'!$AY$4:$AY$5,'[1]RA Output'!BB$4:BB$5,0))/[1]Tables!$AT$4,
(SUMIFS(rng_out_awp_post_yr3,rng_out_sel_excl_yr_ind, "", rng_out_GB_Medispan, P$1,rng_out_sel_G_ind,P$1,rng_out_mail_ind,$B350,rng_out_ds,$C350,rng_out_sel_sp_ind,$D350,rng_out_sel_excl_ind,$E350)+
SUMIFS(rng_out_awp_post_yr3,rng_out_sel_excl_yr_ind, [1]Tables!$HN$4, rng_out_GB_Medispan, P$1,rng_out_sel_G_ind,P$1,rng_out_mail_ind,$B350,rng_out_ds,$C350,rng_out_sel_sp_ind,$D350,rng_out_sel_excl_ind,$E350)* _xlfn.XLOOKUP([1]Tables!$HN$4,'[1]RA Output'!$AY$4:$AY$5,'[1]RA Output'!BB$4:BB$5,0)  +
SUMIFS(rng_out_awp_post_yr3,rng_out_sel_excl_yr_ind, [1]Tables!$HN$5, rng_out_GB_Medispan, P$1,rng_out_sel_G_ind,P$1,rng_out_mail_ind,$B350,rng_out_ds,$C350,rng_out_sel_sp_ind,$D350,rng_out_sel_excl_ind,$E350)* _xlfn.XLOOKUP([1]Tables!$HN$5,'[1]RA Output'!$AY$4:$AY$5,'[1]RA Output'!BB$4:BB$5,0))/[1]Tables!$AT$4 +
SUMIFS(rng_out_awp_post_yr3, rng_out_GB_Medispan, P$1, rng_out_sel_G_ind, P$1, rng_out_mail_ind, $B350, rng_out_ds, $C350, rng_out_sel_sp_ind, $D350, rng_out_sel_excl_ind,"N", rng_out_post_reb_ind_yr3, 0)/[1]Tables!$AT$4), 0)</f>
        <v>0</v>
      </c>
      <c r="AT350" s="5" cm="1">
        <f t="array" aca="1" ref="AT350" ca="1">IFERROR(IF($E$354="N", (SUMIFS(rng_out_awp_post_yr4,rng_out_sel_excl_yr_ind, "", rng_out_GB_Medispan, Q$1,rng_out_sel_G_ind,Q$1,rng_out_mail_ind,$B350,rng_out_ds,$C350,rng_out_sel_sp_ind,$D350,rng_out_sel_excl_ind,$E350)+
SUMIFS(rng_out_awp_post_yr4,rng_out_sel_excl_yr_ind, [1]Tables!$HN$4, rng_out_GB_Medispan, Q$1,rng_out_sel_G_ind,Q$1,rng_out_mail_ind,$B350,rng_out_ds,$C350,rng_out_sel_sp_ind,$D350,rng_out_sel_excl_ind,$E350)* _xlfn.XLOOKUP([1]Tables!$HN$4,'[1]RA Output'!$AY$4:$AY$5,'[1]RA Output'!BC$4:BC$5,0)  +
SUMIFS(rng_out_awp_post_yr4,rng_out_sel_excl_yr_ind, [1]Tables!$HN$5, rng_out_GB_Medispan, Q$1,rng_out_sel_G_ind,Q$1,rng_out_mail_ind,$B350,rng_out_ds,$C350,rng_out_sel_sp_ind,$D350,rng_out_sel_excl_ind,$E350)* _xlfn.XLOOKUP([1]Tables!$HN$5,'[1]RA Output'!$AY$4:$AY$5,'[1]RA Output'!BC$4:BC$5,0))/[1]Tables!$AT$4,
(SUMIFS(rng_out_awp_post_yr4,rng_out_sel_excl_yr_ind, "", rng_out_GB_Medispan, Q$1,rng_out_sel_G_ind,Q$1,rng_out_mail_ind,$B350,rng_out_ds,$C350,rng_out_sel_sp_ind,$D350,rng_out_sel_excl_ind,$E350)+
SUMIFS(rng_out_awp_post_yr4,rng_out_sel_excl_yr_ind, [1]Tables!$HN$4, rng_out_GB_Medispan, Q$1,rng_out_sel_G_ind,Q$1,rng_out_mail_ind,$B350,rng_out_ds,$C350,rng_out_sel_sp_ind,$D350,rng_out_sel_excl_ind,$E350)* _xlfn.XLOOKUP([1]Tables!$HN$4,'[1]RA Output'!$AY$4:$AY$5,'[1]RA Output'!BC$4:BC$5,0)  +
SUMIFS(rng_out_awp_post_yr4,rng_out_sel_excl_yr_ind, [1]Tables!$HN$5, rng_out_GB_Medispan, Q$1,rng_out_sel_G_ind,Q$1,rng_out_mail_ind,$B350,rng_out_ds,$C350,rng_out_sel_sp_ind,$D350,rng_out_sel_excl_ind,$E350)* _xlfn.XLOOKUP([1]Tables!$HN$5,'[1]RA Output'!$AY$4:$AY$5,'[1]RA Output'!BC$4:BC$5,0))/[1]Tables!$AT$4 +
SUMIFS(rng_out_awp_post_yr4, rng_out_GB_Medispan, Q$1, rng_out_sel_G_ind, Q$1, rng_out_mail_ind, $B350, rng_out_ds, $C350, rng_out_sel_sp_ind, $D350, rng_out_sel_excl_ind,"N", rng_out_post_reb_ind_yr4, 0)/[1]Tables!$AT$4), 0)</f>
        <v>0</v>
      </c>
      <c r="AU350" s="85" cm="1">
        <f t="array" aca="1" ref="AU350" ca="1">IFERROR(IF($E$354="N", (SUMIFS(rng_out_awp_post_yr5,rng_out_sel_excl_yr_ind, "", rng_out_GB_Medispan, R$1,rng_out_sel_G_ind,R$1,rng_out_mail_ind,$B350,rng_out_ds,$C350,rng_out_sel_sp_ind,$D350,rng_out_sel_excl_ind,$E350)+
SUMIFS(rng_out_awp_post_yr5,rng_out_sel_excl_yr_ind, [1]Tables!$HN$4, rng_out_GB_Medispan, R$1,rng_out_sel_G_ind,R$1,rng_out_mail_ind,$B350,rng_out_ds,$C350,rng_out_sel_sp_ind,$D350,rng_out_sel_excl_ind,$E350)* _xlfn.XLOOKUP([1]Tables!$HN$4,'[1]RA Output'!$AY$4:$AY$5,'[1]RA Output'!BD$4:BD$5,0)  +
SUMIFS(rng_out_awp_post_yr5,rng_out_sel_excl_yr_ind, [1]Tables!$HN$5, rng_out_GB_Medispan, R$1,rng_out_sel_G_ind,R$1,rng_out_mail_ind,$B350,rng_out_ds,$C350,rng_out_sel_sp_ind,$D350,rng_out_sel_excl_ind,$E350)* _xlfn.XLOOKUP([1]Tables!$HN$5,'[1]RA Output'!$AY$4:$AY$5,'[1]RA Output'!BD$4:BD$5,0))/[1]Tables!$AT$4,
(SUMIFS(rng_out_awp_post_yr5,rng_out_sel_excl_yr_ind, "", rng_out_GB_Medispan, R$1,rng_out_sel_G_ind,R$1,rng_out_mail_ind,$B350,rng_out_ds,$C350,rng_out_sel_sp_ind,$D350,rng_out_sel_excl_ind,$E350)+
SUMIFS(rng_out_awp_post_yr5,rng_out_sel_excl_yr_ind, [1]Tables!$HN$4, rng_out_GB_Medispan, R$1,rng_out_sel_G_ind,R$1,rng_out_mail_ind,$B350,rng_out_ds,$C350,rng_out_sel_sp_ind,$D350,rng_out_sel_excl_ind,$E350)* _xlfn.XLOOKUP([1]Tables!$HN$4,'[1]RA Output'!$AY$4:$AY$5,'[1]RA Output'!BD$4:BD$5,0)  +
SUMIFS(rng_out_awp_post_yr5,rng_out_sel_excl_yr_ind, [1]Tables!$HN$5, rng_out_GB_Medispan, R$1,rng_out_sel_G_ind,R$1,rng_out_mail_ind,$B350,rng_out_ds,$C350,rng_out_sel_sp_ind,$D350,rng_out_sel_excl_ind,$E350)* _xlfn.XLOOKUP([1]Tables!$HN$5,'[1]RA Output'!$AY$4:$AY$5,'[1]RA Output'!BD$4:BD$5,0))/[1]Tables!$AT$4 +
SUMIFS(rng_out_awp_post_yr5, rng_out_GB_Medispan, R$1, rng_out_sel_G_ind, R$1, rng_out_mail_ind, $B350, rng_out_ds, $C350, rng_out_sel_sp_ind, $D350, rng_out_sel_excl_ind,"N", rng_out_post_reb_ind_yr5, 0)/[1]Tables!$AT$4), 0)</f>
        <v>0</v>
      </c>
      <c r="AV350" s="86">
        <f t="shared" ref="AV350:AZ354" ca="1" si="373">IFERROR(AQ350/AV276, 0)</f>
        <v>0</v>
      </c>
      <c r="AW350" s="75">
        <f t="shared" ca="1" si="373"/>
        <v>0</v>
      </c>
      <c r="AX350" s="75">
        <f t="shared" ca="1" si="373"/>
        <v>0</v>
      </c>
      <c r="AY350" s="75">
        <f t="shared" ca="1" si="373"/>
        <v>0</v>
      </c>
      <c r="AZ350" s="87">
        <f t="shared" ca="1" si="373"/>
        <v>0</v>
      </c>
      <c r="BG350" s="88" t="s">
        <v>14</v>
      </c>
      <c r="BH350" s="97">
        <f t="shared" ref="BH350:BL353" ca="1" si="374">AQ350</f>
        <v>0</v>
      </c>
      <c r="BI350" s="79">
        <f t="shared" ca="1" si="374"/>
        <v>0</v>
      </c>
      <c r="BJ350" s="79">
        <f t="shared" ca="1" si="374"/>
        <v>0</v>
      </c>
      <c r="BK350" s="79">
        <f t="shared" ca="1" si="374"/>
        <v>0</v>
      </c>
      <c r="BL350" s="98">
        <f t="shared" ca="1" si="374"/>
        <v>0</v>
      </c>
      <c r="BM350" s="92">
        <f t="shared" ref="BM350:BQ354" ca="1" si="375">IFERROR(BH350/BM276, 0)</f>
        <v>0</v>
      </c>
      <c r="BN350" s="75">
        <f t="shared" ca="1" si="375"/>
        <v>0</v>
      </c>
      <c r="BO350" s="75">
        <f t="shared" ca="1" si="375"/>
        <v>0</v>
      </c>
      <c r="BP350" s="75">
        <f t="shared" ca="1" si="375"/>
        <v>0</v>
      </c>
      <c r="BQ350" s="93">
        <f t="shared" ca="1" si="375"/>
        <v>0</v>
      </c>
      <c r="BX350" s="88" t="s">
        <v>14</v>
      </c>
      <c r="BY350" s="97">
        <f t="shared" ref="BY350:CC353" ca="1" si="376">IFERROR(CD350*CD276, 0)</f>
        <v>0</v>
      </c>
      <c r="BZ350" s="79">
        <f t="shared" ca="1" si="376"/>
        <v>0</v>
      </c>
      <c r="CA350" s="79">
        <f t="shared" ca="1" si="376"/>
        <v>0</v>
      </c>
      <c r="CB350" s="79">
        <f t="shared" ca="1" si="376"/>
        <v>0</v>
      </c>
      <c r="CC350" s="98">
        <f t="shared" ca="1" si="376"/>
        <v>0</v>
      </c>
      <c r="CD350" s="92">
        <f t="shared" ref="CD350:CH353" ca="1" si="377">IFERROR((BM350 * (CD276 - DC294*(CD276/(CD276+CD285))) + DC368 * (CD276/(CD276+CD285)))/CD276, 0)</f>
        <v>0</v>
      </c>
      <c r="CE350" s="75">
        <f t="shared" ca="1" si="377"/>
        <v>0</v>
      </c>
      <c r="CF350" s="75">
        <f t="shared" ca="1" si="377"/>
        <v>0</v>
      </c>
      <c r="CG350" s="75">
        <f t="shared" ca="1" si="377"/>
        <v>0</v>
      </c>
      <c r="CH350" s="93">
        <f t="shared" ca="1" si="377"/>
        <v>0</v>
      </c>
      <c r="CO350" s="252"/>
      <c r="CP350" s="252"/>
    </row>
    <row r="351" spans="2:98" x14ac:dyDescent="0.35">
      <c r="B351" s="105" t="s">
        <v>11</v>
      </c>
      <c r="C351" s="106">
        <v>90</v>
      </c>
      <c r="D351" s="106" t="s">
        <v>12</v>
      </c>
      <c r="E351" s="107" t="s">
        <v>13</v>
      </c>
      <c r="F351" s="106"/>
      <c r="H351" s="108" t="s">
        <v>15</v>
      </c>
      <c r="I351" s="72" t="e" cm="1">
        <f t="array" aca="1" ref="I351" ca="1">SUMIFS(rng_out_awp_pre_yr1,rng_out_sel_excl_yr_ind, "", rng_out_GB_Medispan, N$1,rng_out_sel_G_ind,N$1,rng_out_mail_ind,$B351,rng_out_ds,$C351,rng_out_sel_sp_ind,$D351,rng_out_sel_excl_ind,$E351)+
SUMIFS(rng_out_awp_pre_yr1,rng_out_sel_excl_yr_ind, [1]Tables!$HN$4, rng_out_GB_Medispan, N$1,rng_out_sel_G_ind,N$1,rng_out_mail_ind,$B351,rng_out_ds,$C351,rng_out_sel_sp_ind,$D351,rng_out_sel_excl_ind,$E351)* _xlfn.XLOOKUP([1]Tables!$HN$4,'[1]RA Output'!$AY$4:$AY$5,'[1]RA Output'!AZ$4:AZ$5,0)  +
SUMIFS(rng_out_awp_pre_yr1,rng_out_sel_excl_yr_ind, [1]Tables!$HN$5, rng_out_GB_Medispan, N$1,rng_out_sel_G_ind,N$1,rng_out_mail_ind,$B351,rng_out_ds,$C351,rng_out_sel_sp_ind,$D351,rng_out_sel_excl_ind,$E351)* _xlfn.XLOOKUP([1]Tables!$HN$5,'[1]RA Output'!$AY$4:$AY$5,'[1]RA Output'!AZ$4:AZ$5,0)+
IF($E$354="N", 0,
SUMIFS(rng_out_awp_pre_yr1, rng_out_GB_Medispan, N$1, rng_out_sel_G_ind, N$1, rng_out_mail_ind, $B351, rng_out_ds, $C351, rng_out_sel_sp_ind, $D351, rng_out_sel_excl_ind,"N", rng_out_post_reb_ind_yr1, 0))</f>
        <v>#VALUE!</v>
      </c>
      <c r="J351" s="5" t="e" cm="1">
        <f t="array" aca="1" ref="J351" ca="1">SUMIFS(rng_out_awp_pre_yr2,rng_out_sel_excl_yr_ind, "", rng_out_GB_Medispan, O$1,rng_out_sel_G_ind,O$1,rng_out_mail_ind,$B351,rng_out_ds,$C351,rng_out_sel_sp_ind,$D351,rng_out_sel_excl_ind,$E351)+
SUMIFS(rng_out_awp_pre_yr2,rng_out_sel_excl_yr_ind, [1]Tables!$HN$4, rng_out_GB_Medispan, O$1,rng_out_sel_G_ind,O$1,rng_out_mail_ind,$B351,rng_out_ds,$C351,rng_out_sel_sp_ind,$D351,rng_out_sel_excl_ind,$E351)* _xlfn.XLOOKUP([1]Tables!$HN$4,'[1]RA Output'!$AY$4:$AY$5,'[1]RA Output'!BA$4:BA$5,0)  +
SUMIFS(rng_out_awp_pre_yr2,rng_out_sel_excl_yr_ind, [1]Tables!$HN$5, rng_out_GB_Medispan, O$1,rng_out_sel_G_ind,O$1,rng_out_mail_ind,$B351,rng_out_ds,$C351,rng_out_sel_sp_ind,$D351,rng_out_sel_excl_ind,$E351)* _xlfn.XLOOKUP([1]Tables!$HN$5,'[1]RA Output'!$AY$4:$AY$5,'[1]RA Output'!BA$4:BA$5,0)+
IF($E$354="N", 0,
SUMIFS(rng_out_awp_pre_yr2, rng_out_GB_Medispan, O$1, rng_out_sel_G_ind, O$1, rng_out_mail_ind, $B351, rng_out_ds, $C351, rng_out_sel_sp_ind, $D351, rng_out_sel_excl_ind,"N", rng_out_post_reb_ind_yr2, 0))</f>
        <v>#VALUE!</v>
      </c>
      <c r="K351" s="5" t="e" cm="1">
        <f t="array" aca="1" ref="K351" ca="1">SUMIFS(rng_out_awp_pre_yr3,rng_out_sel_excl_yr_ind, "", rng_out_GB_Medispan, P$1,rng_out_sel_G_ind,P$1,rng_out_mail_ind,$B351,rng_out_ds,$C351,rng_out_sel_sp_ind,$D351,rng_out_sel_excl_ind,$E351)+
SUMIFS(rng_out_awp_pre_yr3,rng_out_sel_excl_yr_ind, [1]Tables!$HN$4, rng_out_GB_Medispan, P$1,rng_out_sel_G_ind,P$1,rng_out_mail_ind,$B351,rng_out_ds,$C351,rng_out_sel_sp_ind,$D351,rng_out_sel_excl_ind,$E351)* _xlfn.XLOOKUP([1]Tables!$HN$4,'[1]RA Output'!$AY$4:$AY$5,'[1]RA Output'!BB$4:BB$5,0)  +
SUMIFS(rng_out_awp_pre_yr3,rng_out_sel_excl_yr_ind, [1]Tables!$HN$5, rng_out_GB_Medispan, P$1,rng_out_sel_G_ind,P$1,rng_out_mail_ind,$B351,rng_out_ds,$C351,rng_out_sel_sp_ind,$D351,rng_out_sel_excl_ind,$E351)* _xlfn.XLOOKUP([1]Tables!$HN$5,'[1]RA Output'!$AY$4:$AY$5,'[1]RA Output'!BB$4:BB$5,0)+
IF($E$354="N", 0,
SUMIFS(rng_out_awp_pre_yr3, rng_out_GB_Medispan, P$1, rng_out_sel_G_ind, P$1, rng_out_mail_ind, $B351, rng_out_ds, $C351, rng_out_sel_sp_ind, $D351, rng_out_sel_excl_ind,"N", rng_out_post_reb_ind_yr3, 0))</f>
        <v>#VALUE!</v>
      </c>
      <c r="L351" s="5" t="e" cm="1">
        <f t="array" aca="1" ref="L351" ca="1">SUMIFS(rng_out_awp_pre_yr4,rng_out_sel_excl_yr_ind, "", rng_out_GB_Medispan, Q$1,rng_out_sel_G_ind,Q$1,rng_out_mail_ind,$B351,rng_out_ds,$C351,rng_out_sel_sp_ind,$D351,rng_out_sel_excl_ind,$E351)+
SUMIFS(rng_out_awp_pre_yr4,rng_out_sel_excl_yr_ind, [1]Tables!$HN$4, rng_out_GB_Medispan, Q$1,rng_out_sel_G_ind,Q$1,rng_out_mail_ind,$B351,rng_out_ds,$C351,rng_out_sel_sp_ind,$D351,rng_out_sel_excl_ind,$E351)* _xlfn.XLOOKUP([1]Tables!$HN$4,'[1]RA Output'!$AY$4:$AY$5,'[1]RA Output'!BC$4:BC$5,0)  +
SUMIFS(rng_out_awp_pre_yr4,rng_out_sel_excl_yr_ind, [1]Tables!$HN$5, rng_out_GB_Medispan, Q$1,rng_out_sel_G_ind,Q$1,rng_out_mail_ind,$B351,rng_out_ds,$C351,rng_out_sel_sp_ind,$D351,rng_out_sel_excl_ind,$E351)* _xlfn.XLOOKUP([1]Tables!$HN$5,'[1]RA Output'!$AY$4:$AY$5,'[1]RA Output'!BC$4:BC$5,0)+
IF($E$354="N", 0,
SUMIFS(rng_out_awp_pre_yr4, rng_out_GB_Medispan, Q$1, rng_out_sel_G_ind, Q$1, rng_out_mail_ind, $B351, rng_out_ds, $C351, rng_out_sel_sp_ind, $D351, rng_out_sel_excl_ind,"N", rng_out_post_reb_ind_yr4, 0))</f>
        <v>#VALUE!</v>
      </c>
      <c r="M351" s="73" t="e" cm="1">
        <f t="array" aca="1" ref="M351" ca="1">SUMIFS(rng_out_awp_pre_yr5,rng_out_sel_excl_yr_ind, "", rng_out_GB_Medispan, R$1,rng_out_sel_G_ind,R$1,rng_out_mail_ind,$B351,rng_out_ds,$C351,rng_out_sel_sp_ind,$D351,rng_out_sel_excl_ind,$E351)+
SUMIFS(rng_out_awp_pre_yr5,rng_out_sel_excl_yr_ind, [1]Tables!$HN$4, rng_out_GB_Medispan, R$1,rng_out_sel_G_ind,R$1,rng_out_mail_ind,$B351,rng_out_ds,$C351,rng_out_sel_sp_ind,$D351,rng_out_sel_excl_ind,$E351)* _xlfn.XLOOKUP([1]Tables!$HN$4,'[1]RA Output'!$AY$4:$AY$5,'[1]RA Output'!BD$4:BD$5,0)  +
SUMIFS(rng_out_awp_pre_yr5,rng_out_sel_excl_yr_ind, [1]Tables!$HN$5, rng_out_GB_Medispan, R$1,rng_out_sel_G_ind,R$1,rng_out_mail_ind,$B351,rng_out_ds,$C351,rng_out_sel_sp_ind,$D351,rng_out_sel_excl_ind,$E351)* _xlfn.XLOOKUP([1]Tables!$HN$5,'[1]RA Output'!$AY$4:$AY$5,'[1]RA Output'!BD$4:BD$5,0)+
IF($E$354="N", 0,
SUMIFS(rng_out_awp_pre_yr5, rng_out_GB_Medispan, R$1, rng_out_sel_G_ind, R$1, rng_out_mail_ind, $B351, rng_out_ds, $C351, rng_out_sel_sp_ind, $D351, rng_out_sel_excl_ind,"N", rng_out_post_reb_ind_yr5, 0))</f>
        <v>#VALUE!</v>
      </c>
      <c r="N351" s="74">
        <f t="shared" ca="1" si="371"/>
        <v>0</v>
      </c>
      <c r="O351" s="75">
        <f t="shared" ca="1" si="371"/>
        <v>0</v>
      </c>
      <c r="P351" s="75">
        <f t="shared" ca="1" si="371"/>
        <v>0</v>
      </c>
      <c r="Q351" s="75">
        <f t="shared" ca="1" si="371"/>
        <v>0</v>
      </c>
      <c r="R351" s="76">
        <f t="shared" ca="1" si="371"/>
        <v>0</v>
      </c>
      <c r="Y351" s="109" t="s">
        <v>15</v>
      </c>
      <c r="Z351" s="78">
        <f ca="1">IFERROR(I351/[1]Tables!$AT$4, 0)</f>
        <v>0</v>
      </c>
      <c r="AA351" s="79">
        <f ca="1">IFERROR(J351/[1]Tables!$AT$4, 0)</f>
        <v>0</v>
      </c>
      <c r="AB351" s="79">
        <f ca="1">IFERROR(K351/[1]Tables!$AT$4, 0)</f>
        <v>0</v>
      </c>
      <c r="AC351" s="79">
        <f ca="1">IFERROR(L351/[1]Tables!$AT$4, 0)</f>
        <v>0</v>
      </c>
      <c r="AD351" s="80">
        <f ca="1">IFERROR(M351/[1]Tables!$AT$4, 0)</f>
        <v>0</v>
      </c>
      <c r="AE351" s="81">
        <f t="shared" ca="1" si="372"/>
        <v>0</v>
      </c>
      <c r="AF351" s="75">
        <f t="shared" ca="1" si="372"/>
        <v>0</v>
      </c>
      <c r="AG351" s="75">
        <f t="shared" ca="1" si="372"/>
        <v>0</v>
      </c>
      <c r="AH351" s="75">
        <f t="shared" ca="1" si="372"/>
        <v>0</v>
      </c>
      <c r="AI351" s="82">
        <f t="shared" ca="1" si="372"/>
        <v>0</v>
      </c>
      <c r="AP351" s="110" t="s">
        <v>15</v>
      </c>
      <c r="AQ351" s="356" cm="1">
        <f t="array" aca="1" ref="AQ351" ca="1">IFERROR(IF($E$354="N", (SUMIFS(rng_out_awp_post_yr1,rng_out_sel_excl_yr_ind, "", rng_out_GB_Medispan, N$1,rng_out_sel_G_ind,N$1,rng_out_mail_ind,$B351,rng_out_ds,$C351,rng_out_sel_sp_ind,$D351,rng_out_sel_excl_ind,$E351)+
SUMIFS(rng_out_awp_post_yr1,rng_out_sel_excl_yr_ind, [1]Tables!$HN$4, rng_out_GB_Medispan, N$1,rng_out_sel_G_ind,N$1,rng_out_mail_ind,$B351,rng_out_ds,$C351,rng_out_sel_sp_ind,$D351,rng_out_sel_excl_ind,$E351)* _xlfn.XLOOKUP([1]Tables!$HN$4,'[1]RA Output'!$AY$4:$AY$5,'[1]RA Output'!AZ$4:AZ$5,0)  +
SUMIFS(rng_out_awp_post_yr1,rng_out_sel_excl_yr_ind, [1]Tables!$HN$5, rng_out_GB_Medispan, N$1,rng_out_sel_G_ind,N$1,rng_out_mail_ind,$B351,rng_out_ds,$C351,rng_out_sel_sp_ind,$D351,rng_out_sel_excl_ind,$E351)* _xlfn.XLOOKUP([1]Tables!$HN$5,'[1]RA Output'!$AY$4:$AY$5,'[1]RA Output'!AZ$4:AZ$5,0))/[1]Tables!$AT$4,
(SUMIFS(rng_out_awp_post_yr1,rng_out_sel_excl_yr_ind, "", rng_out_GB_Medispan, N$1,rng_out_sel_G_ind,N$1,rng_out_mail_ind,$B351,rng_out_ds,$C351,rng_out_sel_sp_ind,$D351,rng_out_sel_excl_ind,$E351)+
SUMIFS(rng_out_awp_post_yr1,rng_out_sel_excl_yr_ind, [1]Tables!$HN$4, rng_out_GB_Medispan, N$1,rng_out_sel_G_ind,N$1,rng_out_mail_ind,$B351,rng_out_ds,$C351,rng_out_sel_sp_ind,$D351,rng_out_sel_excl_ind,$E351)* _xlfn.XLOOKUP([1]Tables!$HN$4,'[1]RA Output'!$AY$4:$AY$5,'[1]RA Output'!AZ$4:AZ$5,0)  +
SUMIFS(rng_out_awp_post_yr1,rng_out_sel_excl_yr_ind, [1]Tables!$HN$5, rng_out_GB_Medispan, N$1,rng_out_sel_G_ind,N$1,rng_out_mail_ind,$B351,rng_out_ds,$C351,rng_out_sel_sp_ind,$D351,rng_out_sel_excl_ind,$E351)* _xlfn.XLOOKUP([1]Tables!$HN$5,'[1]RA Output'!$AY$4:$AY$5,'[1]RA Output'!AZ$4:AZ$5,0))/[1]Tables!$AT$4 +
SUMIFS(rng_out_awp_post_yr1, rng_out_GB_Medispan, N$1, rng_out_sel_G_ind, N$1, rng_out_mail_ind, $B351, rng_out_ds, $C351, rng_out_sel_sp_ind, $D351, rng_out_sel_excl_ind,"N", rng_out_post_reb_ind_yr1, 0)/[1]Tables!$AT$4), 0)</f>
        <v>0</v>
      </c>
      <c r="AR351" s="5" cm="1">
        <f t="array" aca="1" ref="AR351" ca="1">IFERROR(IF($E$354="N", (SUMIFS(rng_out_awp_post_yr2,rng_out_sel_excl_yr_ind, "", rng_out_GB_Medispan, O$1,rng_out_sel_G_ind,O$1,rng_out_mail_ind,$B351,rng_out_ds,$C351,rng_out_sel_sp_ind,$D351,rng_out_sel_excl_ind,$E351)+
SUMIFS(rng_out_awp_post_yr2,rng_out_sel_excl_yr_ind, [1]Tables!$HN$4, rng_out_GB_Medispan, O$1,rng_out_sel_G_ind,O$1,rng_out_mail_ind,$B351,rng_out_ds,$C351,rng_out_sel_sp_ind,$D351,rng_out_sel_excl_ind,$E351)* _xlfn.XLOOKUP([1]Tables!$HN$4,'[1]RA Output'!$AY$4:$AY$5,'[1]RA Output'!BA$4:BA$5,0)  +
SUMIFS(rng_out_awp_post_yr2,rng_out_sel_excl_yr_ind, [1]Tables!$HN$5, rng_out_GB_Medispan, O$1,rng_out_sel_G_ind,O$1,rng_out_mail_ind,$B351,rng_out_ds,$C351,rng_out_sel_sp_ind,$D351,rng_out_sel_excl_ind,$E351)* _xlfn.XLOOKUP([1]Tables!$HN$5,'[1]RA Output'!$AY$4:$AY$5,'[1]RA Output'!BA$4:BA$5,0))/[1]Tables!$AT$4,
(SUMIFS(rng_out_awp_post_yr2,rng_out_sel_excl_yr_ind, "", rng_out_GB_Medispan, O$1,rng_out_sel_G_ind,O$1,rng_out_mail_ind,$B351,rng_out_ds,$C351,rng_out_sel_sp_ind,$D351,rng_out_sel_excl_ind,$E351)+
SUMIFS(rng_out_awp_post_yr2,rng_out_sel_excl_yr_ind, [1]Tables!$HN$4, rng_out_GB_Medispan, O$1,rng_out_sel_G_ind,O$1,rng_out_mail_ind,$B351,rng_out_ds,$C351,rng_out_sel_sp_ind,$D351,rng_out_sel_excl_ind,$E351)* _xlfn.XLOOKUP([1]Tables!$HN$4,'[1]RA Output'!$AY$4:$AY$5,'[1]RA Output'!BA$4:BA$5,0)  +
SUMIFS(rng_out_awp_post_yr2,rng_out_sel_excl_yr_ind, [1]Tables!$HN$5, rng_out_GB_Medispan, O$1,rng_out_sel_G_ind,O$1,rng_out_mail_ind,$B351,rng_out_ds,$C351,rng_out_sel_sp_ind,$D351,rng_out_sel_excl_ind,$E351)* _xlfn.XLOOKUP([1]Tables!$HN$5,'[1]RA Output'!$AY$4:$AY$5,'[1]RA Output'!BA$4:BA$5,0))/[1]Tables!$AT$4 +
SUMIFS(rng_out_awp_post_yr2, rng_out_GB_Medispan, O$1, rng_out_sel_G_ind, O$1, rng_out_mail_ind, $B351, rng_out_ds, $C351, rng_out_sel_sp_ind, $D351, rng_out_sel_excl_ind,"N", rng_out_post_reb_ind_yr2, 0)/[1]Tables!$AT$4), 0)</f>
        <v>0</v>
      </c>
      <c r="AS351" s="5" cm="1">
        <f t="array" aca="1" ref="AS351" ca="1">IFERROR(IF($E$354="N", (SUMIFS(rng_out_awp_post_yr3,rng_out_sel_excl_yr_ind, "", rng_out_GB_Medispan, P$1,rng_out_sel_G_ind,P$1,rng_out_mail_ind,$B351,rng_out_ds,$C351,rng_out_sel_sp_ind,$D351,rng_out_sel_excl_ind,$E351)+
SUMIFS(rng_out_awp_post_yr3,rng_out_sel_excl_yr_ind, [1]Tables!$HN$4, rng_out_GB_Medispan, P$1,rng_out_sel_G_ind,P$1,rng_out_mail_ind,$B351,rng_out_ds,$C351,rng_out_sel_sp_ind,$D351,rng_out_sel_excl_ind,$E351)* _xlfn.XLOOKUP([1]Tables!$HN$4,'[1]RA Output'!$AY$4:$AY$5,'[1]RA Output'!BB$4:BB$5,0)  +
SUMIFS(rng_out_awp_post_yr3,rng_out_sel_excl_yr_ind, [1]Tables!$HN$5, rng_out_GB_Medispan, P$1,rng_out_sel_G_ind,P$1,rng_out_mail_ind,$B351,rng_out_ds,$C351,rng_out_sel_sp_ind,$D351,rng_out_sel_excl_ind,$E351)* _xlfn.XLOOKUP([1]Tables!$HN$5,'[1]RA Output'!$AY$4:$AY$5,'[1]RA Output'!BB$4:BB$5,0))/[1]Tables!$AT$4,
(SUMIFS(rng_out_awp_post_yr3,rng_out_sel_excl_yr_ind, "", rng_out_GB_Medispan, P$1,rng_out_sel_G_ind,P$1,rng_out_mail_ind,$B351,rng_out_ds,$C351,rng_out_sel_sp_ind,$D351,rng_out_sel_excl_ind,$E351)+
SUMIFS(rng_out_awp_post_yr3,rng_out_sel_excl_yr_ind, [1]Tables!$HN$4, rng_out_GB_Medispan, P$1,rng_out_sel_G_ind,P$1,rng_out_mail_ind,$B351,rng_out_ds,$C351,rng_out_sel_sp_ind,$D351,rng_out_sel_excl_ind,$E351)* _xlfn.XLOOKUP([1]Tables!$HN$4,'[1]RA Output'!$AY$4:$AY$5,'[1]RA Output'!BB$4:BB$5,0)  +
SUMIFS(rng_out_awp_post_yr3,rng_out_sel_excl_yr_ind, [1]Tables!$HN$5, rng_out_GB_Medispan, P$1,rng_out_sel_G_ind,P$1,rng_out_mail_ind,$B351,rng_out_ds,$C351,rng_out_sel_sp_ind,$D351,rng_out_sel_excl_ind,$E351)* _xlfn.XLOOKUP([1]Tables!$HN$5,'[1]RA Output'!$AY$4:$AY$5,'[1]RA Output'!BB$4:BB$5,0))/[1]Tables!$AT$4 +
SUMIFS(rng_out_awp_post_yr3, rng_out_GB_Medispan, P$1, rng_out_sel_G_ind, P$1, rng_out_mail_ind, $B351, rng_out_ds, $C351, rng_out_sel_sp_ind, $D351, rng_out_sel_excl_ind,"N", rng_out_post_reb_ind_yr3, 0)/[1]Tables!$AT$4), 0)</f>
        <v>0</v>
      </c>
      <c r="AT351" s="5" cm="1">
        <f t="array" aca="1" ref="AT351" ca="1">IFERROR(IF($E$354="N", (SUMIFS(rng_out_awp_post_yr4,rng_out_sel_excl_yr_ind, "", rng_out_GB_Medispan, Q$1,rng_out_sel_G_ind,Q$1,rng_out_mail_ind,$B351,rng_out_ds,$C351,rng_out_sel_sp_ind,$D351,rng_out_sel_excl_ind,$E351)+
SUMIFS(rng_out_awp_post_yr4,rng_out_sel_excl_yr_ind, [1]Tables!$HN$4, rng_out_GB_Medispan, Q$1,rng_out_sel_G_ind,Q$1,rng_out_mail_ind,$B351,rng_out_ds,$C351,rng_out_sel_sp_ind,$D351,rng_out_sel_excl_ind,$E351)* _xlfn.XLOOKUP([1]Tables!$HN$4,'[1]RA Output'!$AY$4:$AY$5,'[1]RA Output'!BC$4:BC$5,0)  +
SUMIFS(rng_out_awp_post_yr4,rng_out_sel_excl_yr_ind, [1]Tables!$HN$5, rng_out_GB_Medispan, Q$1,rng_out_sel_G_ind,Q$1,rng_out_mail_ind,$B351,rng_out_ds,$C351,rng_out_sel_sp_ind,$D351,rng_out_sel_excl_ind,$E351)* _xlfn.XLOOKUP([1]Tables!$HN$5,'[1]RA Output'!$AY$4:$AY$5,'[1]RA Output'!BC$4:BC$5,0))/[1]Tables!$AT$4,
(SUMIFS(rng_out_awp_post_yr4,rng_out_sel_excl_yr_ind, "", rng_out_GB_Medispan, Q$1,rng_out_sel_G_ind,Q$1,rng_out_mail_ind,$B351,rng_out_ds,$C351,rng_out_sel_sp_ind,$D351,rng_out_sel_excl_ind,$E351)+
SUMIFS(rng_out_awp_post_yr4,rng_out_sel_excl_yr_ind, [1]Tables!$HN$4, rng_out_GB_Medispan, Q$1,rng_out_sel_G_ind,Q$1,rng_out_mail_ind,$B351,rng_out_ds,$C351,rng_out_sel_sp_ind,$D351,rng_out_sel_excl_ind,$E351)* _xlfn.XLOOKUP([1]Tables!$HN$4,'[1]RA Output'!$AY$4:$AY$5,'[1]RA Output'!BC$4:BC$5,0)  +
SUMIFS(rng_out_awp_post_yr4,rng_out_sel_excl_yr_ind, [1]Tables!$HN$5, rng_out_GB_Medispan, Q$1,rng_out_sel_G_ind,Q$1,rng_out_mail_ind,$B351,rng_out_ds,$C351,rng_out_sel_sp_ind,$D351,rng_out_sel_excl_ind,$E351)* _xlfn.XLOOKUP([1]Tables!$HN$5,'[1]RA Output'!$AY$4:$AY$5,'[1]RA Output'!BC$4:BC$5,0))/[1]Tables!$AT$4 +
SUMIFS(rng_out_awp_post_yr4, rng_out_GB_Medispan, Q$1, rng_out_sel_G_ind, Q$1, rng_out_mail_ind, $B351, rng_out_ds, $C351, rng_out_sel_sp_ind, $D351, rng_out_sel_excl_ind,"N", rng_out_post_reb_ind_yr4, 0)/[1]Tables!$AT$4), 0)</f>
        <v>0</v>
      </c>
      <c r="AU351" s="85" cm="1">
        <f t="array" aca="1" ref="AU351" ca="1">IFERROR(IF($E$354="N", (SUMIFS(rng_out_awp_post_yr5,rng_out_sel_excl_yr_ind, "", rng_out_GB_Medispan, R$1,rng_out_sel_G_ind,R$1,rng_out_mail_ind,$B351,rng_out_ds,$C351,rng_out_sel_sp_ind,$D351,rng_out_sel_excl_ind,$E351)+
SUMIFS(rng_out_awp_post_yr5,rng_out_sel_excl_yr_ind, [1]Tables!$HN$4, rng_out_GB_Medispan, R$1,rng_out_sel_G_ind,R$1,rng_out_mail_ind,$B351,rng_out_ds,$C351,rng_out_sel_sp_ind,$D351,rng_out_sel_excl_ind,$E351)* _xlfn.XLOOKUP([1]Tables!$HN$4,'[1]RA Output'!$AY$4:$AY$5,'[1]RA Output'!BD$4:BD$5,0)  +
SUMIFS(rng_out_awp_post_yr5,rng_out_sel_excl_yr_ind, [1]Tables!$HN$5, rng_out_GB_Medispan, R$1,rng_out_sel_G_ind,R$1,rng_out_mail_ind,$B351,rng_out_ds,$C351,rng_out_sel_sp_ind,$D351,rng_out_sel_excl_ind,$E351)* _xlfn.XLOOKUP([1]Tables!$HN$5,'[1]RA Output'!$AY$4:$AY$5,'[1]RA Output'!BD$4:BD$5,0))/[1]Tables!$AT$4,
(SUMIFS(rng_out_awp_post_yr5,rng_out_sel_excl_yr_ind, "", rng_out_GB_Medispan, R$1,rng_out_sel_G_ind,R$1,rng_out_mail_ind,$B351,rng_out_ds,$C351,rng_out_sel_sp_ind,$D351,rng_out_sel_excl_ind,$E351)+
SUMIFS(rng_out_awp_post_yr5,rng_out_sel_excl_yr_ind, [1]Tables!$HN$4, rng_out_GB_Medispan, R$1,rng_out_sel_G_ind,R$1,rng_out_mail_ind,$B351,rng_out_ds,$C351,rng_out_sel_sp_ind,$D351,rng_out_sel_excl_ind,$E351)* _xlfn.XLOOKUP([1]Tables!$HN$4,'[1]RA Output'!$AY$4:$AY$5,'[1]RA Output'!BD$4:BD$5,0)  +
SUMIFS(rng_out_awp_post_yr5,rng_out_sel_excl_yr_ind, [1]Tables!$HN$5, rng_out_GB_Medispan, R$1,rng_out_sel_G_ind,R$1,rng_out_mail_ind,$B351,rng_out_ds,$C351,rng_out_sel_sp_ind,$D351,rng_out_sel_excl_ind,$E351)* _xlfn.XLOOKUP([1]Tables!$HN$5,'[1]RA Output'!$AY$4:$AY$5,'[1]RA Output'!BD$4:BD$5,0))/[1]Tables!$AT$4 +
SUMIFS(rng_out_awp_post_yr5, rng_out_GB_Medispan, R$1, rng_out_sel_G_ind, R$1, rng_out_mail_ind, $B351, rng_out_ds, $C351, rng_out_sel_sp_ind, $D351, rng_out_sel_excl_ind,"N", rng_out_post_reb_ind_yr5, 0)/[1]Tables!$AT$4), 0)</f>
        <v>0</v>
      </c>
      <c r="AV351" s="86">
        <f t="shared" ca="1" si="373"/>
        <v>0</v>
      </c>
      <c r="AW351" s="75">
        <f t="shared" ca="1" si="373"/>
        <v>0</v>
      </c>
      <c r="AX351" s="75">
        <f t="shared" ca="1" si="373"/>
        <v>0</v>
      </c>
      <c r="AY351" s="75">
        <f t="shared" ca="1" si="373"/>
        <v>0</v>
      </c>
      <c r="AZ351" s="87">
        <f t="shared" ca="1" si="373"/>
        <v>0</v>
      </c>
      <c r="BG351" s="111" t="s">
        <v>15</v>
      </c>
      <c r="BH351" s="97">
        <f t="shared" ca="1" si="374"/>
        <v>0</v>
      </c>
      <c r="BI351" s="79">
        <f t="shared" ca="1" si="374"/>
        <v>0</v>
      </c>
      <c r="BJ351" s="79">
        <f t="shared" ca="1" si="374"/>
        <v>0</v>
      </c>
      <c r="BK351" s="79">
        <f t="shared" ca="1" si="374"/>
        <v>0</v>
      </c>
      <c r="BL351" s="98">
        <f t="shared" ca="1" si="374"/>
        <v>0</v>
      </c>
      <c r="BM351" s="92">
        <f t="shared" ca="1" si="375"/>
        <v>0</v>
      </c>
      <c r="BN351" s="75">
        <f t="shared" ca="1" si="375"/>
        <v>0</v>
      </c>
      <c r="BO351" s="75">
        <f t="shared" ca="1" si="375"/>
        <v>0</v>
      </c>
      <c r="BP351" s="75">
        <f t="shared" ca="1" si="375"/>
        <v>0</v>
      </c>
      <c r="BQ351" s="93">
        <f t="shared" ca="1" si="375"/>
        <v>0</v>
      </c>
      <c r="BX351" s="111" t="s">
        <v>15</v>
      </c>
      <c r="BY351" s="97">
        <f t="shared" ca="1" si="376"/>
        <v>0</v>
      </c>
      <c r="BZ351" s="79">
        <f t="shared" ca="1" si="376"/>
        <v>0</v>
      </c>
      <c r="CA351" s="79">
        <f t="shared" ca="1" si="376"/>
        <v>0</v>
      </c>
      <c r="CB351" s="79">
        <f t="shared" ca="1" si="376"/>
        <v>0</v>
      </c>
      <c r="CC351" s="98">
        <f t="shared" ca="1" si="376"/>
        <v>0</v>
      </c>
      <c r="CD351" s="92">
        <f t="shared" ca="1" si="377"/>
        <v>0</v>
      </c>
      <c r="CE351" s="75">
        <f t="shared" ca="1" si="377"/>
        <v>0</v>
      </c>
      <c r="CF351" s="75">
        <f t="shared" ca="1" si="377"/>
        <v>0</v>
      </c>
      <c r="CG351" s="75">
        <f t="shared" ca="1" si="377"/>
        <v>0</v>
      </c>
      <c r="CH351" s="93">
        <f t="shared" ca="1" si="377"/>
        <v>0</v>
      </c>
      <c r="CO351" s="252"/>
      <c r="CP351" s="252"/>
    </row>
    <row r="352" spans="2:98" x14ac:dyDescent="0.35">
      <c r="B352" s="105" t="s">
        <v>16</v>
      </c>
      <c r="C352" s="106"/>
      <c r="D352" s="106" t="s">
        <v>12</v>
      </c>
      <c r="E352" s="107" t="s">
        <v>13</v>
      </c>
      <c r="F352" s="106"/>
      <c r="H352" s="118" t="s">
        <v>7</v>
      </c>
      <c r="I352" s="72" t="e" cm="1">
        <f t="array" aca="1" ref="I352" ca="1">SUMIFS(rng_out_awp_pre_yr1,rng_out_sel_excl_yr_ind, "", rng_out_GB_Medispan, N$1,rng_out_sel_G_ind,N$1,rng_out_mail_ind,$B352,rng_out_sel_sp_ind,$D352,rng_out_sel_excl_ind,$E352)+
SUMIFS(rng_out_awp_pre_yr1,rng_out_sel_excl_yr_ind, [1]Tables!$HN$4, rng_out_GB_Medispan, N$1,rng_out_sel_G_ind,N$1,rng_out_mail_ind,$B352,rng_out_sel_sp_ind,$D352,rng_out_sel_excl_ind,$E352)* _xlfn.XLOOKUP([1]Tables!$HN$4,'[1]RA Output'!$AY$4:$AY$5,'[1]RA Output'!AZ$4:AZ$5,0)  +
SUMIFS(rng_out_awp_pre_yr1,rng_out_sel_excl_yr_ind, [1]Tables!$HN$5, rng_out_GB_Medispan, N$1,rng_out_sel_G_ind,N$1,rng_out_mail_ind,$B352,rng_out_sel_sp_ind,$D352,rng_out_sel_excl_ind,$E352)* _xlfn.XLOOKUP([1]Tables!$HN$5,'[1]RA Output'!$AY$4:$AY$5,'[1]RA Output'!AZ$4:AZ$5,0)+
IF($E$354="N", 0,
SUMIFS(rng_out_awp_pre_yr1, rng_out_GB_Medispan, N$1, rng_out_sel_G_ind, N$1, rng_out_mail_ind, $B352, rng_out_sel_sp_ind, $D352, rng_out_sel_excl_ind,"N", rng_out_post_reb_ind_yr1, 0))</f>
        <v>#VALUE!</v>
      </c>
      <c r="J352" s="5" t="e" cm="1">
        <f t="array" aca="1" ref="J352" ca="1">SUMIFS(rng_out_awp_pre_yr2,rng_out_sel_excl_yr_ind, "", rng_out_GB_Medispan, O$1,rng_out_sel_G_ind,O$1,rng_out_mail_ind,$B352,rng_out_sel_sp_ind,$D352,rng_out_sel_excl_ind,$E352)+
SUMIFS(rng_out_awp_pre_yr2,rng_out_sel_excl_yr_ind, [1]Tables!$HN$4, rng_out_GB_Medispan, O$1,rng_out_sel_G_ind,O$1,rng_out_mail_ind,$B352,rng_out_sel_sp_ind,$D352,rng_out_sel_excl_ind,$E352)* _xlfn.XLOOKUP([1]Tables!$HN$4,'[1]RA Output'!$AY$4:$AY$5,'[1]RA Output'!BA$4:BA$5,0)  +
SUMIFS(rng_out_awp_pre_yr2,rng_out_sel_excl_yr_ind, [1]Tables!$HN$5, rng_out_GB_Medispan, O$1,rng_out_sel_G_ind,O$1,rng_out_mail_ind,$B352,rng_out_sel_sp_ind,$D352,rng_out_sel_excl_ind,$E352)* _xlfn.XLOOKUP([1]Tables!$HN$5,'[1]RA Output'!$AY$4:$AY$5,'[1]RA Output'!BA$4:BA$5,0)+
IF($E$354="N", 0,
SUMIFS(rng_out_awp_pre_yr2, rng_out_GB_Medispan, O$1, rng_out_sel_G_ind, O$1, rng_out_mail_ind, $B352, rng_out_sel_sp_ind, $D352, rng_out_sel_excl_ind,"N", rng_out_post_reb_ind_yr2, 0))</f>
        <v>#VALUE!</v>
      </c>
      <c r="K352" s="5" t="e" cm="1">
        <f t="array" aca="1" ref="K352" ca="1">SUMIFS(rng_out_awp_pre_yr3,rng_out_sel_excl_yr_ind, "", rng_out_GB_Medispan, P$1,rng_out_sel_G_ind,P$1,rng_out_mail_ind,$B352,rng_out_sel_sp_ind,$D352,rng_out_sel_excl_ind,$E352)+
SUMIFS(rng_out_awp_pre_yr3,rng_out_sel_excl_yr_ind, [1]Tables!$HN$4, rng_out_GB_Medispan, P$1,rng_out_sel_G_ind,P$1,rng_out_mail_ind,$B352,rng_out_sel_sp_ind,$D352,rng_out_sel_excl_ind,$E352)* _xlfn.XLOOKUP([1]Tables!$HN$4,'[1]RA Output'!$AY$4:$AY$5,'[1]RA Output'!BB$4:BB$5,0)  +
SUMIFS(rng_out_awp_pre_yr3,rng_out_sel_excl_yr_ind, [1]Tables!$HN$5, rng_out_GB_Medispan, P$1,rng_out_sel_G_ind,P$1,rng_out_mail_ind,$B352,rng_out_sel_sp_ind,$D352,rng_out_sel_excl_ind,$E352)* _xlfn.XLOOKUP([1]Tables!$HN$5,'[1]RA Output'!$AY$4:$AY$5,'[1]RA Output'!BB$4:BB$5,0)+
IF($E$354="N", 0,
SUMIFS(rng_out_awp_pre_yr3, rng_out_GB_Medispan, P$1, rng_out_sel_G_ind, P$1, rng_out_mail_ind, $B352, rng_out_sel_sp_ind, $D352, rng_out_sel_excl_ind,"N", rng_out_post_reb_ind_yr3, 0))</f>
        <v>#VALUE!</v>
      </c>
      <c r="L352" s="5" t="e" cm="1">
        <f t="array" aca="1" ref="L352" ca="1">SUMIFS(rng_out_awp_pre_yr4,rng_out_sel_excl_yr_ind, "", rng_out_GB_Medispan, Q$1,rng_out_sel_G_ind,Q$1,rng_out_mail_ind,$B352,rng_out_sel_sp_ind,$D352,rng_out_sel_excl_ind,$E352)+
SUMIFS(rng_out_awp_pre_yr4,rng_out_sel_excl_yr_ind, [1]Tables!$HN$4, rng_out_GB_Medispan, Q$1,rng_out_sel_G_ind,Q$1,rng_out_mail_ind,$B352,rng_out_sel_sp_ind,$D352,rng_out_sel_excl_ind,$E352)* _xlfn.XLOOKUP([1]Tables!$HN$4,'[1]RA Output'!$AY$4:$AY$5,'[1]RA Output'!BC$4:BC$5,0)  +
SUMIFS(rng_out_awp_pre_yr4,rng_out_sel_excl_yr_ind, [1]Tables!$HN$5, rng_out_GB_Medispan, Q$1,rng_out_sel_G_ind,Q$1,rng_out_mail_ind,$B352,rng_out_sel_sp_ind,$D352,rng_out_sel_excl_ind,$E352)* _xlfn.XLOOKUP([1]Tables!$HN$5,'[1]RA Output'!$AY$4:$AY$5,'[1]RA Output'!BC$4:BC$5,0)+
IF($E$354="N", 0,
SUMIFS(rng_out_awp_pre_yr4, rng_out_GB_Medispan, Q$1, rng_out_sel_G_ind, Q$1, rng_out_mail_ind, $B352, rng_out_sel_sp_ind, $D352, rng_out_sel_excl_ind,"N", rng_out_post_reb_ind_yr4, 0))</f>
        <v>#VALUE!</v>
      </c>
      <c r="M352" s="73" t="e" cm="1">
        <f t="array" aca="1" ref="M352" ca="1">SUMIFS(rng_out_awp_pre_yr5,rng_out_sel_excl_yr_ind, "", rng_out_GB_Medispan, R$1,rng_out_sel_G_ind,R$1,rng_out_mail_ind,$B352,rng_out_sel_sp_ind,$D352,rng_out_sel_excl_ind,$E352)+
SUMIFS(rng_out_awp_pre_yr5,rng_out_sel_excl_yr_ind, [1]Tables!$HN$4, rng_out_GB_Medispan, R$1,rng_out_sel_G_ind,R$1,rng_out_mail_ind,$B352,rng_out_sel_sp_ind,$D352,rng_out_sel_excl_ind,$E352)* _xlfn.XLOOKUP([1]Tables!$HN$4,'[1]RA Output'!$AY$4:$AY$5,'[1]RA Output'!BD$4:BD$5,0)  +
SUMIFS(rng_out_awp_pre_yr5,rng_out_sel_excl_yr_ind, [1]Tables!$HN$5, rng_out_GB_Medispan, R$1,rng_out_sel_G_ind,R$1,rng_out_mail_ind,$B352,rng_out_sel_sp_ind,$D352,rng_out_sel_excl_ind,$E352)* _xlfn.XLOOKUP([1]Tables!$HN$5,'[1]RA Output'!$AY$4:$AY$5,'[1]RA Output'!BD$4:BD$5,0)+
IF($E$354="N", 0,
SUMIFS(rng_out_awp_pre_yr5, rng_out_GB_Medispan, R$1, rng_out_sel_G_ind, R$1, rng_out_mail_ind, $B352, rng_out_sel_sp_ind, $D352, rng_out_sel_excl_ind,"N", rng_out_post_reb_ind_yr5, 0))</f>
        <v>#VALUE!</v>
      </c>
      <c r="N352" s="74">
        <f t="shared" ca="1" si="371"/>
        <v>0</v>
      </c>
      <c r="O352" s="75">
        <f t="shared" ca="1" si="371"/>
        <v>0</v>
      </c>
      <c r="P352" s="75">
        <f t="shared" ca="1" si="371"/>
        <v>0</v>
      </c>
      <c r="Q352" s="75">
        <f t="shared" ca="1" si="371"/>
        <v>0</v>
      </c>
      <c r="R352" s="76">
        <f t="shared" ca="1" si="371"/>
        <v>0</v>
      </c>
      <c r="Y352" s="119" t="s">
        <v>7</v>
      </c>
      <c r="Z352" s="78">
        <f ca="1">IFERROR(I352/[1]Tables!$AT$4, 0)</f>
        <v>0</v>
      </c>
      <c r="AA352" s="79">
        <f ca="1">IFERROR(J352/[1]Tables!$AT$4, 0)</f>
        <v>0</v>
      </c>
      <c r="AB352" s="79">
        <f ca="1">IFERROR(K352/[1]Tables!$AT$4, 0)</f>
        <v>0</v>
      </c>
      <c r="AC352" s="79">
        <f ca="1">IFERROR(L352/[1]Tables!$AT$4, 0)</f>
        <v>0</v>
      </c>
      <c r="AD352" s="80">
        <f ca="1">IFERROR(M352/[1]Tables!$AT$4, 0)</f>
        <v>0</v>
      </c>
      <c r="AE352" s="81">
        <f t="shared" ca="1" si="372"/>
        <v>0</v>
      </c>
      <c r="AF352" s="75">
        <f t="shared" ca="1" si="372"/>
        <v>0</v>
      </c>
      <c r="AG352" s="75">
        <f t="shared" ca="1" si="372"/>
        <v>0</v>
      </c>
      <c r="AH352" s="75">
        <f t="shared" ca="1" si="372"/>
        <v>0</v>
      </c>
      <c r="AI352" s="82">
        <f t="shared" ca="1" si="372"/>
        <v>0</v>
      </c>
      <c r="AP352" s="120" t="s">
        <v>7</v>
      </c>
      <c r="AQ352" s="356" cm="1">
        <f t="array" aca="1" ref="AQ352" ca="1">IFERROR(IF($E$354="N", (SUMIFS(rng_out_awp_post_yr1,rng_out_sel_excl_yr_ind, "", rng_out_GB_Medispan, N$1,rng_out_sel_G_ind,N$1,rng_out_mail_ind,$B352,rng_out_sel_sp_ind,$D352,rng_out_sel_excl_ind,$E352)+
SUMIFS(rng_out_awp_post_yr1,rng_out_sel_excl_yr_ind, [1]Tables!$HN$4, rng_out_GB_Medispan, N$1,rng_out_sel_G_ind,N$1,rng_out_mail_ind,$B352,rng_out_sel_sp_ind,$D352,rng_out_sel_excl_ind,$E352)* _xlfn.XLOOKUP([1]Tables!$HN$4,'[1]RA Output'!$AY$4:$AY$5,'[1]RA Output'!AZ$4:AZ$5,0)  +
SUMIFS(rng_out_awp_post_yr1,rng_out_sel_excl_yr_ind, [1]Tables!$HN$5, rng_out_GB_Medispan, N$1,rng_out_sel_G_ind,N$1,rng_out_mail_ind,$B352,rng_out_sel_sp_ind,$D352,rng_out_sel_excl_ind,$E352)* _xlfn.XLOOKUP([1]Tables!$HN$5,'[1]RA Output'!$AY$4:$AY$5,'[1]RA Output'!AZ$4:AZ$5,0))/[1]Tables!$AT$4,
(SUMIFS(rng_out_awp_post_yr1,rng_out_sel_excl_yr_ind, "", rng_out_GB_Medispan, N$1,rng_out_sel_G_ind,N$1,rng_out_mail_ind,$B352,rng_out_sel_sp_ind,$D352,rng_out_sel_excl_ind,$E352)+
SUMIFS(rng_out_awp_post_yr1,rng_out_sel_excl_yr_ind, [1]Tables!$HN$4, rng_out_GB_Medispan, N$1,rng_out_sel_G_ind,N$1,rng_out_mail_ind,$B352,rng_out_sel_sp_ind,$D352,rng_out_sel_excl_ind,$E352)* _xlfn.XLOOKUP([1]Tables!$HN$4,'[1]RA Output'!$AY$4:$AY$5,'[1]RA Output'!AZ$4:AZ$5,0)  +
SUMIFS(rng_out_awp_post_yr1,rng_out_sel_excl_yr_ind, [1]Tables!$HN$5, rng_out_GB_Medispan, N$1,rng_out_sel_G_ind,N$1,rng_out_mail_ind,$B352,rng_out_sel_sp_ind,$D352,rng_out_sel_excl_ind,$E352)* _xlfn.XLOOKUP([1]Tables!$HN$5,'[1]RA Output'!$AY$4:$AY$5,'[1]RA Output'!AZ$4:AZ$5,0))/[1]Tables!$AT$4 +
SUMIFS(rng_out_awp_post_yr1, rng_out_GB_Medispan, N$1, rng_out_sel_G_ind, N$1, rng_out_mail_ind, $B352, rng_out_sel_sp_ind, $D352, rng_out_sel_excl_ind,"N", rng_out_post_reb_ind_yr1, 0)/[1]Tables!$AT$4), 0)</f>
        <v>0</v>
      </c>
      <c r="AR352" s="5" cm="1">
        <f t="array" aca="1" ref="AR352" ca="1">IFERROR(IF($E$354="N", (SUMIFS(rng_out_awp_post_yr2,rng_out_sel_excl_yr_ind, "", rng_out_GB_Medispan, O$1,rng_out_sel_G_ind,O$1,rng_out_mail_ind,$B352,rng_out_sel_sp_ind,$D352,rng_out_sel_excl_ind,$E352)+
SUMIFS(rng_out_awp_post_yr2,rng_out_sel_excl_yr_ind, [1]Tables!$HN$4, rng_out_GB_Medispan, O$1,rng_out_sel_G_ind,O$1,rng_out_mail_ind,$B352,rng_out_sel_sp_ind,$D352,rng_out_sel_excl_ind,$E352)* _xlfn.XLOOKUP([1]Tables!$HN$4,'[1]RA Output'!$AY$4:$AY$5,'[1]RA Output'!BA$4:BA$5,0)  +
SUMIFS(rng_out_awp_post_yr2,rng_out_sel_excl_yr_ind, [1]Tables!$HN$5, rng_out_GB_Medispan, O$1,rng_out_sel_G_ind,O$1,rng_out_mail_ind,$B352,rng_out_sel_sp_ind,$D352,rng_out_sel_excl_ind,$E352)* _xlfn.XLOOKUP([1]Tables!$HN$5,'[1]RA Output'!$AY$4:$AY$5,'[1]RA Output'!BA$4:BA$5,0))/[1]Tables!$AT$4,
(SUMIFS(rng_out_awp_post_yr2,rng_out_sel_excl_yr_ind, "", rng_out_GB_Medispan, O$1,rng_out_sel_G_ind,O$1,rng_out_mail_ind,$B352,rng_out_sel_sp_ind,$D352,rng_out_sel_excl_ind,$E352)+
SUMIFS(rng_out_awp_post_yr2,rng_out_sel_excl_yr_ind, [1]Tables!$HN$4, rng_out_GB_Medispan, O$1,rng_out_sel_G_ind,O$1,rng_out_mail_ind,$B352,rng_out_sel_sp_ind,$D352,rng_out_sel_excl_ind,$E352)* _xlfn.XLOOKUP([1]Tables!$HN$4,'[1]RA Output'!$AY$4:$AY$5,'[1]RA Output'!BA$4:BA$5,0)  +
SUMIFS(rng_out_awp_post_yr2,rng_out_sel_excl_yr_ind, [1]Tables!$HN$5, rng_out_GB_Medispan, O$1,rng_out_sel_G_ind,O$1,rng_out_mail_ind,$B352,rng_out_sel_sp_ind,$D352,rng_out_sel_excl_ind,$E352)* _xlfn.XLOOKUP([1]Tables!$HN$5,'[1]RA Output'!$AY$4:$AY$5,'[1]RA Output'!BA$4:BA$5,0))/[1]Tables!$AT$4 +
SUMIFS(rng_out_awp_post_yr2, rng_out_GB_Medispan, O$1, rng_out_sel_G_ind, O$1, rng_out_mail_ind, $B352, rng_out_sel_sp_ind, $D352, rng_out_sel_excl_ind,"N", rng_out_post_reb_ind_yr2, 0)/[1]Tables!$AT$4), 0)</f>
        <v>0</v>
      </c>
      <c r="AS352" s="5" cm="1">
        <f t="array" aca="1" ref="AS352" ca="1">IFERROR(IF($E$354="N", (SUMIFS(rng_out_awp_post_yr3,rng_out_sel_excl_yr_ind, "", rng_out_GB_Medispan, P$1,rng_out_sel_G_ind,P$1,rng_out_mail_ind,$B352,rng_out_sel_sp_ind,$D352,rng_out_sel_excl_ind,$E352)+
SUMIFS(rng_out_awp_post_yr3,rng_out_sel_excl_yr_ind, [1]Tables!$HN$4, rng_out_GB_Medispan, P$1,rng_out_sel_G_ind,P$1,rng_out_mail_ind,$B352,rng_out_sel_sp_ind,$D352,rng_out_sel_excl_ind,$E352)* _xlfn.XLOOKUP([1]Tables!$HN$4,'[1]RA Output'!$AY$4:$AY$5,'[1]RA Output'!BB$4:BB$5,0)  +
SUMIFS(rng_out_awp_post_yr3,rng_out_sel_excl_yr_ind, [1]Tables!$HN$5, rng_out_GB_Medispan, P$1,rng_out_sel_G_ind,P$1,rng_out_mail_ind,$B352,rng_out_sel_sp_ind,$D352,rng_out_sel_excl_ind,$E352)* _xlfn.XLOOKUP([1]Tables!$HN$5,'[1]RA Output'!$AY$4:$AY$5,'[1]RA Output'!BB$4:BB$5,0))/[1]Tables!$AT$4,
(SUMIFS(rng_out_awp_post_yr3,rng_out_sel_excl_yr_ind, "", rng_out_GB_Medispan, P$1,rng_out_sel_G_ind,P$1,rng_out_mail_ind,$B352,rng_out_sel_sp_ind,$D352,rng_out_sel_excl_ind,$E352)+
SUMIFS(rng_out_awp_post_yr3,rng_out_sel_excl_yr_ind, [1]Tables!$HN$4, rng_out_GB_Medispan, P$1,rng_out_sel_G_ind,P$1,rng_out_mail_ind,$B352,rng_out_sel_sp_ind,$D352,rng_out_sel_excl_ind,$E352)* _xlfn.XLOOKUP([1]Tables!$HN$4,'[1]RA Output'!$AY$4:$AY$5,'[1]RA Output'!BB$4:BB$5,0)  +
SUMIFS(rng_out_awp_post_yr3,rng_out_sel_excl_yr_ind, [1]Tables!$HN$5, rng_out_GB_Medispan, P$1,rng_out_sel_G_ind,P$1,rng_out_mail_ind,$B352,rng_out_sel_sp_ind,$D352,rng_out_sel_excl_ind,$E352)* _xlfn.XLOOKUP([1]Tables!$HN$5,'[1]RA Output'!$AY$4:$AY$5,'[1]RA Output'!BB$4:BB$5,0))/[1]Tables!$AT$4 +
SUMIFS(rng_out_awp_post_yr3, rng_out_GB_Medispan, P$1, rng_out_sel_G_ind, P$1, rng_out_mail_ind, $B352, rng_out_sel_sp_ind, $D352, rng_out_sel_excl_ind,"N", rng_out_post_reb_ind_yr3, 0)/[1]Tables!$AT$4), 0)</f>
        <v>0</v>
      </c>
      <c r="AT352" s="5" cm="1">
        <f t="array" aca="1" ref="AT352" ca="1">IFERROR(IF($E$354="N", (SUMIFS(rng_out_awp_post_yr4,rng_out_sel_excl_yr_ind, "", rng_out_GB_Medispan, Q$1,rng_out_sel_G_ind,Q$1,rng_out_mail_ind,$B352,rng_out_sel_sp_ind,$D352,rng_out_sel_excl_ind,$E352)+
SUMIFS(rng_out_awp_post_yr4,rng_out_sel_excl_yr_ind, [1]Tables!$HN$4, rng_out_GB_Medispan, Q$1,rng_out_sel_G_ind,Q$1,rng_out_mail_ind,$B352,rng_out_sel_sp_ind,$D352,rng_out_sel_excl_ind,$E352)* _xlfn.XLOOKUP([1]Tables!$HN$4,'[1]RA Output'!$AY$4:$AY$5,'[1]RA Output'!BC$4:BC$5,0)  +
SUMIFS(rng_out_awp_post_yr4,rng_out_sel_excl_yr_ind, [1]Tables!$HN$5, rng_out_GB_Medispan, Q$1,rng_out_sel_G_ind,Q$1,rng_out_mail_ind,$B352,rng_out_sel_sp_ind,$D352,rng_out_sel_excl_ind,$E352)* _xlfn.XLOOKUP([1]Tables!$HN$5,'[1]RA Output'!$AY$4:$AY$5,'[1]RA Output'!BC$4:BC$5,0))/[1]Tables!$AT$4,
(SUMIFS(rng_out_awp_post_yr4,rng_out_sel_excl_yr_ind, "", rng_out_GB_Medispan, Q$1,rng_out_sel_G_ind,Q$1,rng_out_mail_ind,$B352,rng_out_sel_sp_ind,$D352,rng_out_sel_excl_ind,$E352)+
SUMIFS(rng_out_awp_post_yr4,rng_out_sel_excl_yr_ind, [1]Tables!$HN$4, rng_out_GB_Medispan, Q$1,rng_out_sel_G_ind,Q$1,rng_out_mail_ind,$B352,rng_out_sel_sp_ind,$D352,rng_out_sel_excl_ind,$E352)* _xlfn.XLOOKUP([1]Tables!$HN$4,'[1]RA Output'!$AY$4:$AY$5,'[1]RA Output'!BC$4:BC$5,0)  +
SUMIFS(rng_out_awp_post_yr4,rng_out_sel_excl_yr_ind, [1]Tables!$HN$5, rng_out_GB_Medispan, Q$1,rng_out_sel_G_ind,Q$1,rng_out_mail_ind,$B352,rng_out_sel_sp_ind,$D352,rng_out_sel_excl_ind,$E352)* _xlfn.XLOOKUP([1]Tables!$HN$5,'[1]RA Output'!$AY$4:$AY$5,'[1]RA Output'!BC$4:BC$5,0))/[1]Tables!$AT$4 +
SUMIFS(rng_out_awp_post_yr4, rng_out_GB_Medispan, Q$1, rng_out_sel_G_ind, Q$1, rng_out_mail_ind, $B352, rng_out_sel_sp_ind, $D352, rng_out_sel_excl_ind,"N", rng_out_post_reb_ind_yr4, 0)/[1]Tables!$AT$4), 0)</f>
        <v>0</v>
      </c>
      <c r="AU352" s="85" cm="1">
        <f t="array" aca="1" ref="AU352" ca="1">IFERROR(IF($E$354="N", (SUMIFS(rng_out_awp_post_yr5,rng_out_sel_excl_yr_ind, "", rng_out_GB_Medispan, R$1,rng_out_sel_G_ind,R$1,rng_out_mail_ind,$B352,rng_out_sel_sp_ind,$D352,rng_out_sel_excl_ind,$E352)+
SUMIFS(rng_out_awp_post_yr5,rng_out_sel_excl_yr_ind, [1]Tables!$HN$4, rng_out_GB_Medispan, R$1,rng_out_sel_G_ind,R$1,rng_out_mail_ind,$B352,rng_out_sel_sp_ind,$D352,rng_out_sel_excl_ind,$E352)* _xlfn.XLOOKUP([1]Tables!$HN$4,'[1]RA Output'!$AY$4:$AY$5,'[1]RA Output'!BD$4:BD$5,0)  +
SUMIFS(rng_out_awp_post_yr5,rng_out_sel_excl_yr_ind, [1]Tables!$HN$5, rng_out_GB_Medispan, R$1,rng_out_sel_G_ind,R$1,rng_out_mail_ind,$B352,rng_out_sel_sp_ind,$D352,rng_out_sel_excl_ind,$E352)* _xlfn.XLOOKUP([1]Tables!$HN$5,'[1]RA Output'!$AY$4:$AY$5,'[1]RA Output'!BD$4:BD$5,0))/[1]Tables!$AT$4,
(SUMIFS(rng_out_awp_post_yr5,rng_out_sel_excl_yr_ind, "", rng_out_GB_Medispan, R$1,rng_out_sel_G_ind,R$1,rng_out_mail_ind,$B352,rng_out_sel_sp_ind,$D352,rng_out_sel_excl_ind,$E352)+
SUMIFS(rng_out_awp_post_yr5,rng_out_sel_excl_yr_ind, [1]Tables!$HN$4, rng_out_GB_Medispan, R$1,rng_out_sel_G_ind,R$1,rng_out_mail_ind,$B352,rng_out_sel_sp_ind,$D352,rng_out_sel_excl_ind,$E352)* _xlfn.XLOOKUP([1]Tables!$HN$4,'[1]RA Output'!$AY$4:$AY$5,'[1]RA Output'!BD$4:BD$5,0)  +
SUMIFS(rng_out_awp_post_yr5,rng_out_sel_excl_yr_ind, [1]Tables!$HN$5, rng_out_GB_Medispan, R$1,rng_out_sel_G_ind,R$1,rng_out_mail_ind,$B352,rng_out_sel_sp_ind,$D352,rng_out_sel_excl_ind,$E352)* _xlfn.XLOOKUP([1]Tables!$HN$5,'[1]RA Output'!$AY$4:$AY$5,'[1]RA Output'!BD$4:BD$5,0))/[1]Tables!$AT$4 +
SUMIFS(rng_out_awp_post_yr5, rng_out_GB_Medispan, R$1, rng_out_sel_G_ind, R$1, rng_out_mail_ind, $B352, rng_out_sel_sp_ind, $D352, rng_out_sel_excl_ind,"N", rng_out_post_reb_ind_yr5, 0)/[1]Tables!$AT$4), 0)</f>
        <v>0</v>
      </c>
      <c r="AV352" s="86">
        <f t="shared" ca="1" si="373"/>
        <v>0</v>
      </c>
      <c r="AW352" s="75">
        <f t="shared" ca="1" si="373"/>
        <v>0</v>
      </c>
      <c r="AX352" s="75">
        <f t="shared" ca="1" si="373"/>
        <v>0</v>
      </c>
      <c r="AY352" s="75">
        <f t="shared" ca="1" si="373"/>
        <v>0</v>
      </c>
      <c r="AZ352" s="87">
        <f t="shared" ca="1" si="373"/>
        <v>0</v>
      </c>
      <c r="BG352" s="121" t="s">
        <v>7</v>
      </c>
      <c r="BH352" s="97">
        <f t="shared" ca="1" si="374"/>
        <v>0</v>
      </c>
      <c r="BI352" s="79">
        <f t="shared" ca="1" si="374"/>
        <v>0</v>
      </c>
      <c r="BJ352" s="79">
        <f t="shared" ca="1" si="374"/>
        <v>0</v>
      </c>
      <c r="BK352" s="79">
        <f t="shared" ca="1" si="374"/>
        <v>0</v>
      </c>
      <c r="BL352" s="98">
        <f t="shared" ca="1" si="374"/>
        <v>0</v>
      </c>
      <c r="BM352" s="92">
        <f t="shared" ca="1" si="375"/>
        <v>0</v>
      </c>
      <c r="BN352" s="75">
        <f t="shared" ca="1" si="375"/>
        <v>0</v>
      </c>
      <c r="BO352" s="75">
        <f t="shared" ca="1" si="375"/>
        <v>0</v>
      </c>
      <c r="BP352" s="75">
        <f t="shared" ca="1" si="375"/>
        <v>0</v>
      </c>
      <c r="BQ352" s="93">
        <f t="shared" ca="1" si="375"/>
        <v>0</v>
      </c>
      <c r="BX352" s="121" t="s">
        <v>7</v>
      </c>
      <c r="BY352" s="97">
        <f t="shared" ca="1" si="376"/>
        <v>0</v>
      </c>
      <c r="BZ352" s="79">
        <f t="shared" ca="1" si="376"/>
        <v>0</v>
      </c>
      <c r="CA352" s="79">
        <f t="shared" ca="1" si="376"/>
        <v>0</v>
      </c>
      <c r="CB352" s="79">
        <f t="shared" ca="1" si="376"/>
        <v>0</v>
      </c>
      <c r="CC352" s="98">
        <f t="shared" ca="1" si="376"/>
        <v>0</v>
      </c>
      <c r="CD352" s="92">
        <f t="shared" ca="1" si="377"/>
        <v>0</v>
      </c>
      <c r="CE352" s="75">
        <f t="shared" ca="1" si="377"/>
        <v>0</v>
      </c>
      <c r="CF352" s="75">
        <f t="shared" ca="1" si="377"/>
        <v>0</v>
      </c>
      <c r="CG352" s="75">
        <f t="shared" ca="1" si="377"/>
        <v>0</v>
      </c>
      <c r="CH352" s="93">
        <f t="shared" ca="1" si="377"/>
        <v>0</v>
      </c>
      <c r="CO352" s="252"/>
      <c r="CP352" s="252"/>
    </row>
    <row r="353" spans="2:111" ht="15" thickBot="1" x14ac:dyDescent="0.4">
      <c r="B353" s="122"/>
      <c r="C353" s="123"/>
      <c r="D353" s="123" t="s">
        <v>13</v>
      </c>
      <c r="E353" s="124" t="s">
        <v>13</v>
      </c>
      <c r="F353" s="106"/>
      <c r="H353" s="118" t="s">
        <v>17</v>
      </c>
      <c r="I353" s="72" t="e" cm="1">
        <f t="array" aca="1" ref="I353" ca="1">SUMIFS(rng_out_awp_pre_yr1,rng_out_sel_excl_yr_ind, "", rng_out_GB_Medispan, N$1,rng_out_sel_G_ind,N$1,rng_out_sel_sp_ind,$D353,rng_out_sel_excl_ind,$E353)+
SUMIFS(rng_out_awp_pre_yr1,rng_out_sel_excl_yr_ind, [1]Tables!$HN$4, rng_out_GB_Medispan, N$1,rng_out_sel_G_ind,N$1,rng_out_sel_sp_ind,$D353,rng_out_sel_excl_ind,$E353)* _xlfn.XLOOKUP([1]Tables!$HN$4,'[1]RA Output'!$AY$4:$AY$5,'[1]RA Output'!AZ$4:AZ$5,0)  +
SUMIFS(rng_out_awp_pre_yr1,rng_out_sel_excl_yr_ind, [1]Tables!$HN$5, rng_out_GB_Medispan, N$1,rng_out_sel_G_ind,N$1,rng_out_sel_sp_ind,$D353,rng_out_sel_excl_ind,$E353)* _xlfn.XLOOKUP([1]Tables!$HN$5,'[1]RA Output'!$AY$4:$AY$5,'[1]RA Output'!AZ$4:AZ$5,0)+
IF($E$354="N", 0,
SUMIFS(rng_out_awp_pre_yr1, rng_out_GB_Medispan, N$1, rng_out_sel_G_ind, N$1, rng_out_sel_sp_ind, $D353, rng_out_sel_excl_ind,"N", rng_out_post_reb_ind_yr1, 0))</f>
        <v>#VALUE!</v>
      </c>
      <c r="J353" s="5" t="e" cm="1">
        <f t="array" aca="1" ref="J353" ca="1">SUMIFS(rng_out_awp_pre_yr2,rng_out_sel_excl_yr_ind, "", rng_out_GB_Medispan, O$1,rng_out_sel_G_ind,O$1,rng_out_sel_sp_ind,$D353,rng_out_sel_excl_ind,$E353)+
SUMIFS(rng_out_awp_pre_yr2,rng_out_sel_excl_yr_ind, [1]Tables!$HN$4, rng_out_GB_Medispan, O$1,rng_out_sel_G_ind,O$1,rng_out_sel_sp_ind,$D353,rng_out_sel_excl_ind,$E353)* _xlfn.XLOOKUP([1]Tables!$HN$4,'[1]RA Output'!$AY$4:$AY$5,'[1]RA Output'!BA$4:BA$5,0)  +
SUMIFS(rng_out_awp_pre_yr2,rng_out_sel_excl_yr_ind, [1]Tables!$HN$5, rng_out_GB_Medispan, O$1,rng_out_sel_G_ind,O$1,rng_out_sel_sp_ind,$D353,rng_out_sel_excl_ind,$E353)* _xlfn.XLOOKUP([1]Tables!$HN$5,'[1]RA Output'!$AY$4:$AY$5,'[1]RA Output'!BA$4:BA$5,0)+
IF($E$354="N", 0,
SUMIFS(rng_out_awp_pre_yr2, rng_out_GB_Medispan, O$1, rng_out_sel_G_ind, O$1, rng_out_sel_sp_ind, $D353, rng_out_sel_excl_ind,"N", rng_out_post_reb_ind_yr2, 0))</f>
        <v>#VALUE!</v>
      </c>
      <c r="K353" s="5" t="e" cm="1">
        <f t="array" aca="1" ref="K353" ca="1">SUMIFS(rng_out_awp_pre_yr3,rng_out_sel_excl_yr_ind, "", rng_out_GB_Medispan, P$1,rng_out_sel_G_ind,P$1,rng_out_sel_sp_ind,$D353,rng_out_sel_excl_ind,$E353)+
SUMIFS(rng_out_awp_pre_yr3,rng_out_sel_excl_yr_ind, [1]Tables!$HN$4, rng_out_GB_Medispan, P$1,rng_out_sel_G_ind,P$1,rng_out_sel_sp_ind,$D353,rng_out_sel_excl_ind,$E353)* _xlfn.XLOOKUP([1]Tables!$HN$4,'[1]RA Output'!$AY$4:$AY$5,'[1]RA Output'!BB$4:BB$5,0)  +
SUMIFS(rng_out_awp_pre_yr3,rng_out_sel_excl_yr_ind, [1]Tables!$HN$5, rng_out_GB_Medispan, P$1,rng_out_sel_G_ind,P$1,rng_out_sel_sp_ind,$D353,rng_out_sel_excl_ind,$E353)* _xlfn.XLOOKUP([1]Tables!$HN$5,'[1]RA Output'!$AY$4:$AY$5,'[1]RA Output'!BB$4:BB$5,0)+
IF($E$354="N", 0,
SUMIFS(rng_out_awp_pre_yr3, rng_out_GB_Medispan, P$1, rng_out_sel_G_ind, P$1, rng_out_sel_sp_ind, $D353, rng_out_sel_excl_ind,"N", rng_out_post_reb_ind_yr3, 0))</f>
        <v>#VALUE!</v>
      </c>
      <c r="L353" s="5" t="e" cm="1">
        <f t="array" aca="1" ref="L353" ca="1">SUMIFS(rng_out_awp_pre_yr4,rng_out_sel_excl_yr_ind, "", rng_out_GB_Medispan, Q$1,rng_out_sel_G_ind,Q$1,rng_out_sel_sp_ind,$D353,rng_out_sel_excl_ind,$E353)+
SUMIFS(rng_out_awp_pre_yr4,rng_out_sel_excl_yr_ind, [1]Tables!$HN$4, rng_out_GB_Medispan, Q$1,rng_out_sel_G_ind,Q$1,rng_out_sel_sp_ind,$D353,rng_out_sel_excl_ind,$E353)* _xlfn.XLOOKUP([1]Tables!$HN$4,'[1]RA Output'!$AY$4:$AY$5,'[1]RA Output'!BC$4:BC$5,0)  +
SUMIFS(rng_out_awp_pre_yr4,rng_out_sel_excl_yr_ind, [1]Tables!$HN$5, rng_out_GB_Medispan, Q$1,rng_out_sel_G_ind,Q$1,rng_out_sel_sp_ind,$D353,rng_out_sel_excl_ind,$E353)* _xlfn.XLOOKUP([1]Tables!$HN$5,'[1]RA Output'!$AY$4:$AY$5,'[1]RA Output'!BC$4:BC$5,0)+
IF($E$354="N", 0,
SUMIFS(rng_out_awp_pre_yr4, rng_out_GB_Medispan, Q$1, rng_out_sel_G_ind, Q$1, rng_out_sel_sp_ind, $D353, rng_out_sel_excl_ind,"N", rng_out_post_reb_ind_yr4, 0))</f>
        <v>#VALUE!</v>
      </c>
      <c r="M353" s="125" t="e" cm="1">
        <f t="array" aca="1" ref="M353" ca="1">SUMIFS(rng_out_awp_pre_yr5,rng_out_sel_excl_yr_ind, "", rng_out_GB_Medispan, R$1,rng_out_sel_G_ind,R$1,rng_out_sel_sp_ind,$D353,rng_out_sel_excl_ind,$E353)+
SUMIFS(rng_out_awp_pre_yr5,rng_out_sel_excl_yr_ind, [1]Tables!$HN$4, rng_out_GB_Medispan, R$1,rng_out_sel_G_ind,R$1,rng_out_sel_sp_ind,$D353,rng_out_sel_excl_ind,$E353)* _xlfn.XLOOKUP([1]Tables!$HN$4,'[1]RA Output'!$AY$4:$AY$5,'[1]RA Output'!BD$4:BD$5,0)  +
SUMIFS(rng_out_awp_pre_yr5,rng_out_sel_excl_yr_ind, [1]Tables!$HN$5, rng_out_GB_Medispan, R$1,rng_out_sel_G_ind,R$1,rng_out_sel_sp_ind,$D353,rng_out_sel_excl_ind,$E353)* _xlfn.XLOOKUP([1]Tables!$HN$5,'[1]RA Output'!$AY$4:$AY$5,'[1]RA Output'!BD$4:BD$5,0)+
IF($E$354="N", 0,
SUMIFS(rng_out_awp_pre_yr5, rng_out_GB_Medispan, R$1, rng_out_sel_G_ind, R$1, rng_out_sel_sp_ind, $D353, rng_out_sel_excl_ind,"N", rng_out_post_reb_ind_yr5, 0))</f>
        <v>#VALUE!</v>
      </c>
      <c r="N353" s="74">
        <f t="shared" ca="1" si="371"/>
        <v>0</v>
      </c>
      <c r="O353" s="75">
        <f t="shared" ca="1" si="371"/>
        <v>0</v>
      </c>
      <c r="P353" s="75">
        <f t="shared" ca="1" si="371"/>
        <v>0</v>
      </c>
      <c r="Q353" s="75">
        <f t="shared" ca="1" si="371"/>
        <v>0</v>
      </c>
      <c r="R353" s="126">
        <f t="shared" ca="1" si="371"/>
        <v>0</v>
      </c>
      <c r="Y353" s="119" t="s">
        <v>17</v>
      </c>
      <c r="Z353" s="127">
        <f ca="1">IFERROR(I353/[1]Tables!$AT$4, 0)</f>
        <v>0</v>
      </c>
      <c r="AA353" s="128">
        <f ca="1">IFERROR(J353/[1]Tables!$AT$4, 0)</f>
        <v>0</v>
      </c>
      <c r="AB353" s="128">
        <f ca="1">IFERROR(K353/[1]Tables!$AT$4, 0)</f>
        <v>0</v>
      </c>
      <c r="AC353" s="128">
        <f ca="1">IFERROR(L353/[1]Tables!$AT$4, 0)</f>
        <v>0</v>
      </c>
      <c r="AD353" s="129">
        <f ca="1">IFERROR(M353/[1]Tables!$AT$4, 0)</f>
        <v>0</v>
      </c>
      <c r="AE353" s="130">
        <f t="shared" ca="1" si="372"/>
        <v>0</v>
      </c>
      <c r="AF353" s="131">
        <f t="shared" ca="1" si="372"/>
        <v>0</v>
      </c>
      <c r="AG353" s="131">
        <f t="shared" ca="1" si="372"/>
        <v>0</v>
      </c>
      <c r="AH353" s="131">
        <f t="shared" ca="1" si="372"/>
        <v>0</v>
      </c>
      <c r="AI353" s="132">
        <f t="shared" ca="1" si="372"/>
        <v>0</v>
      </c>
      <c r="AP353" s="120" t="s">
        <v>17</v>
      </c>
      <c r="AQ353" s="167" cm="1">
        <f t="array" aca="1" ref="AQ353" ca="1">IFERROR(IF($E$354="N", (SUMIFS(rng_out_awp_post_yr1,rng_out_sel_excl_yr_ind, "", rng_out_GB_Medispan, N$1,rng_out_sel_G_ind,N$1,rng_out_sel_sp_ind,$D353,rng_out_sel_excl_ind,$E353)+
SUMIFS(rng_out_awp_post_yr1,rng_out_sel_excl_yr_ind, [1]Tables!$HN$4, rng_out_GB_Medispan, N$1,rng_out_sel_G_ind,N$1,rng_out_sel_sp_ind,$D353,rng_out_sel_excl_ind,$E353)* _xlfn.XLOOKUP([1]Tables!$HN$4,'[1]RA Output'!$AY$4:$AY$5,'[1]RA Output'!AZ$4:AZ$5,0)  +
SUMIFS(rng_out_awp_post_yr1,rng_out_sel_excl_yr_ind, [1]Tables!$HN$5, rng_out_GB_Medispan, N$1,rng_out_sel_G_ind,N$1,rng_out_sel_sp_ind,$D353,rng_out_sel_excl_ind,$E353)* _xlfn.XLOOKUP([1]Tables!$HN$5,'[1]RA Output'!$AY$4:$AY$5,'[1]RA Output'!AZ$4:AZ$5,0))/[1]Tables!$AT$4,
(SUMIFS(rng_out_awp_post_yr1,rng_out_sel_excl_yr_ind, "", rng_out_GB_Medispan, N$1,rng_out_sel_G_ind,N$1,rng_out_sel_sp_ind,$D353,rng_out_sel_excl_ind,$E353)+
SUMIFS(rng_out_awp_post_yr1,rng_out_sel_excl_yr_ind, [1]Tables!$HN$4, rng_out_GB_Medispan, N$1,rng_out_sel_G_ind,N$1,rng_out_sel_sp_ind,$D353,rng_out_sel_excl_ind,$E353)* _xlfn.XLOOKUP([1]Tables!$HN$4,'[1]RA Output'!$AY$4:$AY$5,'[1]RA Output'!AZ$4:AZ$5,0)  +
SUMIFS(rng_out_awp_post_yr1,rng_out_sel_excl_yr_ind, [1]Tables!$HN$5, rng_out_GB_Medispan, N$1,rng_out_sel_G_ind,N$1,rng_out_sel_sp_ind,$D353,rng_out_sel_excl_ind,$E353)* _xlfn.XLOOKUP([1]Tables!$HN$5,'[1]RA Output'!$AY$4:$AY$5,'[1]RA Output'!AZ$4:AZ$5,0))/[1]Tables!$AT$4 +
SUMIFS(rng_out_awp_post_yr1, rng_out_GB_Medispan, N$1, rng_out_sel_G_ind, N$1, rng_out_sel_sp_ind, $D353, rng_out_sel_excl_ind,"N", rng_out_post_reb_ind_yr1, 0)/[1]Tables!$AT$4), 0)</f>
        <v>0</v>
      </c>
      <c r="AR353" s="134" cm="1">
        <f t="array" aca="1" ref="AR353" ca="1">IFERROR(IF($E$354="N", (SUMIFS(rng_out_awp_post_yr2,rng_out_sel_excl_yr_ind, "", rng_out_GB_Medispan, O$1,rng_out_sel_G_ind,O$1,rng_out_sel_sp_ind,$D353,rng_out_sel_excl_ind,$E353)+
SUMIFS(rng_out_awp_post_yr2,rng_out_sel_excl_yr_ind, [1]Tables!$HN$4, rng_out_GB_Medispan, O$1,rng_out_sel_G_ind,O$1,rng_out_sel_sp_ind,$D353,rng_out_sel_excl_ind,$E353)* _xlfn.XLOOKUP([1]Tables!$HN$4,'[1]RA Output'!$AY$4:$AY$5,'[1]RA Output'!BA$4:BA$5,0)  +
SUMIFS(rng_out_awp_post_yr2,rng_out_sel_excl_yr_ind, [1]Tables!$HN$5, rng_out_GB_Medispan, O$1,rng_out_sel_G_ind,O$1,rng_out_sel_sp_ind,$D353,rng_out_sel_excl_ind,$E353)* _xlfn.XLOOKUP([1]Tables!$HN$5,'[1]RA Output'!$AY$4:$AY$5,'[1]RA Output'!BA$4:BA$5,0))/[1]Tables!$AT$4,
(SUMIFS(rng_out_awp_post_yr2,rng_out_sel_excl_yr_ind, "", rng_out_GB_Medispan, O$1,rng_out_sel_G_ind,O$1,rng_out_sel_sp_ind,$D353,rng_out_sel_excl_ind,$E353)+
SUMIFS(rng_out_awp_post_yr2,rng_out_sel_excl_yr_ind, [1]Tables!$HN$4, rng_out_GB_Medispan, O$1,rng_out_sel_G_ind,O$1,rng_out_sel_sp_ind,$D353,rng_out_sel_excl_ind,$E353)* _xlfn.XLOOKUP([1]Tables!$HN$4,'[1]RA Output'!$AY$4:$AY$5,'[1]RA Output'!BA$4:BA$5,0)  +
SUMIFS(rng_out_awp_post_yr2,rng_out_sel_excl_yr_ind, [1]Tables!$HN$5, rng_out_GB_Medispan, O$1,rng_out_sel_G_ind,O$1,rng_out_sel_sp_ind,$D353,rng_out_sel_excl_ind,$E353)* _xlfn.XLOOKUP([1]Tables!$HN$5,'[1]RA Output'!$AY$4:$AY$5,'[1]RA Output'!BA$4:BA$5,0))/[1]Tables!$AT$4 +
SUMIFS(rng_out_awp_post_yr2, rng_out_GB_Medispan, O$1, rng_out_sel_G_ind, O$1, rng_out_sel_sp_ind, $D353, rng_out_sel_excl_ind,"N", rng_out_post_reb_ind_yr2, 0)/[1]Tables!$AT$4), 0)</f>
        <v>0</v>
      </c>
      <c r="AS353" s="134" cm="1">
        <f t="array" aca="1" ref="AS353" ca="1">IFERROR(IF($E$354="N", (SUMIFS(rng_out_awp_post_yr3,rng_out_sel_excl_yr_ind, "", rng_out_GB_Medispan, P$1,rng_out_sel_G_ind,P$1,rng_out_sel_sp_ind,$D353,rng_out_sel_excl_ind,$E353)+
SUMIFS(rng_out_awp_post_yr3,rng_out_sel_excl_yr_ind, [1]Tables!$HN$4, rng_out_GB_Medispan, P$1,rng_out_sel_G_ind,P$1,rng_out_sel_sp_ind,$D353,rng_out_sel_excl_ind,$E353)* _xlfn.XLOOKUP([1]Tables!$HN$4,'[1]RA Output'!$AY$4:$AY$5,'[1]RA Output'!BB$4:BB$5,0)  +
SUMIFS(rng_out_awp_post_yr3,rng_out_sel_excl_yr_ind, [1]Tables!$HN$5, rng_out_GB_Medispan, P$1,rng_out_sel_G_ind,P$1,rng_out_sel_sp_ind,$D353,rng_out_sel_excl_ind,$E353)* _xlfn.XLOOKUP([1]Tables!$HN$5,'[1]RA Output'!$AY$4:$AY$5,'[1]RA Output'!BB$4:BB$5,0))/[1]Tables!$AT$4,
(SUMIFS(rng_out_awp_post_yr3,rng_out_sel_excl_yr_ind, "", rng_out_GB_Medispan, P$1,rng_out_sel_G_ind,P$1,rng_out_sel_sp_ind,$D353,rng_out_sel_excl_ind,$E353)+
SUMIFS(rng_out_awp_post_yr3,rng_out_sel_excl_yr_ind, [1]Tables!$HN$4, rng_out_GB_Medispan, P$1,rng_out_sel_G_ind,P$1,rng_out_sel_sp_ind,$D353,rng_out_sel_excl_ind,$E353)* _xlfn.XLOOKUP([1]Tables!$HN$4,'[1]RA Output'!$AY$4:$AY$5,'[1]RA Output'!BB$4:BB$5,0)  +
SUMIFS(rng_out_awp_post_yr3,rng_out_sel_excl_yr_ind, [1]Tables!$HN$5, rng_out_GB_Medispan, P$1,rng_out_sel_G_ind,P$1,rng_out_sel_sp_ind,$D353,rng_out_sel_excl_ind,$E353)* _xlfn.XLOOKUP([1]Tables!$HN$5,'[1]RA Output'!$AY$4:$AY$5,'[1]RA Output'!BB$4:BB$5,0))/[1]Tables!$AT$4 +
SUMIFS(rng_out_awp_post_yr3, rng_out_GB_Medispan, P$1, rng_out_sel_G_ind, P$1, rng_out_sel_sp_ind, $D353, rng_out_sel_excl_ind,"N", rng_out_post_reb_ind_yr3, 0)/[1]Tables!$AT$4), 0)</f>
        <v>0</v>
      </c>
      <c r="AT353" s="134" cm="1">
        <f t="array" aca="1" ref="AT353" ca="1">IFERROR(IF($E$354="N", (SUMIFS(rng_out_awp_post_yr4,rng_out_sel_excl_yr_ind, "", rng_out_GB_Medispan, Q$1,rng_out_sel_G_ind,Q$1,rng_out_sel_sp_ind,$D353,rng_out_sel_excl_ind,$E353)+
SUMIFS(rng_out_awp_post_yr4,rng_out_sel_excl_yr_ind, [1]Tables!$HN$4, rng_out_GB_Medispan, Q$1,rng_out_sel_G_ind,Q$1,rng_out_sel_sp_ind,$D353,rng_out_sel_excl_ind,$E353)* _xlfn.XLOOKUP([1]Tables!$HN$4,'[1]RA Output'!$AY$4:$AY$5,'[1]RA Output'!BC$4:BC$5,0)  +
SUMIFS(rng_out_awp_post_yr4,rng_out_sel_excl_yr_ind, [1]Tables!$HN$5, rng_out_GB_Medispan, Q$1,rng_out_sel_G_ind,Q$1,rng_out_sel_sp_ind,$D353,rng_out_sel_excl_ind,$E353)* _xlfn.XLOOKUP([1]Tables!$HN$5,'[1]RA Output'!$AY$4:$AY$5,'[1]RA Output'!BC$4:BC$5,0))/[1]Tables!$AT$4,
(SUMIFS(rng_out_awp_post_yr4,rng_out_sel_excl_yr_ind, "", rng_out_GB_Medispan, Q$1,rng_out_sel_G_ind,Q$1,rng_out_sel_sp_ind,$D353,rng_out_sel_excl_ind,$E353)+
SUMIFS(rng_out_awp_post_yr4,rng_out_sel_excl_yr_ind, [1]Tables!$HN$4, rng_out_GB_Medispan, Q$1,rng_out_sel_G_ind,Q$1,rng_out_sel_sp_ind,$D353,rng_out_sel_excl_ind,$E353)* _xlfn.XLOOKUP([1]Tables!$HN$4,'[1]RA Output'!$AY$4:$AY$5,'[1]RA Output'!BC$4:BC$5,0)  +
SUMIFS(rng_out_awp_post_yr4,rng_out_sel_excl_yr_ind, [1]Tables!$HN$5, rng_out_GB_Medispan, Q$1,rng_out_sel_G_ind,Q$1,rng_out_sel_sp_ind,$D353,rng_out_sel_excl_ind,$E353)* _xlfn.XLOOKUP([1]Tables!$HN$5,'[1]RA Output'!$AY$4:$AY$5,'[1]RA Output'!BC$4:BC$5,0))/[1]Tables!$AT$4 +
SUMIFS(rng_out_awp_post_yr4, rng_out_GB_Medispan, Q$1, rng_out_sel_G_ind, Q$1, rng_out_sel_sp_ind, $D353, rng_out_sel_excl_ind,"N", rng_out_post_reb_ind_yr4, 0)/[1]Tables!$AT$4), 0)</f>
        <v>0</v>
      </c>
      <c r="AU353" s="135" cm="1">
        <f t="array" aca="1" ref="AU353" ca="1">IFERROR(IF($E$354="N", (SUMIFS(rng_out_awp_post_yr5,rng_out_sel_excl_yr_ind, "", rng_out_GB_Medispan, R$1,rng_out_sel_G_ind,R$1,rng_out_sel_sp_ind,$D353,rng_out_sel_excl_ind,$E353)+
SUMIFS(rng_out_awp_post_yr5,rng_out_sel_excl_yr_ind, [1]Tables!$HN$4, rng_out_GB_Medispan, R$1,rng_out_sel_G_ind,R$1,rng_out_sel_sp_ind,$D353,rng_out_sel_excl_ind,$E353)* _xlfn.XLOOKUP([1]Tables!$HN$4,'[1]RA Output'!$AY$4:$AY$5,'[1]RA Output'!BD$4:BD$5,0)  +
SUMIFS(rng_out_awp_post_yr5,rng_out_sel_excl_yr_ind, [1]Tables!$HN$5, rng_out_GB_Medispan, R$1,rng_out_sel_G_ind,R$1,rng_out_sel_sp_ind,$D353,rng_out_sel_excl_ind,$E353)* _xlfn.XLOOKUP([1]Tables!$HN$5,'[1]RA Output'!$AY$4:$AY$5,'[1]RA Output'!BD$4:BD$5,0))/[1]Tables!$AT$4,
(SUMIFS(rng_out_awp_post_yr5,rng_out_sel_excl_yr_ind, "", rng_out_GB_Medispan, R$1,rng_out_sel_G_ind,R$1,rng_out_sel_sp_ind,$D353,rng_out_sel_excl_ind,$E353)+
SUMIFS(rng_out_awp_post_yr5,rng_out_sel_excl_yr_ind, [1]Tables!$HN$4, rng_out_GB_Medispan, R$1,rng_out_sel_G_ind,R$1,rng_out_sel_sp_ind,$D353,rng_out_sel_excl_ind,$E353)* _xlfn.XLOOKUP([1]Tables!$HN$4,'[1]RA Output'!$AY$4:$AY$5,'[1]RA Output'!BD$4:BD$5,0)  +
SUMIFS(rng_out_awp_post_yr5,rng_out_sel_excl_yr_ind, [1]Tables!$HN$5, rng_out_GB_Medispan, R$1,rng_out_sel_G_ind,R$1,rng_out_sel_sp_ind,$D353,rng_out_sel_excl_ind,$E353)* _xlfn.XLOOKUP([1]Tables!$HN$5,'[1]RA Output'!$AY$4:$AY$5,'[1]RA Output'!BD$4:BD$5,0))/[1]Tables!$AT$4 +
SUMIFS(rng_out_awp_post_yr5, rng_out_GB_Medispan, R$1, rng_out_sel_G_ind, R$1, rng_out_sel_sp_ind, $D353, rng_out_sel_excl_ind,"N", rng_out_post_reb_ind_yr5, 0)/[1]Tables!$AT$4), 0)</f>
        <v>0</v>
      </c>
      <c r="AV353" s="136">
        <f t="shared" ca="1" si="373"/>
        <v>0</v>
      </c>
      <c r="AW353" s="137">
        <f t="shared" ca="1" si="373"/>
        <v>0</v>
      </c>
      <c r="AX353" s="137">
        <f t="shared" ca="1" si="373"/>
        <v>0</v>
      </c>
      <c r="AY353" s="137">
        <f t="shared" ca="1" si="373"/>
        <v>0</v>
      </c>
      <c r="AZ353" s="138">
        <f t="shared" ca="1" si="373"/>
        <v>0</v>
      </c>
      <c r="BG353" s="121" t="s">
        <v>17</v>
      </c>
      <c r="BH353" s="145">
        <f t="shared" ca="1" si="374"/>
        <v>0</v>
      </c>
      <c r="BI353" s="146">
        <f t="shared" ca="1" si="374"/>
        <v>0</v>
      </c>
      <c r="BJ353" s="146">
        <f t="shared" ca="1" si="374"/>
        <v>0</v>
      </c>
      <c r="BK353" s="146">
        <f t="shared" ca="1" si="374"/>
        <v>0</v>
      </c>
      <c r="BL353" s="147">
        <f t="shared" ca="1" si="374"/>
        <v>0</v>
      </c>
      <c r="BM353" s="142">
        <f t="shared" ca="1" si="375"/>
        <v>0</v>
      </c>
      <c r="BN353" s="143">
        <f t="shared" ca="1" si="375"/>
        <v>0</v>
      </c>
      <c r="BO353" s="143">
        <f t="shared" ca="1" si="375"/>
        <v>0</v>
      </c>
      <c r="BP353" s="143">
        <f t="shared" ca="1" si="375"/>
        <v>0</v>
      </c>
      <c r="BQ353" s="144">
        <f t="shared" ca="1" si="375"/>
        <v>0</v>
      </c>
      <c r="BX353" s="121" t="s">
        <v>17</v>
      </c>
      <c r="BY353" s="145">
        <f t="shared" ca="1" si="376"/>
        <v>0</v>
      </c>
      <c r="BZ353" s="146">
        <f t="shared" ca="1" si="376"/>
        <v>0</v>
      </c>
      <c r="CA353" s="146">
        <f t="shared" ca="1" si="376"/>
        <v>0</v>
      </c>
      <c r="CB353" s="146">
        <f t="shared" ca="1" si="376"/>
        <v>0</v>
      </c>
      <c r="CC353" s="147">
        <f t="shared" ca="1" si="376"/>
        <v>0</v>
      </c>
      <c r="CD353" s="142">
        <f t="shared" ca="1" si="377"/>
        <v>0</v>
      </c>
      <c r="CE353" s="143">
        <f t="shared" ca="1" si="377"/>
        <v>0</v>
      </c>
      <c r="CF353" s="143">
        <f t="shared" ca="1" si="377"/>
        <v>0</v>
      </c>
      <c r="CG353" s="143">
        <f t="shared" ca="1" si="377"/>
        <v>0</v>
      </c>
      <c r="CH353" s="144">
        <f t="shared" ca="1" si="377"/>
        <v>0</v>
      </c>
      <c r="CO353" s="252"/>
      <c r="CP353" s="252"/>
    </row>
    <row r="354" spans="2:111" ht="15" thickBot="1" x14ac:dyDescent="0.4">
      <c r="B354" s="106"/>
      <c r="C354" s="236"/>
      <c r="D354" s="236" t="s">
        <v>29</v>
      </c>
      <c r="E354" s="237" t="str">
        <f>IF(sel_excl_nonRebatable=1, "Y", "N")</f>
        <v>N</v>
      </c>
      <c r="H354" s="154" t="s">
        <v>18</v>
      </c>
      <c r="I354" s="155" t="e">
        <f ca="1">SUM(I350:I353)</f>
        <v>#VALUE!</v>
      </c>
      <c r="J354" s="155" t="e">
        <f ca="1">SUM(J350:J353)</f>
        <v>#VALUE!</v>
      </c>
      <c r="K354" s="155" t="e">
        <f ca="1">SUM(K350:K353)</f>
        <v>#VALUE!</v>
      </c>
      <c r="L354" s="155" t="e">
        <f ca="1">SUM(L350:L353)</f>
        <v>#VALUE!</v>
      </c>
      <c r="M354" s="156" t="e">
        <f ca="1">SUM(M350:M353)</f>
        <v>#VALUE!</v>
      </c>
      <c r="N354" s="157">
        <f t="shared" ca="1" si="371"/>
        <v>0</v>
      </c>
      <c r="O354" s="157">
        <f t="shared" ca="1" si="371"/>
        <v>0</v>
      </c>
      <c r="P354" s="157">
        <f t="shared" ca="1" si="371"/>
        <v>0</v>
      </c>
      <c r="Q354" s="157">
        <f t="shared" ca="1" si="371"/>
        <v>0</v>
      </c>
      <c r="R354" s="158">
        <f t="shared" ca="1" si="371"/>
        <v>0</v>
      </c>
      <c r="Y354" s="159" t="s">
        <v>18</v>
      </c>
      <c r="Z354" s="160">
        <f ca="1">SUM(Z350:Z353)</f>
        <v>0</v>
      </c>
      <c r="AA354" s="161">
        <f ca="1">SUM(AA350:AA353)</f>
        <v>0</v>
      </c>
      <c r="AB354" s="161">
        <f ca="1">SUM(AB350:AB353)</f>
        <v>0</v>
      </c>
      <c r="AC354" s="161">
        <f ca="1">SUM(AC350:AC353)</f>
        <v>0</v>
      </c>
      <c r="AD354" s="162">
        <f ca="1">SUM(AD350:AD353)</f>
        <v>0</v>
      </c>
      <c r="AE354" s="163">
        <f t="shared" ca="1" si="372"/>
        <v>0</v>
      </c>
      <c r="AF354" s="164">
        <f t="shared" ca="1" si="372"/>
        <v>0</v>
      </c>
      <c r="AG354" s="164">
        <f t="shared" ca="1" si="372"/>
        <v>0</v>
      </c>
      <c r="AH354" s="164">
        <f t="shared" ca="1" si="372"/>
        <v>0</v>
      </c>
      <c r="AI354" s="165">
        <f t="shared" ca="1" si="372"/>
        <v>0</v>
      </c>
      <c r="AP354" s="166" t="s">
        <v>18</v>
      </c>
      <c r="AQ354" s="167">
        <f ca="1">SUM(AQ350:AQ353)</f>
        <v>0</v>
      </c>
      <c r="AR354" s="134">
        <f ca="1">SUM(AR350:AR353)</f>
        <v>0</v>
      </c>
      <c r="AS354" s="134">
        <f ca="1">SUM(AS350:AS353)</f>
        <v>0</v>
      </c>
      <c r="AT354" s="134">
        <f ca="1">SUM(AT350:AT353)</f>
        <v>0</v>
      </c>
      <c r="AU354" s="135">
        <f ca="1">SUM(AU350:AU353)</f>
        <v>0</v>
      </c>
      <c r="AV354" s="168">
        <f t="shared" ca="1" si="373"/>
        <v>0</v>
      </c>
      <c r="AW354" s="169">
        <f t="shared" ca="1" si="373"/>
        <v>0</v>
      </c>
      <c r="AX354" s="169">
        <f t="shared" ca="1" si="373"/>
        <v>0</v>
      </c>
      <c r="AY354" s="169">
        <f t="shared" ca="1" si="373"/>
        <v>0</v>
      </c>
      <c r="AZ354" s="170">
        <f t="shared" ca="1" si="373"/>
        <v>0</v>
      </c>
      <c r="BG354" s="171" t="s">
        <v>18</v>
      </c>
      <c r="BH354" s="172">
        <f ca="1">SUM(BH350:BH353)</f>
        <v>0</v>
      </c>
      <c r="BI354" s="173">
        <f ca="1">SUM(BI350:BI353)</f>
        <v>0</v>
      </c>
      <c r="BJ354" s="173">
        <f ca="1">SUM(BJ350:BJ353)</f>
        <v>0</v>
      </c>
      <c r="BK354" s="173">
        <f ca="1">SUM(BK350:BK353)</f>
        <v>0</v>
      </c>
      <c r="BL354" s="174">
        <f ca="1">SUM(BL350:BL353)</f>
        <v>0</v>
      </c>
      <c r="BM354" s="175">
        <f t="shared" ca="1" si="375"/>
        <v>0</v>
      </c>
      <c r="BN354" s="176">
        <f t="shared" ca="1" si="375"/>
        <v>0</v>
      </c>
      <c r="BO354" s="176">
        <f t="shared" ca="1" si="375"/>
        <v>0</v>
      </c>
      <c r="BP354" s="176">
        <f t="shared" ca="1" si="375"/>
        <v>0</v>
      </c>
      <c r="BQ354" s="177">
        <f t="shared" ca="1" si="375"/>
        <v>0</v>
      </c>
      <c r="BX354" s="171" t="s">
        <v>18</v>
      </c>
      <c r="BY354" s="172">
        <f ca="1">SUM(BY350:BY353)</f>
        <v>0</v>
      </c>
      <c r="BZ354" s="173">
        <f ca="1">SUM(BZ350:BZ353)</f>
        <v>0</v>
      </c>
      <c r="CA354" s="173">
        <f ca="1">SUM(CA350:CA353)</f>
        <v>0</v>
      </c>
      <c r="CB354" s="173">
        <f ca="1">SUM(CB350:CB353)</f>
        <v>0</v>
      </c>
      <c r="CC354" s="174">
        <f ca="1">SUM(CC350:CC353)</f>
        <v>0</v>
      </c>
      <c r="CD354" s="175">
        <f ca="1">IFERROR(BY354/CD280, 0)</f>
        <v>0</v>
      </c>
      <c r="CE354" s="176">
        <f ca="1">IFERROR(BZ354/CE280, 0)</f>
        <v>0</v>
      </c>
      <c r="CF354" s="176">
        <f ca="1">IFERROR(CA354/CF280, 0)</f>
        <v>0</v>
      </c>
      <c r="CG354" s="176">
        <f ca="1">IFERROR(CB354/CG280, 0)</f>
        <v>0</v>
      </c>
      <c r="CH354" s="177">
        <f ca="1">IFERROR(CC354/CH280, 0)</f>
        <v>0</v>
      </c>
      <c r="CO354" s="252"/>
      <c r="CP354" s="252"/>
    </row>
    <row r="355" spans="2:111" ht="15" thickBot="1" x14ac:dyDescent="0.4">
      <c r="CO355" s="252"/>
      <c r="CP355" s="252"/>
    </row>
    <row r="356" spans="2:111" ht="15" thickBot="1" x14ac:dyDescent="0.4">
      <c r="I356" s="21" t="s">
        <v>75</v>
      </c>
      <c r="J356" s="22"/>
      <c r="K356" s="22"/>
      <c r="L356" s="22"/>
      <c r="M356" s="22"/>
      <c r="N356" s="22"/>
      <c r="O356" s="22"/>
      <c r="P356" s="22"/>
      <c r="Q356" s="22"/>
      <c r="R356" s="23"/>
      <c r="Z356" s="24" t="s">
        <v>75</v>
      </c>
      <c r="AA356" s="25"/>
      <c r="AB356" s="25"/>
      <c r="AC356" s="25"/>
      <c r="AD356" s="25"/>
      <c r="AE356" s="25"/>
      <c r="AF356" s="25"/>
      <c r="AG356" s="25"/>
      <c r="AH356" s="25"/>
      <c r="AI356" s="26"/>
      <c r="AQ356" s="354" t="s">
        <v>75</v>
      </c>
      <c r="AR356" s="29"/>
      <c r="AS356" s="29"/>
      <c r="AT356" s="29"/>
      <c r="AU356" s="29"/>
      <c r="AV356" s="29"/>
      <c r="AW356" s="29"/>
      <c r="AX356" s="29"/>
      <c r="AY356" s="29"/>
      <c r="AZ356" s="355"/>
      <c r="BH356" s="31" t="s">
        <v>75</v>
      </c>
      <c r="BI356" s="32"/>
      <c r="BJ356" s="32"/>
      <c r="BK356" s="32"/>
      <c r="BL356" s="32"/>
      <c r="BM356" s="32"/>
      <c r="BN356" s="32"/>
      <c r="BO356" s="32"/>
      <c r="BP356" s="32"/>
      <c r="BQ356" s="33"/>
      <c r="BY356" s="34" t="s">
        <v>75</v>
      </c>
      <c r="BZ356" s="35"/>
      <c r="CA356" s="35"/>
      <c r="CB356" s="35"/>
      <c r="CC356" s="35"/>
      <c r="CD356" s="35"/>
      <c r="CE356" s="35"/>
      <c r="CF356" s="35"/>
      <c r="CG356" s="35"/>
      <c r="CH356" s="36"/>
      <c r="CO356" s="252"/>
      <c r="CP356" s="252"/>
    </row>
    <row r="357" spans="2:111" ht="15" thickBot="1" x14ac:dyDescent="0.4">
      <c r="H357" s="37"/>
      <c r="I357" s="302" t="s">
        <v>68</v>
      </c>
      <c r="J357" s="303"/>
      <c r="K357" s="303"/>
      <c r="L357" s="303"/>
      <c r="M357" s="304"/>
      <c r="N357" s="302" t="s">
        <v>69</v>
      </c>
      <c r="O357" s="303"/>
      <c r="P357" s="303"/>
      <c r="Q357" s="303"/>
      <c r="R357" s="304"/>
      <c r="Z357" s="41" t="s">
        <v>68</v>
      </c>
      <c r="AA357" s="42"/>
      <c r="AB357" s="42"/>
      <c r="AC357" s="42"/>
      <c r="AD357" s="43"/>
      <c r="AE357" s="41" t="s">
        <v>69</v>
      </c>
      <c r="AF357" s="42"/>
      <c r="AG357" s="42"/>
      <c r="AH357" s="42"/>
      <c r="AI357" s="43"/>
      <c r="AQ357" s="44" t="s">
        <v>68</v>
      </c>
      <c r="AR357" s="45"/>
      <c r="AS357" s="45"/>
      <c r="AT357" s="45"/>
      <c r="AU357" s="46"/>
      <c r="AV357" s="44" t="s">
        <v>69</v>
      </c>
      <c r="AW357" s="45"/>
      <c r="AX357" s="45"/>
      <c r="AY357" s="45"/>
      <c r="AZ357" s="46"/>
      <c r="BH357" s="305" t="s">
        <v>68</v>
      </c>
      <c r="BI357" s="306"/>
      <c r="BJ357" s="306"/>
      <c r="BK357" s="306"/>
      <c r="BL357" s="307"/>
      <c r="BM357" s="305" t="s">
        <v>69</v>
      </c>
      <c r="BN357" s="306"/>
      <c r="BO357" s="306"/>
      <c r="BP357" s="306"/>
      <c r="BQ357" s="307"/>
      <c r="BY357" s="305" t="s">
        <v>68</v>
      </c>
      <c r="BZ357" s="306"/>
      <c r="CA357" s="306"/>
      <c r="CB357" s="306"/>
      <c r="CC357" s="307"/>
      <c r="CD357" s="305" t="s">
        <v>69</v>
      </c>
      <c r="CE357" s="306"/>
      <c r="CF357" s="306"/>
      <c r="CG357" s="306"/>
      <c r="CH357" s="307"/>
      <c r="CO357" s="252"/>
      <c r="CP357" s="252"/>
    </row>
    <row r="358" spans="2:111" ht="15" thickBot="1" x14ac:dyDescent="0.4">
      <c r="H358" s="55"/>
      <c r="I358" s="56" t="str">
        <f>[1]Tables!$AA$4</f>
        <v>07/27 - 06/28</v>
      </c>
      <c r="J358" s="55" t="str">
        <f>[1]Tables!$AA$5</f>
        <v>07/28 - 06/29</v>
      </c>
      <c r="K358" s="55" t="str">
        <f>[1]Tables!$AA$6</f>
        <v>07/29 - 06/30</v>
      </c>
      <c r="L358" s="55" t="str">
        <f>[1]Tables!$AA$7</f>
        <v>07/30 - 06/31</v>
      </c>
      <c r="M358" s="57" t="str">
        <f>[1]Tables!$AA$8</f>
        <v>07/31 - 06/32</v>
      </c>
      <c r="N358" s="56" t="str">
        <f>[1]Tables!$AA$4</f>
        <v>07/27 - 06/28</v>
      </c>
      <c r="O358" s="55" t="str">
        <f>[1]Tables!$AA$5</f>
        <v>07/28 - 06/29</v>
      </c>
      <c r="P358" s="55" t="str">
        <f>[1]Tables!$AA$6</f>
        <v>07/29 - 06/30</v>
      </c>
      <c r="Q358" s="55" t="str">
        <f>[1]Tables!$AA$7</f>
        <v>07/30 - 06/31</v>
      </c>
      <c r="R358" s="57" t="str">
        <f>[1]Tables!$AA$8</f>
        <v>07/31 - 06/32</v>
      </c>
      <c r="Y358" s="58"/>
      <c r="Z358" s="59" t="str">
        <f>[1]Tables!$AA$4</f>
        <v>07/27 - 06/28</v>
      </c>
      <c r="AA358" s="60" t="str">
        <f>[1]Tables!$AA$5</f>
        <v>07/28 - 06/29</v>
      </c>
      <c r="AB358" s="60" t="str">
        <f>[1]Tables!$AA$6</f>
        <v>07/29 - 06/30</v>
      </c>
      <c r="AC358" s="60" t="str">
        <f>[1]Tables!$AA$7</f>
        <v>07/30 - 06/31</v>
      </c>
      <c r="AD358" s="61" t="str">
        <f>[1]Tables!$AA$8</f>
        <v>07/31 - 06/32</v>
      </c>
      <c r="AE358" s="59" t="str">
        <f>[1]Tables!$AA$4</f>
        <v>07/27 - 06/28</v>
      </c>
      <c r="AF358" s="60" t="str">
        <f>[1]Tables!$AA$5</f>
        <v>07/28 - 06/29</v>
      </c>
      <c r="AG358" s="60" t="str">
        <f>[1]Tables!$AA$6</f>
        <v>07/29 - 06/30</v>
      </c>
      <c r="AH358" s="60" t="str">
        <f>[1]Tables!$AA$7</f>
        <v>07/30 - 06/31</v>
      </c>
      <c r="AI358" s="61" t="str">
        <f>[1]Tables!$AA$8</f>
        <v>07/31 - 06/32</v>
      </c>
      <c r="AP358" s="58"/>
      <c r="AQ358" s="62" t="str">
        <f>[1]Tables!$AA$4</f>
        <v>07/27 - 06/28</v>
      </c>
      <c r="AR358" s="63" t="str">
        <f>[1]Tables!$AA$5</f>
        <v>07/28 - 06/29</v>
      </c>
      <c r="AS358" s="63" t="str">
        <f>[1]Tables!$AA$6</f>
        <v>07/29 - 06/30</v>
      </c>
      <c r="AT358" s="63" t="str">
        <f>[1]Tables!$AA$7</f>
        <v>07/30 - 06/31</v>
      </c>
      <c r="AU358" s="64" t="str">
        <f>[1]Tables!$AA$8</f>
        <v>07/31 - 06/32</v>
      </c>
      <c r="AV358" s="62" t="str">
        <f>[1]Tables!$AA$4</f>
        <v>07/27 - 06/28</v>
      </c>
      <c r="AW358" s="63" t="str">
        <f>[1]Tables!$AA$5</f>
        <v>07/28 - 06/29</v>
      </c>
      <c r="AX358" s="63" t="str">
        <f>[1]Tables!$AA$6</f>
        <v>07/29 - 06/30</v>
      </c>
      <c r="AY358" s="63" t="str">
        <f>[1]Tables!$AA$7</f>
        <v>07/30 - 06/31</v>
      </c>
      <c r="AZ358" s="64" t="str">
        <f>[1]Tables!$AA$8</f>
        <v>07/31 - 06/32</v>
      </c>
      <c r="BG358" s="58"/>
      <c r="BH358" s="65" t="str">
        <f>[1]Tables!$AA$4</f>
        <v>07/27 - 06/28</v>
      </c>
      <c r="BI358" s="66" t="str">
        <f>[1]Tables!$AA$5</f>
        <v>07/28 - 06/29</v>
      </c>
      <c r="BJ358" s="66" t="str">
        <f>[1]Tables!$AA$6</f>
        <v>07/29 - 06/30</v>
      </c>
      <c r="BK358" s="66" t="str">
        <f>[1]Tables!$AA$7</f>
        <v>07/30 - 06/31</v>
      </c>
      <c r="BL358" s="67" t="str">
        <f>[1]Tables!$AA$8</f>
        <v>07/31 - 06/32</v>
      </c>
      <c r="BM358" s="65" t="str">
        <f>[1]Tables!$AA$4</f>
        <v>07/27 - 06/28</v>
      </c>
      <c r="BN358" s="66" t="str">
        <f>[1]Tables!$AA$5</f>
        <v>07/28 - 06/29</v>
      </c>
      <c r="BO358" s="66" t="str">
        <f>[1]Tables!$AA$6</f>
        <v>07/29 - 06/30</v>
      </c>
      <c r="BP358" s="66" t="str">
        <f>[1]Tables!$AA$7</f>
        <v>07/30 - 06/31</v>
      </c>
      <c r="BQ358" s="67" t="str">
        <f>[1]Tables!$AA$8</f>
        <v>07/31 - 06/32</v>
      </c>
      <c r="BX358" s="58"/>
      <c r="BY358" s="65" t="str">
        <f>[1]Tables!$AA$4</f>
        <v>07/27 - 06/28</v>
      </c>
      <c r="BZ358" s="66" t="str">
        <f>[1]Tables!$AA$5</f>
        <v>07/28 - 06/29</v>
      </c>
      <c r="CA358" s="66" t="str">
        <f>[1]Tables!$AA$6</f>
        <v>07/29 - 06/30</v>
      </c>
      <c r="CB358" s="66" t="str">
        <f>[1]Tables!$AA$7</f>
        <v>07/30 - 06/31</v>
      </c>
      <c r="CC358" s="67" t="str">
        <f>[1]Tables!$AA$8</f>
        <v>07/31 - 06/32</v>
      </c>
      <c r="CD358" s="65" t="str">
        <f>[1]Tables!$AA$4</f>
        <v>07/27 - 06/28</v>
      </c>
      <c r="CE358" s="66" t="str">
        <f>[1]Tables!$AA$5</f>
        <v>07/28 - 06/29</v>
      </c>
      <c r="CF358" s="66" t="str">
        <f>[1]Tables!$AA$6</f>
        <v>07/29 - 06/30</v>
      </c>
      <c r="CG358" s="66" t="str">
        <f>[1]Tables!$AA$7</f>
        <v>07/30 - 06/31</v>
      </c>
      <c r="CH358" s="67" t="str">
        <f>[1]Tables!$AA$8</f>
        <v>07/31 - 06/32</v>
      </c>
      <c r="CO358" s="252"/>
      <c r="CP358" s="252"/>
    </row>
    <row r="359" spans="2:111" x14ac:dyDescent="0.35">
      <c r="B359" s="68" t="s">
        <v>11</v>
      </c>
      <c r="C359" s="69">
        <v>30</v>
      </c>
      <c r="D359" s="69" t="s">
        <v>12</v>
      </c>
      <c r="E359" s="70" t="s">
        <v>13</v>
      </c>
      <c r="F359" s="106"/>
      <c r="H359" s="71" t="s">
        <v>14</v>
      </c>
      <c r="I359" s="72" t="e" cm="1">
        <f t="array" aca="1" ref="I359" ca="1">SUMIFS(rng_out_awp_pre_yr1,rng_out_sel_excl_yr_ind, "", rng_out_GB_Medispan, N$1,rng_out_sel_G_ind,I$1,rng_out_mail_ind,$B359,rng_out_ds,$C359,rng_out_sel_sp_ind,$D359,rng_out_sel_excl_ind,$E359)+
SUMIFS(rng_out_awp_pre_yr1,rng_out_sel_excl_yr_ind, [1]Tables!$HN$4, rng_out_GB_Medispan, N$1,rng_out_sel_G_ind,I$1,rng_out_mail_ind,$B359,rng_out_ds,$C359,rng_out_sel_sp_ind,$D359,rng_out_sel_excl_ind,$E359)* _xlfn.XLOOKUP([1]Tables!$HN$4,'[1]RA Output'!$AY$4:$AY$5,'[1]RA Output'!AZ$4:AZ$5,0)  +
SUMIFS(rng_out_awp_pre_yr1,rng_out_sel_excl_yr_ind, [1]Tables!$HN$5, rng_out_GB_Medispan, N$1,rng_out_sel_G_ind,I$1,rng_out_mail_ind,$B359,rng_out_ds,$C359,rng_out_sel_sp_ind,$D359,rng_out_sel_excl_ind,$E359)* _xlfn.XLOOKUP([1]Tables!$HN$5,'[1]RA Output'!$AY$4:$AY$5,'[1]RA Output'!AZ$4:AZ$5,0)+
IF($E$363="N", 0,
SUMIFS(rng_out_awp_pre_yr1, rng_out_GB_Medispan, N$1, rng_out_sel_G_ind, I$1, rng_out_mail_ind, $B359, rng_out_ds, $C359, rng_out_sel_sp_ind, $D359, rng_out_sel_excl_ind,"N", rng_out_post_reb_ind_yr1, 0))</f>
        <v>#VALUE!</v>
      </c>
      <c r="J359" s="5" t="e" cm="1">
        <f t="array" aca="1" ref="J359" ca="1">SUMIFS(rng_out_awp_pre_yr2,rng_out_sel_excl_yr_ind, "", rng_out_GB_Medispan, O$1,rng_out_sel_G_ind,J$1,rng_out_mail_ind,$B359,rng_out_ds,$C359,rng_out_sel_sp_ind,$D359,rng_out_sel_excl_ind,$E359)+
SUMIFS(rng_out_awp_pre_yr2,rng_out_sel_excl_yr_ind, [1]Tables!$HN$4, rng_out_GB_Medispan, O$1,rng_out_sel_G_ind,J$1,rng_out_mail_ind,$B359,rng_out_ds,$C359,rng_out_sel_sp_ind,$D359,rng_out_sel_excl_ind,$E359)* _xlfn.XLOOKUP([1]Tables!$HN$4,'[1]RA Output'!$AY$4:$AY$5,'[1]RA Output'!BA$4:BA$5,0)  +
SUMIFS(rng_out_awp_pre_yr2,rng_out_sel_excl_yr_ind, [1]Tables!$HN$5, rng_out_GB_Medispan, O$1,rng_out_sel_G_ind,J$1,rng_out_mail_ind,$B359,rng_out_ds,$C359,rng_out_sel_sp_ind,$D359,rng_out_sel_excl_ind,$E359)* _xlfn.XLOOKUP([1]Tables!$HN$5,'[1]RA Output'!$AY$4:$AY$5,'[1]RA Output'!BA$4:BA$5,0)+
IF($E$363="N", 0,
SUMIFS(rng_out_awp_pre_yr2, rng_out_GB_Medispan, O$1, rng_out_sel_G_ind, J$1, rng_out_mail_ind, $B359, rng_out_ds, $C359, rng_out_sel_sp_ind, $D359, rng_out_sel_excl_ind,"N", rng_out_post_reb_ind_yr2, 0))</f>
        <v>#VALUE!</v>
      </c>
      <c r="K359" s="5" t="e" cm="1">
        <f t="array" aca="1" ref="K359" ca="1">SUMIFS(rng_out_awp_pre_yr3,rng_out_sel_excl_yr_ind, "", rng_out_GB_Medispan, P$1,rng_out_sel_G_ind,K$1,rng_out_mail_ind,$B359,rng_out_ds,$C359,rng_out_sel_sp_ind,$D359,rng_out_sel_excl_ind,$E359)+
SUMIFS(rng_out_awp_pre_yr3,rng_out_sel_excl_yr_ind, [1]Tables!$HN$4, rng_out_GB_Medispan, P$1,rng_out_sel_G_ind,K$1,rng_out_mail_ind,$B359,rng_out_ds,$C359,rng_out_sel_sp_ind,$D359,rng_out_sel_excl_ind,$E359)* _xlfn.XLOOKUP([1]Tables!$HN$4,'[1]RA Output'!$AY$4:$AY$5,'[1]RA Output'!BB$4:BB$5,0)  +
SUMIFS(rng_out_awp_pre_yr3,rng_out_sel_excl_yr_ind, [1]Tables!$HN$5, rng_out_GB_Medispan, P$1,rng_out_sel_G_ind,K$1,rng_out_mail_ind,$B359,rng_out_ds,$C359,rng_out_sel_sp_ind,$D359,rng_out_sel_excl_ind,$E359)* _xlfn.XLOOKUP([1]Tables!$HN$5,'[1]RA Output'!$AY$4:$AY$5,'[1]RA Output'!BB$4:BB$5,0)+
IF($E$363="N", 0,
SUMIFS(rng_out_awp_pre_yr3, rng_out_GB_Medispan, P$1, rng_out_sel_G_ind, K$1, rng_out_mail_ind, $B359, rng_out_ds, $C359, rng_out_sel_sp_ind, $D359, rng_out_sel_excl_ind,"N", rng_out_post_reb_ind_yr3, 0))</f>
        <v>#VALUE!</v>
      </c>
      <c r="L359" s="5" t="e" cm="1">
        <f t="array" aca="1" ref="L359" ca="1">SUMIFS(rng_out_awp_pre_yr4,rng_out_sel_excl_yr_ind, "", rng_out_GB_Medispan, Q$1,rng_out_sel_G_ind,L$1,rng_out_mail_ind,$B359,rng_out_ds,$C359,rng_out_sel_sp_ind,$D359,rng_out_sel_excl_ind,$E359)+
SUMIFS(rng_out_awp_pre_yr4,rng_out_sel_excl_yr_ind, [1]Tables!$HN$4, rng_out_GB_Medispan, Q$1,rng_out_sel_G_ind,L$1,rng_out_mail_ind,$B359,rng_out_ds,$C359,rng_out_sel_sp_ind,$D359,rng_out_sel_excl_ind,$E359)* _xlfn.XLOOKUP([1]Tables!$HN$4,'[1]RA Output'!$AY$4:$AY$5,'[1]RA Output'!BC$4:BC$5,0)  +
SUMIFS(rng_out_awp_pre_yr4,rng_out_sel_excl_yr_ind, [1]Tables!$HN$5, rng_out_GB_Medispan, Q$1,rng_out_sel_G_ind,L$1,rng_out_mail_ind,$B359,rng_out_ds,$C359,rng_out_sel_sp_ind,$D359,rng_out_sel_excl_ind,$E359)* _xlfn.XLOOKUP([1]Tables!$HN$5,'[1]RA Output'!$AY$4:$AY$5,'[1]RA Output'!BC$4:BC$5,0)+
IF($E$363="N", 0,
SUMIFS(rng_out_awp_pre_yr4, rng_out_GB_Medispan, Q$1, rng_out_sel_G_ind, L$1, rng_out_mail_ind, $B359, rng_out_ds, $C359, rng_out_sel_sp_ind, $D359, rng_out_sel_excl_ind,"N", rng_out_post_reb_ind_yr4, 0))</f>
        <v>#VALUE!</v>
      </c>
      <c r="M359" s="73" t="e" cm="1">
        <f t="array" aca="1" ref="M359" ca="1">SUMIFS(rng_out_awp_pre_yr5,rng_out_sel_excl_yr_ind, "", rng_out_GB_Medispan, R$1,rng_out_sel_G_ind,M$1,rng_out_mail_ind,$B359,rng_out_ds,$C359,rng_out_sel_sp_ind,$D359,rng_out_sel_excl_ind,$E359)+
SUMIFS(rng_out_awp_pre_yr5,rng_out_sel_excl_yr_ind, [1]Tables!$HN$4, rng_out_GB_Medispan, R$1,rng_out_sel_G_ind,M$1,rng_out_mail_ind,$B359,rng_out_ds,$C359,rng_out_sel_sp_ind,$D359,rng_out_sel_excl_ind,$E359)* _xlfn.XLOOKUP([1]Tables!$HN$4,'[1]RA Output'!$AY$4:$AY$5,'[1]RA Output'!BD$4:BD$5,0)  +
SUMIFS(rng_out_awp_pre_yr5,rng_out_sel_excl_yr_ind, [1]Tables!$HN$5, rng_out_GB_Medispan, R$1,rng_out_sel_G_ind,M$1,rng_out_mail_ind,$B359,rng_out_ds,$C359,rng_out_sel_sp_ind,$D359,rng_out_sel_excl_ind,$E359)* _xlfn.XLOOKUP([1]Tables!$HN$5,'[1]RA Output'!$AY$4:$AY$5,'[1]RA Output'!BD$4:BD$5,0)+
IF($E$363="N", 0,
SUMIFS(rng_out_awp_pre_yr5, rng_out_GB_Medispan, R$1, rng_out_sel_G_ind, M$1, rng_out_mail_ind, $B359, rng_out_ds, $C359, rng_out_sel_sp_ind, $D359, rng_out_sel_excl_ind,"N", rng_out_post_reb_ind_yr5, 0))</f>
        <v>#VALUE!</v>
      </c>
      <c r="N359" s="74">
        <f t="shared" ref="N359:R363" ca="1" si="378">IFERROR(I359/N285, 0)</f>
        <v>0</v>
      </c>
      <c r="O359" s="75">
        <f t="shared" ca="1" si="378"/>
        <v>0</v>
      </c>
      <c r="P359" s="75">
        <f t="shared" ca="1" si="378"/>
        <v>0</v>
      </c>
      <c r="Q359" s="75">
        <f t="shared" ca="1" si="378"/>
        <v>0</v>
      </c>
      <c r="R359" s="76">
        <f t="shared" ca="1" si="378"/>
        <v>0</v>
      </c>
      <c r="Y359" s="77" t="s">
        <v>14</v>
      </c>
      <c r="Z359" s="78">
        <f ca="1">IFERROR(I359/[1]Tables!$AT$4, 0)</f>
        <v>0</v>
      </c>
      <c r="AA359" s="79">
        <f ca="1">IFERROR(J359/[1]Tables!$AT$4, 0)</f>
        <v>0</v>
      </c>
      <c r="AB359" s="79">
        <f ca="1">IFERROR(K359/[1]Tables!$AT$4, 0)</f>
        <v>0</v>
      </c>
      <c r="AC359" s="79">
        <f ca="1">IFERROR(L359/[1]Tables!$AT$4, 0)</f>
        <v>0</v>
      </c>
      <c r="AD359" s="80">
        <f ca="1">IFERROR(M359/[1]Tables!$AT$4, 0)</f>
        <v>0</v>
      </c>
      <c r="AE359" s="81">
        <f t="shared" ref="AE359:AI363" ca="1" si="379">IFERROR(Z359/AE285, 0)</f>
        <v>0</v>
      </c>
      <c r="AF359" s="75">
        <f t="shared" ca="1" si="379"/>
        <v>0</v>
      </c>
      <c r="AG359" s="75">
        <f t="shared" ca="1" si="379"/>
        <v>0</v>
      </c>
      <c r="AH359" s="75">
        <f t="shared" ca="1" si="379"/>
        <v>0</v>
      </c>
      <c r="AI359" s="82">
        <f t="shared" ca="1" si="379"/>
        <v>0</v>
      </c>
      <c r="AP359" s="83" t="s">
        <v>14</v>
      </c>
      <c r="AQ359" s="356" cm="1">
        <f t="array" aca="1" ref="AQ359" ca="1">IFERROR(IF($E$354="N", (SUMIFS(rng_out_awp_post_yr1,rng_out_sel_excl_yr_ind, "", rng_out_GB_Medispan, N$1,rng_out_sel_G_ind,I$1,rng_out_mail_ind,$B359,rng_out_ds,$C359,rng_out_sel_sp_ind,$D359,rng_out_sel_excl_ind,$E359)+
SUMIFS(rng_out_awp_post_yr1,rng_out_sel_excl_yr_ind, [1]Tables!$HN$4, rng_out_GB_Medispan, N$1,rng_out_sel_G_ind,I$1,rng_out_mail_ind,$B359,rng_out_ds,$C359,rng_out_sel_sp_ind,$D359,rng_out_sel_excl_ind,$E359)* _xlfn.XLOOKUP([1]Tables!$HN$4,'[1]RA Output'!$AY$4:$AY$5,'[1]RA Output'!AZ$4:AZ$5,0)  +
SUMIFS(rng_out_awp_post_yr1,rng_out_sel_excl_yr_ind, [1]Tables!$HN$5, rng_out_GB_Medispan, N$1,rng_out_sel_G_ind,I$1,rng_out_mail_ind,$B359,rng_out_ds,$C359,rng_out_sel_sp_ind,$D359,rng_out_sel_excl_ind,$E359)* _xlfn.XLOOKUP([1]Tables!$HN$5,'[1]RA Output'!$AY$4:$AY$5,'[1]RA Output'!AZ$4:AZ$5,0))/[1]Tables!$AT$4,
(SUMIFS(rng_out_awp_post_yr1,rng_out_sel_excl_yr_ind, "", rng_out_GB_Medispan, N$1,rng_out_sel_G_ind,I$1,rng_out_mail_ind,$B359,rng_out_ds,$C359,rng_out_sel_sp_ind,$D359,rng_out_sel_excl_ind,$E359)+
SUMIFS(rng_out_awp_post_yr1,rng_out_sel_excl_yr_ind, [1]Tables!$HN$4, rng_out_GB_Medispan, N$1,rng_out_sel_G_ind,I$1,rng_out_mail_ind,$B359,rng_out_ds,$C359,rng_out_sel_sp_ind,$D359,rng_out_sel_excl_ind,$E359)* _xlfn.XLOOKUP([1]Tables!$HN$4,'[1]RA Output'!$AY$4:$AY$5,'[1]RA Output'!AZ$4:AZ$5,0)  +
SUMIFS(rng_out_awp_post_yr1,rng_out_sel_excl_yr_ind, [1]Tables!$HN$5, rng_out_GB_Medispan, N$1,rng_out_sel_G_ind,I$1,rng_out_mail_ind,$B359,rng_out_ds,$C359,rng_out_sel_sp_ind,$D359,rng_out_sel_excl_ind,$E359)* _xlfn.XLOOKUP([1]Tables!$HN$5,'[1]RA Output'!$AY$4:$AY$5,'[1]RA Output'!AZ$4:AZ$5,0))/[1]Tables!$AT$4 +
SUMIFS(rng_out_awp_post_yr1, rng_out_GB_Medispan, N$1,rng_out_sel_G_ind,I$1, rng_out_mail_ind, $B359, rng_out_ds, $C359, rng_out_sel_sp_ind, $D359, rng_out_sel_excl_ind,"N", rng_out_post_reb_ind_yr1, 0)/[1]Tables!$AT$4), 0)</f>
        <v>0</v>
      </c>
      <c r="AR359" s="5" cm="1">
        <f t="array" aca="1" ref="AR359" ca="1">IFERROR(IF($E$354="N", (SUMIFS(rng_out_awp_post_yr2,rng_out_sel_excl_yr_ind, "", rng_out_GB_Medispan, O$1,rng_out_sel_G_ind,J$1,rng_out_mail_ind,$B359,rng_out_ds,$C359,rng_out_sel_sp_ind,$D359,rng_out_sel_excl_ind,$E359)+
SUMIFS(rng_out_awp_post_yr2,rng_out_sel_excl_yr_ind, [1]Tables!$HN$4, rng_out_GB_Medispan, O$1,rng_out_sel_G_ind,J$1,rng_out_mail_ind,$B359,rng_out_ds,$C359,rng_out_sel_sp_ind,$D359,rng_out_sel_excl_ind,$E359)* _xlfn.XLOOKUP([1]Tables!$HN$4,'[1]RA Output'!$AY$4:$AY$5,'[1]RA Output'!BA$4:BA$5,0)  +
SUMIFS(rng_out_awp_post_yr2,rng_out_sel_excl_yr_ind, [1]Tables!$HN$5, rng_out_GB_Medispan, O$1,rng_out_sel_G_ind,J$1,rng_out_mail_ind,$B359,rng_out_ds,$C359,rng_out_sel_sp_ind,$D359,rng_out_sel_excl_ind,$E359)* _xlfn.XLOOKUP([1]Tables!$HN$5,'[1]RA Output'!$AY$4:$AY$5,'[1]RA Output'!BA$4:BA$5,0))/[1]Tables!$AT$4,
(SUMIFS(rng_out_awp_post_yr2,rng_out_sel_excl_yr_ind, "", rng_out_GB_Medispan, O$1,rng_out_sel_G_ind,J$1,rng_out_mail_ind,$B359,rng_out_ds,$C359,rng_out_sel_sp_ind,$D359,rng_out_sel_excl_ind,$E359)+
SUMIFS(rng_out_awp_post_yr2,rng_out_sel_excl_yr_ind, [1]Tables!$HN$4, rng_out_GB_Medispan, O$1,rng_out_sel_G_ind,J$1,rng_out_mail_ind,$B359,rng_out_ds,$C359,rng_out_sel_sp_ind,$D359,rng_out_sel_excl_ind,$E359)* _xlfn.XLOOKUP([1]Tables!$HN$4,'[1]RA Output'!$AY$4:$AY$5,'[1]RA Output'!BA$4:BA$5,0)  +
SUMIFS(rng_out_awp_post_yr2,rng_out_sel_excl_yr_ind, [1]Tables!$HN$5, rng_out_GB_Medispan, O$1,rng_out_sel_G_ind,J$1,rng_out_mail_ind,$B359,rng_out_ds,$C359,rng_out_sel_sp_ind,$D359,rng_out_sel_excl_ind,$E359)* _xlfn.XLOOKUP([1]Tables!$HN$5,'[1]RA Output'!$AY$4:$AY$5,'[1]RA Output'!BA$4:BA$5,0))/[1]Tables!$AT$4 +
SUMIFS(rng_out_awp_post_yr2, rng_out_GB_Medispan, O$1,rng_out_sel_G_ind,J$1, rng_out_mail_ind, $B359, rng_out_ds, $C359, rng_out_sel_sp_ind, $D359, rng_out_sel_excl_ind,"N", rng_out_post_reb_ind_yr2, 0)/[1]Tables!$AT$4), 0)</f>
        <v>0</v>
      </c>
      <c r="AS359" s="5" cm="1">
        <f t="array" aca="1" ref="AS359" ca="1">IFERROR(IF($E$354="N", (SUMIFS(rng_out_awp_post_yr3,rng_out_sel_excl_yr_ind, "", rng_out_GB_Medispan, P$1,rng_out_sel_G_ind,K$1,rng_out_mail_ind,$B359,rng_out_ds,$C359,rng_out_sel_sp_ind,$D359,rng_out_sel_excl_ind,$E359)+
SUMIFS(rng_out_awp_post_yr3,rng_out_sel_excl_yr_ind, [1]Tables!$HN$4, rng_out_GB_Medispan, P$1,rng_out_sel_G_ind,K$1,rng_out_mail_ind,$B359,rng_out_ds,$C359,rng_out_sel_sp_ind,$D359,rng_out_sel_excl_ind,$E359)* _xlfn.XLOOKUP([1]Tables!$HN$4,'[1]RA Output'!$AY$4:$AY$5,'[1]RA Output'!BB$4:BB$5,0)  +
SUMIFS(rng_out_awp_post_yr3,rng_out_sel_excl_yr_ind, [1]Tables!$HN$5, rng_out_GB_Medispan, P$1,rng_out_sel_G_ind,K$1,rng_out_mail_ind,$B359,rng_out_ds,$C359,rng_out_sel_sp_ind,$D359,rng_out_sel_excl_ind,$E359)* _xlfn.XLOOKUP([1]Tables!$HN$5,'[1]RA Output'!$AY$4:$AY$5,'[1]RA Output'!BB$4:BB$5,0))/[1]Tables!$AT$4,
(SUMIFS(rng_out_awp_post_yr3,rng_out_sel_excl_yr_ind, "", rng_out_GB_Medispan, P$1,rng_out_sel_G_ind,K$1,rng_out_mail_ind,$B359,rng_out_ds,$C359,rng_out_sel_sp_ind,$D359,rng_out_sel_excl_ind,$E359)+
SUMIFS(rng_out_awp_post_yr3,rng_out_sel_excl_yr_ind, [1]Tables!$HN$4, rng_out_GB_Medispan, P$1,rng_out_sel_G_ind,K$1,rng_out_mail_ind,$B359,rng_out_ds,$C359,rng_out_sel_sp_ind,$D359,rng_out_sel_excl_ind,$E359)* _xlfn.XLOOKUP([1]Tables!$HN$4,'[1]RA Output'!$AY$4:$AY$5,'[1]RA Output'!BB$4:BB$5,0)  +
SUMIFS(rng_out_awp_post_yr3,rng_out_sel_excl_yr_ind, [1]Tables!$HN$5, rng_out_GB_Medispan, P$1,rng_out_sel_G_ind,K$1,rng_out_mail_ind,$B359,rng_out_ds,$C359,rng_out_sel_sp_ind,$D359,rng_out_sel_excl_ind,$E359)* _xlfn.XLOOKUP([1]Tables!$HN$5,'[1]RA Output'!$AY$4:$AY$5,'[1]RA Output'!BB$4:BB$5,0))/[1]Tables!$AT$4 +
SUMIFS(rng_out_awp_post_yr3, rng_out_GB_Medispan, P$1,rng_out_sel_G_ind,K$1, rng_out_mail_ind, $B359, rng_out_ds, $C359, rng_out_sel_sp_ind, $D359, rng_out_sel_excl_ind,"N", rng_out_post_reb_ind_yr3, 0)/[1]Tables!$AT$4), 0)</f>
        <v>0</v>
      </c>
      <c r="AT359" s="5" cm="1">
        <f t="array" aca="1" ref="AT359" ca="1">IFERROR(IF($E$354="N", (SUMIFS(rng_out_awp_post_yr4,rng_out_sel_excl_yr_ind, "", rng_out_GB_Medispan, Q$1,rng_out_sel_G_ind,L$1,rng_out_mail_ind,$B359,rng_out_ds,$C359,rng_out_sel_sp_ind,$D359,rng_out_sel_excl_ind,$E359)+
SUMIFS(rng_out_awp_post_yr4,rng_out_sel_excl_yr_ind, [1]Tables!$HN$4, rng_out_GB_Medispan, Q$1,rng_out_sel_G_ind,L$1,rng_out_mail_ind,$B359,rng_out_ds,$C359,rng_out_sel_sp_ind,$D359,rng_out_sel_excl_ind,$E359)* _xlfn.XLOOKUP([1]Tables!$HN$4,'[1]RA Output'!$AY$4:$AY$5,'[1]RA Output'!BC$4:BC$5,0)  +
SUMIFS(rng_out_awp_post_yr4,rng_out_sel_excl_yr_ind, [1]Tables!$HN$5, rng_out_GB_Medispan, Q$1,rng_out_sel_G_ind,L$1,rng_out_mail_ind,$B359,rng_out_ds,$C359,rng_out_sel_sp_ind,$D359,rng_out_sel_excl_ind,$E359)* _xlfn.XLOOKUP([1]Tables!$HN$5,'[1]RA Output'!$AY$4:$AY$5,'[1]RA Output'!BC$4:BC$5,0))/[1]Tables!$AT$4,
(SUMIFS(rng_out_awp_post_yr4,rng_out_sel_excl_yr_ind, "", rng_out_GB_Medispan, Q$1,rng_out_sel_G_ind,L$1,rng_out_mail_ind,$B359,rng_out_ds,$C359,rng_out_sel_sp_ind,$D359,rng_out_sel_excl_ind,$E359)+
SUMIFS(rng_out_awp_post_yr4,rng_out_sel_excl_yr_ind, [1]Tables!$HN$4, rng_out_GB_Medispan, Q$1,rng_out_sel_G_ind,L$1,rng_out_mail_ind,$B359,rng_out_ds,$C359,rng_out_sel_sp_ind,$D359,rng_out_sel_excl_ind,$E359)* _xlfn.XLOOKUP([1]Tables!$HN$4,'[1]RA Output'!$AY$4:$AY$5,'[1]RA Output'!BC$4:BC$5,0)  +
SUMIFS(rng_out_awp_post_yr4,rng_out_sel_excl_yr_ind, [1]Tables!$HN$5, rng_out_GB_Medispan, Q$1,rng_out_sel_G_ind,L$1,rng_out_mail_ind,$B359,rng_out_ds,$C359,rng_out_sel_sp_ind,$D359,rng_out_sel_excl_ind,$E359)* _xlfn.XLOOKUP([1]Tables!$HN$5,'[1]RA Output'!$AY$4:$AY$5,'[1]RA Output'!BC$4:BC$5,0))/[1]Tables!$AT$4 +
SUMIFS(rng_out_awp_post_yr4, rng_out_GB_Medispan, Q$1,rng_out_sel_G_ind,L$1, rng_out_mail_ind, $B359, rng_out_ds, $C359, rng_out_sel_sp_ind, $D359, rng_out_sel_excl_ind,"N", rng_out_post_reb_ind_yr4, 0)/[1]Tables!$AT$4), 0)</f>
        <v>0</v>
      </c>
      <c r="AU359" s="85" cm="1">
        <f t="array" aca="1" ref="AU359" ca="1">IFERROR(IF($E$354="N", (SUMIFS(rng_out_awp_post_yr5,rng_out_sel_excl_yr_ind, "", rng_out_GB_Medispan, R$1,rng_out_sel_G_ind,M$1,rng_out_mail_ind,$B359,rng_out_ds,$C359,rng_out_sel_sp_ind,$D359,rng_out_sel_excl_ind,$E359)+
SUMIFS(rng_out_awp_post_yr5,rng_out_sel_excl_yr_ind, [1]Tables!$HN$4, rng_out_GB_Medispan, R$1,rng_out_sel_G_ind,M$1,rng_out_mail_ind,$B359,rng_out_ds,$C359,rng_out_sel_sp_ind,$D359,rng_out_sel_excl_ind,$E359)* _xlfn.XLOOKUP([1]Tables!$HN$4,'[1]RA Output'!$AY$4:$AY$5,'[1]RA Output'!BD$4:BD$5,0)  +
SUMIFS(rng_out_awp_post_yr5,rng_out_sel_excl_yr_ind, [1]Tables!$HN$5, rng_out_GB_Medispan, R$1,rng_out_sel_G_ind,M$1,rng_out_mail_ind,$B359,rng_out_ds,$C359,rng_out_sel_sp_ind,$D359,rng_out_sel_excl_ind,$E359)* _xlfn.XLOOKUP([1]Tables!$HN$5,'[1]RA Output'!$AY$4:$AY$5,'[1]RA Output'!BD$4:BD$5,0))/[1]Tables!$AT$4,
(SUMIFS(rng_out_awp_post_yr5,rng_out_sel_excl_yr_ind, "", rng_out_GB_Medispan, R$1,rng_out_sel_G_ind,M$1,rng_out_mail_ind,$B359,rng_out_ds,$C359,rng_out_sel_sp_ind,$D359,rng_out_sel_excl_ind,$E359)+
SUMIFS(rng_out_awp_post_yr5,rng_out_sel_excl_yr_ind, [1]Tables!$HN$4, rng_out_GB_Medispan, R$1,rng_out_sel_G_ind,M$1,rng_out_mail_ind,$B359,rng_out_ds,$C359,rng_out_sel_sp_ind,$D359,rng_out_sel_excl_ind,$E359)* _xlfn.XLOOKUP([1]Tables!$HN$4,'[1]RA Output'!$AY$4:$AY$5,'[1]RA Output'!BD$4:BD$5,0)  +
SUMIFS(rng_out_awp_post_yr5,rng_out_sel_excl_yr_ind, [1]Tables!$HN$5, rng_out_GB_Medispan, R$1,rng_out_sel_G_ind,M$1,rng_out_mail_ind,$B359,rng_out_ds,$C359,rng_out_sel_sp_ind,$D359,rng_out_sel_excl_ind,$E359)* _xlfn.XLOOKUP([1]Tables!$HN$5,'[1]RA Output'!$AY$4:$AY$5,'[1]RA Output'!BD$4:BD$5,0))/[1]Tables!$AT$4 +
SUMIFS(rng_out_awp_post_yr5, rng_out_GB_Medispan, R$1,rng_out_sel_G_ind,M$1, rng_out_mail_ind, $B359, rng_out_ds, $C359, rng_out_sel_sp_ind, $D359, rng_out_sel_excl_ind,"N", rng_out_post_reb_ind_yr5, 0)/[1]Tables!$AT$4), 0)</f>
        <v>0</v>
      </c>
      <c r="AV359" s="86">
        <f t="shared" ref="AV359:AZ363" ca="1" si="380">IFERROR(AQ359/AV285, 0)</f>
        <v>0</v>
      </c>
      <c r="AW359" s="75">
        <f t="shared" ca="1" si="380"/>
        <v>0</v>
      </c>
      <c r="AX359" s="75">
        <f t="shared" ca="1" si="380"/>
        <v>0</v>
      </c>
      <c r="AY359" s="75">
        <f t="shared" ca="1" si="380"/>
        <v>0</v>
      </c>
      <c r="AZ359" s="87">
        <f t="shared" ca="1" si="380"/>
        <v>0</v>
      </c>
      <c r="BG359" s="88" t="s">
        <v>14</v>
      </c>
      <c r="BH359" s="97">
        <f t="shared" ref="BH359:BL362" ca="1" si="381">AQ359</f>
        <v>0</v>
      </c>
      <c r="BI359" s="79">
        <f t="shared" ca="1" si="381"/>
        <v>0</v>
      </c>
      <c r="BJ359" s="79">
        <f t="shared" ca="1" si="381"/>
        <v>0</v>
      </c>
      <c r="BK359" s="79">
        <f t="shared" ca="1" si="381"/>
        <v>0</v>
      </c>
      <c r="BL359" s="98">
        <f t="shared" ca="1" si="381"/>
        <v>0</v>
      </c>
      <c r="BM359" s="92">
        <f t="shared" ref="BM359:BQ363" ca="1" si="382">IFERROR(BH359/BM285, 0)</f>
        <v>0</v>
      </c>
      <c r="BN359" s="75">
        <f t="shared" ca="1" si="382"/>
        <v>0</v>
      </c>
      <c r="BO359" s="75">
        <f t="shared" ca="1" si="382"/>
        <v>0</v>
      </c>
      <c r="BP359" s="75">
        <f t="shared" ca="1" si="382"/>
        <v>0</v>
      </c>
      <c r="BQ359" s="93">
        <f t="shared" ca="1" si="382"/>
        <v>0</v>
      </c>
      <c r="BX359" s="88" t="s">
        <v>14</v>
      </c>
      <c r="BY359" s="97">
        <f t="shared" ref="BY359:CC362" ca="1" si="383">IFERROR(CD359*CD285, 0)</f>
        <v>0</v>
      </c>
      <c r="BZ359" s="79">
        <f t="shared" ca="1" si="383"/>
        <v>0</v>
      </c>
      <c r="CA359" s="79">
        <f t="shared" ca="1" si="383"/>
        <v>0</v>
      </c>
      <c r="CB359" s="79">
        <f t="shared" ca="1" si="383"/>
        <v>0</v>
      </c>
      <c r="CC359" s="98">
        <f t="shared" ca="1" si="383"/>
        <v>0</v>
      </c>
      <c r="CD359" s="92">
        <f t="shared" ref="CD359:CH362" ca="1" si="384">IFERROR((BM359 * (CD285 - DC294 * (CD285/(CD276+CD285))) + DC368 * (CD285/(CD276+CD285)))/CD285, 0)</f>
        <v>0</v>
      </c>
      <c r="CE359" s="75">
        <f t="shared" ca="1" si="384"/>
        <v>0</v>
      </c>
      <c r="CF359" s="75">
        <f t="shared" ca="1" si="384"/>
        <v>0</v>
      </c>
      <c r="CG359" s="75">
        <f t="shared" ca="1" si="384"/>
        <v>0</v>
      </c>
      <c r="CH359" s="93">
        <f t="shared" ca="1" si="384"/>
        <v>0</v>
      </c>
      <c r="CO359" s="252"/>
      <c r="CP359" s="252"/>
    </row>
    <row r="360" spans="2:111" x14ac:dyDescent="0.35">
      <c r="B360" s="105" t="s">
        <v>11</v>
      </c>
      <c r="C360" s="106">
        <v>90</v>
      </c>
      <c r="D360" s="106" t="s">
        <v>12</v>
      </c>
      <c r="E360" s="107" t="s">
        <v>13</v>
      </c>
      <c r="F360" s="106"/>
      <c r="H360" s="108" t="s">
        <v>15</v>
      </c>
      <c r="I360" s="72" t="e" cm="1">
        <f t="array" aca="1" ref="I360" ca="1">SUMIFS(rng_out_awp_pre_yr1,rng_out_sel_excl_yr_ind, "", rng_out_GB_Medispan, N$1,rng_out_sel_G_ind,I$1,rng_out_mail_ind,$B360,rng_out_ds,$C360,rng_out_sel_sp_ind,$D360,rng_out_sel_excl_ind,$E360)+
SUMIFS(rng_out_awp_pre_yr1,rng_out_sel_excl_yr_ind, [1]Tables!$HN$4, rng_out_GB_Medispan, N$1,rng_out_sel_G_ind,I$1,rng_out_mail_ind,$B360,rng_out_ds,$C360,rng_out_sel_sp_ind,$D360,rng_out_sel_excl_ind,$E360)* _xlfn.XLOOKUP([1]Tables!$HN$4,'[1]RA Output'!$AY$4:$AY$5,'[1]RA Output'!AZ$4:AZ$5,0)  +
SUMIFS(rng_out_awp_pre_yr1,rng_out_sel_excl_yr_ind, [1]Tables!$HN$5, rng_out_GB_Medispan, N$1,rng_out_sel_G_ind,I$1,rng_out_mail_ind,$B360,rng_out_ds,$C360,rng_out_sel_sp_ind,$D360,rng_out_sel_excl_ind,$E360)* _xlfn.XLOOKUP([1]Tables!$HN$5,'[1]RA Output'!$AY$4:$AY$5,'[1]RA Output'!AZ$4:AZ$5,0)+
IF($E$363="N", 0,
SUMIFS(rng_out_awp_pre_yr1, rng_out_GB_Medispan, N$1, rng_out_sel_G_ind, I$1, rng_out_mail_ind, $B360, rng_out_ds, $C360, rng_out_sel_sp_ind, $D360, rng_out_sel_excl_ind,"N", rng_out_post_reb_ind_yr1, 0))</f>
        <v>#VALUE!</v>
      </c>
      <c r="J360" s="5" t="e" cm="1">
        <f t="array" aca="1" ref="J360" ca="1">SUMIFS(rng_out_awp_pre_yr2,rng_out_sel_excl_yr_ind, "", rng_out_GB_Medispan, O$1,rng_out_sel_G_ind,J$1,rng_out_mail_ind,$B360,rng_out_ds,$C360,rng_out_sel_sp_ind,$D360,rng_out_sel_excl_ind,$E360)+
SUMIFS(rng_out_awp_pre_yr2,rng_out_sel_excl_yr_ind, [1]Tables!$HN$4, rng_out_GB_Medispan, O$1,rng_out_sel_G_ind,J$1,rng_out_mail_ind,$B360,rng_out_ds,$C360,rng_out_sel_sp_ind,$D360,rng_out_sel_excl_ind,$E360)* _xlfn.XLOOKUP([1]Tables!$HN$4,'[1]RA Output'!$AY$4:$AY$5,'[1]RA Output'!BA$4:BA$5,0)  +
SUMIFS(rng_out_awp_pre_yr2,rng_out_sel_excl_yr_ind, [1]Tables!$HN$5, rng_out_GB_Medispan, O$1,rng_out_sel_G_ind,J$1,rng_out_mail_ind,$B360,rng_out_ds,$C360,rng_out_sel_sp_ind,$D360,rng_out_sel_excl_ind,$E360)* _xlfn.XLOOKUP([1]Tables!$HN$5,'[1]RA Output'!$AY$4:$AY$5,'[1]RA Output'!BA$4:BA$5,0)+
IF($E$363="N", 0,
SUMIFS(rng_out_awp_pre_yr2, rng_out_GB_Medispan, O$1, rng_out_sel_G_ind, J$1, rng_out_mail_ind, $B360, rng_out_ds, $C360, rng_out_sel_sp_ind, $D360, rng_out_sel_excl_ind,"N", rng_out_post_reb_ind_yr2, 0))</f>
        <v>#VALUE!</v>
      </c>
      <c r="K360" s="5" t="e" cm="1">
        <f t="array" aca="1" ref="K360" ca="1">SUMIFS(rng_out_awp_pre_yr3,rng_out_sel_excl_yr_ind, "", rng_out_GB_Medispan, P$1,rng_out_sel_G_ind,K$1,rng_out_mail_ind,$B360,rng_out_ds,$C360,rng_out_sel_sp_ind,$D360,rng_out_sel_excl_ind,$E360)+
SUMIFS(rng_out_awp_pre_yr3,rng_out_sel_excl_yr_ind, [1]Tables!$HN$4, rng_out_GB_Medispan, P$1,rng_out_sel_G_ind,K$1,rng_out_mail_ind,$B360,rng_out_ds,$C360,rng_out_sel_sp_ind,$D360,rng_out_sel_excl_ind,$E360)* _xlfn.XLOOKUP([1]Tables!$HN$4,'[1]RA Output'!$AY$4:$AY$5,'[1]RA Output'!BB$4:BB$5,0)  +
SUMIFS(rng_out_awp_pre_yr3,rng_out_sel_excl_yr_ind, [1]Tables!$HN$5, rng_out_GB_Medispan, P$1,rng_out_sel_G_ind,K$1,rng_out_mail_ind,$B360,rng_out_ds,$C360,rng_out_sel_sp_ind,$D360,rng_out_sel_excl_ind,$E360)* _xlfn.XLOOKUP([1]Tables!$HN$5,'[1]RA Output'!$AY$4:$AY$5,'[1]RA Output'!BB$4:BB$5,0)+
IF($E$363="N", 0,
SUMIFS(rng_out_awp_pre_yr3, rng_out_GB_Medispan, P$1, rng_out_sel_G_ind, K$1, rng_out_mail_ind, $B360, rng_out_ds, $C360, rng_out_sel_sp_ind, $D360, rng_out_sel_excl_ind,"N", rng_out_post_reb_ind_yr3, 0))</f>
        <v>#VALUE!</v>
      </c>
      <c r="L360" s="5" t="e" cm="1">
        <f t="array" aca="1" ref="L360" ca="1">SUMIFS(rng_out_awp_pre_yr4,rng_out_sel_excl_yr_ind, "", rng_out_GB_Medispan, Q$1,rng_out_sel_G_ind,L$1,rng_out_mail_ind,$B360,rng_out_ds,$C360,rng_out_sel_sp_ind,$D360,rng_out_sel_excl_ind,$E360)+
SUMIFS(rng_out_awp_pre_yr4,rng_out_sel_excl_yr_ind, [1]Tables!$HN$4, rng_out_GB_Medispan, Q$1,rng_out_sel_G_ind,L$1,rng_out_mail_ind,$B360,rng_out_ds,$C360,rng_out_sel_sp_ind,$D360,rng_out_sel_excl_ind,$E360)* _xlfn.XLOOKUP([1]Tables!$HN$4,'[1]RA Output'!$AY$4:$AY$5,'[1]RA Output'!BC$4:BC$5,0)  +
SUMIFS(rng_out_awp_pre_yr4,rng_out_sel_excl_yr_ind, [1]Tables!$HN$5, rng_out_GB_Medispan, Q$1,rng_out_sel_G_ind,L$1,rng_out_mail_ind,$B360,rng_out_ds,$C360,rng_out_sel_sp_ind,$D360,rng_out_sel_excl_ind,$E360)* _xlfn.XLOOKUP([1]Tables!$HN$5,'[1]RA Output'!$AY$4:$AY$5,'[1]RA Output'!BC$4:BC$5,0)+
IF($E$363="N", 0,
SUMIFS(rng_out_awp_pre_yr4, rng_out_GB_Medispan, Q$1, rng_out_sel_G_ind, L$1, rng_out_mail_ind, $B360, rng_out_ds, $C360, rng_out_sel_sp_ind, $D360, rng_out_sel_excl_ind,"N", rng_out_post_reb_ind_yr4, 0))</f>
        <v>#VALUE!</v>
      </c>
      <c r="M360" s="73" t="e" cm="1">
        <f t="array" aca="1" ref="M360" ca="1">SUMIFS(rng_out_awp_pre_yr5,rng_out_sel_excl_yr_ind, "", rng_out_GB_Medispan, R$1,rng_out_sel_G_ind,M$1,rng_out_mail_ind,$B360,rng_out_ds,$C360,rng_out_sel_sp_ind,$D360,rng_out_sel_excl_ind,$E360)+
SUMIFS(rng_out_awp_pre_yr5,rng_out_sel_excl_yr_ind, [1]Tables!$HN$4, rng_out_GB_Medispan, R$1,rng_out_sel_G_ind,M$1,rng_out_mail_ind,$B360,rng_out_ds,$C360,rng_out_sel_sp_ind,$D360,rng_out_sel_excl_ind,$E360)* _xlfn.XLOOKUP([1]Tables!$HN$4,'[1]RA Output'!$AY$4:$AY$5,'[1]RA Output'!BD$4:BD$5,0)  +
SUMIFS(rng_out_awp_pre_yr5,rng_out_sel_excl_yr_ind, [1]Tables!$HN$5, rng_out_GB_Medispan, R$1,rng_out_sel_G_ind,M$1,rng_out_mail_ind,$B360,rng_out_ds,$C360,rng_out_sel_sp_ind,$D360,rng_out_sel_excl_ind,$E360)* _xlfn.XLOOKUP([1]Tables!$HN$5,'[1]RA Output'!$AY$4:$AY$5,'[1]RA Output'!BD$4:BD$5,0)+
IF($E$363="N", 0,
SUMIFS(rng_out_awp_pre_yr5, rng_out_GB_Medispan, R$1, rng_out_sel_G_ind, M$1, rng_out_mail_ind, $B360, rng_out_ds, $C360, rng_out_sel_sp_ind, $D360, rng_out_sel_excl_ind,"N", rng_out_post_reb_ind_yr5, 0))</f>
        <v>#VALUE!</v>
      </c>
      <c r="N360" s="74">
        <f t="shared" ca="1" si="378"/>
        <v>0</v>
      </c>
      <c r="O360" s="75">
        <f t="shared" ca="1" si="378"/>
        <v>0</v>
      </c>
      <c r="P360" s="75">
        <f t="shared" ca="1" si="378"/>
        <v>0</v>
      </c>
      <c r="Q360" s="75">
        <f t="shared" ca="1" si="378"/>
        <v>0</v>
      </c>
      <c r="R360" s="76">
        <f t="shared" ca="1" si="378"/>
        <v>0</v>
      </c>
      <c r="Y360" s="109" t="s">
        <v>15</v>
      </c>
      <c r="Z360" s="78">
        <f ca="1">IFERROR(I360/[1]Tables!$AT$4, 0)</f>
        <v>0</v>
      </c>
      <c r="AA360" s="79">
        <f ca="1">IFERROR(J360/[1]Tables!$AT$4, 0)</f>
        <v>0</v>
      </c>
      <c r="AB360" s="79">
        <f ca="1">IFERROR(K360/[1]Tables!$AT$4, 0)</f>
        <v>0</v>
      </c>
      <c r="AC360" s="79">
        <f ca="1">IFERROR(L360/[1]Tables!$AT$4, 0)</f>
        <v>0</v>
      </c>
      <c r="AD360" s="80">
        <f ca="1">IFERROR(M360/[1]Tables!$AT$4, 0)</f>
        <v>0</v>
      </c>
      <c r="AE360" s="81">
        <f t="shared" ca="1" si="379"/>
        <v>0</v>
      </c>
      <c r="AF360" s="75">
        <f t="shared" ca="1" si="379"/>
        <v>0</v>
      </c>
      <c r="AG360" s="75">
        <f t="shared" ca="1" si="379"/>
        <v>0</v>
      </c>
      <c r="AH360" s="75">
        <f t="shared" ca="1" si="379"/>
        <v>0</v>
      </c>
      <c r="AI360" s="82">
        <f t="shared" ca="1" si="379"/>
        <v>0</v>
      </c>
      <c r="AP360" s="110" t="s">
        <v>15</v>
      </c>
      <c r="AQ360" s="356" cm="1">
        <f t="array" aca="1" ref="AQ360" ca="1">IFERROR(IF($E$354="N", (SUMIFS(rng_out_awp_post_yr1,rng_out_sel_excl_yr_ind, "", rng_out_GB_Medispan, N$1,rng_out_sel_G_ind,I$1,rng_out_mail_ind,$B360,rng_out_ds,$C360,rng_out_sel_sp_ind,$D360,rng_out_sel_excl_ind,$E360)+
SUMIFS(rng_out_awp_post_yr1,rng_out_sel_excl_yr_ind, [1]Tables!$HN$4, rng_out_GB_Medispan, N$1,rng_out_sel_G_ind,I$1,rng_out_mail_ind,$B360,rng_out_ds,$C360,rng_out_sel_sp_ind,$D360,rng_out_sel_excl_ind,$E360)* _xlfn.XLOOKUP([1]Tables!$HN$4,'[1]RA Output'!$AY$4:$AY$5,'[1]RA Output'!AZ$4:AZ$5,0)  +
SUMIFS(rng_out_awp_post_yr1,rng_out_sel_excl_yr_ind, [1]Tables!$HN$5, rng_out_GB_Medispan, N$1,rng_out_sel_G_ind,I$1,rng_out_mail_ind,$B360,rng_out_ds,$C360,rng_out_sel_sp_ind,$D360,rng_out_sel_excl_ind,$E360)* _xlfn.XLOOKUP([1]Tables!$HN$5,'[1]RA Output'!$AY$4:$AY$5,'[1]RA Output'!AZ$4:AZ$5,0))/[1]Tables!$AT$4,
(SUMIFS(rng_out_awp_post_yr1,rng_out_sel_excl_yr_ind, "", rng_out_GB_Medispan, N$1,rng_out_sel_G_ind,I$1,rng_out_mail_ind,$B360,rng_out_ds,$C360,rng_out_sel_sp_ind,$D360,rng_out_sel_excl_ind,$E360)+
SUMIFS(rng_out_awp_post_yr1,rng_out_sel_excl_yr_ind, [1]Tables!$HN$4, rng_out_GB_Medispan, N$1,rng_out_sel_G_ind,I$1,rng_out_mail_ind,$B360,rng_out_ds,$C360,rng_out_sel_sp_ind,$D360,rng_out_sel_excl_ind,$E360)* _xlfn.XLOOKUP([1]Tables!$HN$4,'[1]RA Output'!$AY$4:$AY$5,'[1]RA Output'!AZ$4:AZ$5,0)  +
SUMIFS(rng_out_awp_post_yr1,rng_out_sel_excl_yr_ind, [1]Tables!$HN$5, rng_out_GB_Medispan, N$1,rng_out_sel_G_ind,I$1,rng_out_mail_ind,$B360,rng_out_ds,$C360,rng_out_sel_sp_ind,$D360,rng_out_sel_excl_ind,$E360)* _xlfn.XLOOKUP([1]Tables!$HN$5,'[1]RA Output'!$AY$4:$AY$5,'[1]RA Output'!AZ$4:AZ$5,0))/[1]Tables!$AT$4 +
SUMIFS(rng_out_awp_post_yr1, rng_out_GB_Medispan, N$1,rng_out_sel_G_ind,I$1, rng_out_mail_ind, $B360, rng_out_ds, $C360, rng_out_sel_sp_ind, $D360, rng_out_sel_excl_ind,"N", rng_out_post_reb_ind_yr1, 0)/[1]Tables!$AT$4), 0)</f>
        <v>0</v>
      </c>
      <c r="AR360" s="5" cm="1">
        <f t="array" aca="1" ref="AR360" ca="1">IFERROR(IF($E$354="N", (SUMIFS(rng_out_awp_post_yr2,rng_out_sel_excl_yr_ind, "", rng_out_GB_Medispan, O$1,rng_out_sel_G_ind,J$1,rng_out_mail_ind,$B360,rng_out_ds,$C360,rng_out_sel_sp_ind,$D360,rng_out_sel_excl_ind,$E360)+
SUMIFS(rng_out_awp_post_yr2,rng_out_sel_excl_yr_ind, [1]Tables!$HN$4, rng_out_GB_Medispan, O$1,rng_out_sel_G_ind,J$1,rng_out_mail_ind,$B360,rng_out_ds,$C360,rng_out_sel_sp_ind,$D360,rng_out_sel_excl_ind,$E360)* _xlfn.XLOOKUP([1]Tables!$HN$4,'[1]RA Output'!$AY$4:$AY$5,'[1]RA Output'!BA$4:BA$5,0)  +
SUMIFS(rng_out_awp_post_yr2,rng_out_sel_excl_yr_ind, [1]Tables!$HN$5, rng_out_GB_Medispan, O$1,rng_out_sel_G_ind,J$1,rng_out_mail_ind,$B360,rng_out_ds,$C360,rng_out_sel_sp_ind,$D360,rng_out_sel_excl_ind,$E360)* _xlfn.XLOOKUP([1]Tables!$HN$5,'[1]RA Output'!$AY$4:$AY$5,'[1]RA Output'!BA$4:BA$5,0))/[1]Tables!$AT$4,
(SUMIFS(rng_out_awp_post_yr2,rng_out_sel_excl_yr_ind, "", rng_out_GB_Medispan, O$1,rng_out_sel_G_ind,J$1,rng_out_mail_ind,$B360,rng_out_ds,$C360,rng_out_sel_sp_ind,$D360,rng_out_sel_excl_ind,$E360)+
SUMIFS(rng_out_awp_post_yr2,rng_out_sel_excl_yr_ind, [1]Tables!$HN$4, rng_out_GB_Medispan, O$1,rng_out_sel_G_ind,J$1,rng_out_mail_ind,$B360,rng_out_ds,$C360,rng_out_sel_sp_ind,$D360,rng_out_sel_excl_ind,$E360)* _xlfn.XLOOKUP([1]Tables!$HN$4,'[1]RA Output'!$AY$4:$AY$5,'[1]RA Output'!BA$4:BA$5,0)  +
SUMIFS(rng_out_awp_post_yr2,rng_out_sel_excl_yr_ind, [1]Tables!$HN$5, rng_out_GB_Medispan, O$1,rng_out_sel_G_ind,J$1,rng_out_mail_ind,$B360,rng_out_ds,$C360,rng_out_sel_sp_ind,$D360,rng_out_sel_excl_ind,$E360)* _xlfn.XLOOKUP([1]Tables!$HN$5,'[1]RA Output'!$AY$4:$AY$5,'[1]RA Output'!BA$4:BA$5,0))/[1]Tables!$AT$4 +
SUMIFS(rng_out_awp_post_yr2, rng_out_GB_Medispan, O$1,rng_out_sel_G_ind,J$1, rng_out_mail_ind, $B360, rng_out_ds, $C360, rng_out_sel_sp_ind, $D360, rng_out_sel_excl_ind,"N", rng_out_post_reb_ind_yr2, 0)/[1]Tables!$AT$4), 0)</f>
        <v>0</v>
      </c>
      <c r="AS360" s="5" cm="1">
        <f t="array" aca="1" ref="AS360" ca="1">IFERROR(IF($E$354="N", (SUMIFS(rng_out_awp_post_yr3,rng_out_sel_excl_yr_ind, "", rng_out_GB_Medispan, P$1,rng_out_sel_G_ind,K$1,rng_out_mail_ind,$B360,rng_out_ds,$C360,rng_out_sel_sp_ind,$D360,rng_out_sel_excl_ind,$E360)+
SUMIFS(rng_out_awp_post_yr3,rng_out_sel_excl_yr_ind, [1]Tables!$HN$4, rng_out_GB_Medispan, P$1,rng_out_sel_G_ind,K$1,rng_out_mail_ind,$B360,rng_out_ds,$C360,rng_out_sel_sp_ind,$D360,rng_out_sel_excl_ind,$E360)* _xlfn.XLOOKUP([1]Tables!$HN$4,'[1]RA Output'!$AY$4:$AY$5,'[1]RA Output'!BB$4:BB$5,0)  +
SUMIFS(rng_out_awp_post_yr3,rng_out_sel_excl_yr_ind, [1]Tables!$HN$5, rng_out_GB_Medispan, P$1,rng_out_sel_G_ind,K$1,rng_out_mail_ind,$B360,rng_out_ds,$C360,rng_out_sel_sp_ind,$D360,rng_out_sel_excl_ind,$E360)* _xlfn.XLOOKUP([1]Tables!$HN$5,'[1]RA Output'!$AY$4:$AY$5,'[1]RA Output'!BB$4:BB$5,0))/[1]Tables!$AT$4,
(SUMIFS(rng_out_awp_post_yr3,rng_out_sel_excl_yr_ind, "", rng_out_GB_Medispan, P$1,rng_out_sel_G_ind,K$1,rng_out_mail_ind,$B360,rng_out_ds,$C360,rng_out_sel_sp_ind,$D360,rng_out_sel_excl_ind,$E360)+
SUMIFS(rng_out_awp_post_yr3,rng_out_sel_excl_yr_ind, [1]Tables!$HN$4, rng_out_GB_Medispan, P$1,rng_out_sel_G_ind,K$1,rng_out_mail_ind,$B360,rng_out_ds,$C360,rng_out_sel_sp_ind,$D360,rng_out_sel_excl_ind,$E360)* _xlfn.XLOOKUP([1]Tables!$HN$4,'[1]RA Output'!$AY$4:$AY$5,'[1]RA Output'!BB$4:BB$5,0)  +
SUMIFS(rng_out_awp_post_yr3,rng_out_sel_excl_yr_ind, [1]Tables!$HN$5, rng_out_GB_Medispan, P$1,rng_out_sel_G_ind,K$1,rng_out_mail_ind,$B360,rng_out_ds,$C360,rng_out_sel_sp_ind,$D360,rng_out_sel_excl_ind,$E360)* _xlfn.XLOOKUP([1]Tables!$HN$5,'[1]RA Output'!$AY$4:$AY$5,'[1]RA Output'!BB$4:BB$5,0))/[1]Tables!$AT$4 +
SUMIFS(rng_out_awp_post_yr3, rng_out_GB_Medispan, P$1,rng_out_sel_G_ind,K$1, rng_out_mail_ind, $B360, rng_out_ds, $C360, rng_out_sel_sp_ind, $D360, rng_out_sel_excl_ind,"N", rng_out_post_reb_ind_yr3, 0)/[1]Tables!$AT$4), 0)</f>
        <v>0</v>
      </c>
      <c r="AT360" s="5" cm="1">
        <f t="array" aca="1" ref="AT360" ca="1">IFERROR(IF($E$354="N", (SUMIFS(rng_out_awp_post_yr4,rng_out_sel_excl_yr_ind, "", rng_out_GB_Medispan, Q$1,rng_out_sel_G_ind,L$1,rng_out_mail_ind,$B360,rng_out_ds,$C360,rng_out_sel_sp_ind,$D360,rng_out_sel_excl_ind,$E360)+
SUMIFS(rng_out_awp_post_yr4,rng_out_sel_excl_yr_ind, [1]Tables!$HN$4, rng_out_GB_Medispan, Q$1,rng_out_sel_G_ind,L$1,rng_out_mail_ind,$B360,rng_out_ds,$C360,rng_out_sel_sp_ind,$D360,rng_out_sel_excl_ind,$E360)* _xlfn.XLOOKUP([1]Tables!$HN$4,'[1]RA Output'!$AY$4:$AY$5,'[1]RA Output'!BC$4:BC$5,0)  +
SUMIFS(rng_out_awp_post_yr4,rng_out_sel_excl_yr_ind, [1]Tables!$HN$5, rng_out_GB_Medispan, Q$1,rng_out_sel_G_ind,L$1,rng_out_mail_ind,$B360,rng_out_ds,$C360,rng_out_sel_sp_ind,$D360,rng_out_sel_excl_ind,$E360)* _xlfn.XLOOKUP([1]Tables!$HN$5,'[1]RA Output'!$AY$4:$AY$5,'[1]RA Output'!BC$4:BC$5,0))/[1]Tables!$AT$4,
(SUMIFS(rng_out_awp_post_yr4,rng_out_sel_excl_yr_ind, "", rng_out_GB_Medispan, Q$1,rng_out_sel_G_ind,L$1,rng_out_mail_ind,$B360,rng_out_ds,$C360,rng_out_sel_sp_ind,$D360,rng_out_sel_excl_ind,$E360)+
SUMIFS(rng_out_awp_post_yr4,rng_out_sel_excl_yr_ind, [1]Tables!$HN$4, rng_out_GB_Medispan, Q$1,rng_out_sel_G_ind,L$1,rng_out_mail_ind,$B360,rng_out_ds,$C360,rng_out_sel_sp_ind,$D360,rng_out_sel_excl_ind,$E360)* _xlfn.XLOOKUP([1]Tables!$HN$4,'[1]RA Output'!$AY$4:$AY$5,'[1]RA Output'!BC$4:BC$5,0)  +
SUMIFS(rng_out_awp_post_yr4,rng_out_sel_excl_yr_ind, [1]Tables!$HN$5, rng_out_GB_Medispan, Q$1,rng_out_sel_G_ind,L$1,rng_out_mail_ind,$B360,rng_out_ds,$C360,rng_out_sel_sp_ind,$D360,rng_out_sel_excl_ind,$E360)* _xlfn.XLOOKUP([1]Tables!$HN$5,'[1]RA Output'!$AY$4:$AY$5,'[1]RA Output'!BC$4:BC$5,0))/[1]Tables!$AT$4 +
SUMIFS(rng_out_awp_post_yr4, rng_out_GB_Medispan, Q$1,rng_out_sel_G_ind,L$1, rng_out_mail_ind, $B360, rng_out_ds, $C360, rng_out_sel_sp_ind, $D360, rng_out_sel_excl_ind,"N", rng_out_post_reb_ind_yr4, 0)/[1]Tables!$AT$4), 0)</f>
        <v>0</v>
      </c>
      <c r="AU360" s="85" cm="1">
        <f t="array" aca="1" ref="AU360" ca="1">IFERROR(IF($E$354="N", (SUMIFS(rng_out_awp_post_yr5,rng_out_sel_excl_yr_ind, "", rng_out_GB_Medispan, R$1,rng_out_sel_G_ind,M$1,rng_out_mail_ind,$B360,rng_out_ds,$C360,rng_out_sel_sp_ind,$D360,rng_out_sel_excl_ind,$E360)+
SUMIFS(rng_out_awp_post_yr5,rng_out_sel_excl_yr_ind, [1]Tables!$HN$4, rng_out_GB_Medispan, R$1,rng_out_sel_G_ind,M$1,rng_out_mail_ind,$B360,rng_out_ds,$C360,rng_out_sel_sp_ind,$D360,rng_out_sel_excl_ind,$E360)* _xlfn.XLOOKUP([1]Tables!$HN$4,'[1]RA Output'!$AY$4:$AY$5,'[1]RA Output'!BD$4:BD$5,0)  +
SUMIFS(rng_out_awp_post_yr5,rng_out_sel_excl_yr_ind, [1]Tables!$HN$5, rng_out_GB_Medispan, R$1,rng_out_sel_G_ind,M$1,rng_out_mail_ind,$B360,rng_out_ds,$C360,rng_out_sel_sp_ind,$D360,rng_out_sel_excl_ind,$E360)* _xlfn.XLOOKUP([1]Tables!$HN$5,'[1]RA Output'!$AY$4:$AY$5,'[1]RA Output'!BD$4:BD$5,0))/[1]Tables!$AT$4,
(SUMIFS(rng_out_awp_post_yr5,rng_out_sel_excl_yr_ind, "", rng_out_GB_Medispan, R$1,rng_out_sel_G_ind,M$1,rng_out_mail_ind,$B360,rng_out_ds,$C360,rng_out_sel_sp_ind,$D360,rng_out_sel_excl_ind,$E360)+
SUMIFS(rng_out_awp_post_yr5,rng_out_sel_excl_yr_ind, [1]Tables!$HN$4, rng_out_GB_Medispan, R$1,rng_out_sel_G_ind,M$1,rng_out_mail_ind,$B360,rng_out_ds,$C360,rng_out_sel_sp_ind,$D360,rng_out_sel_excl_ind,$E360)* _xlfn.XLOOKUP([1]Tables!$HN$4,'[1]RA Output'!$AY$4:$AY$5,'[1]RA Output'!BD$4:BD$5,0)  +
SUMIFS(rng_out_awp_post_yr5,rng_out_sel_excl_yr_ind, [1]Tables!$HN$5, rng_out_GB_Medispan, R$1,rng_out_sel_G_ind,M$1,rng_out_mail_ind,$B360,rng_out_ds,$C360,rng_out_sel_sp_ind,$D360,rng_out_sel_excl_ind,$E360)* _xlfn.XLOOKUP([1]Tables!$HN$5,'[1]RA Output'!$AY$4:$AY$5,'[1]RA Output'!BD$4:BD$5,0))/[1]Tables!$AT$4 +
SUMIFS(rng_out_awp_post_yr5, rng_out_GB_Medispan, R$1,rng_out_sel_G_ind,M$1, rng_out_mail_ind, $B360, rng_out_ds, $C360, rng_out_sel_sp_ind, $D360, rng_out_sel_excl_ind,"N", rng_out_post_reb_ind_yr5, 0)/[1]Tables!$AT$4), 0)</f>
        <v>0</v>
      </c>
      <c r="AV360" s="86">
        <f t="shared" ca="1" si="380"/>
        <v>0</v>
      </c>
      <c r="AW360" s="75">
        <f t="shared" ca="1" si="380"/>
        <v>0</v>
      </c>
      <c r="AX360" s="75">
        <f t="shared" ca="1" si="380"/>
        <v>0</v>
      </c>
      <c r="AY360" s="75">
        <f t="shared" ca="1" si="380"/>
        <v>0</v>
      </c>
      <c r="AZ360" s="87">
        <f t="shared" ca="1" si="380"/>
        <v>0</v>
      </c>
      <c r="BG360" s="111" t="s">
        <v>15</v>
      </c>
      <c r="BH360" s="97">
        <f t="shared" ca="1" si="381"/>
        <v>0</v>
      </c>
      <c r="BI360" s="79">
        <f t="shared" ca="1" si="381"/>
        <v>0</v>
      </c>
      <c r="BJ360" s="79">
        <f t="shared" ca="1" si="381"/>
        <v>0</v>
      </c>
      <c r="BK360" s="79">
        <f t="shared" ca="1" si="381"/>
        <v>0</v>
      </c>
      <c r="BL360" s="98">
        <f t="shared" ca="1" si="381"/>
        <v>0</v>
      </c>
      <c r="BM360" s="92">
        <f t="shared" ca="1" si="382"/>
        <v>0</v>
      </c>
      <c r="BN360" s="75">
        <f t="shared" ca="1" si="382"/>
        <v>0</v>
      </c>
      <c r="BO360" s="75">
        <f t="shared" ca="1" si="382"/>
        <v>0</v>
      </c>
      <c r="BP360" s="75">
        <f t="shared" ca="1" si="382"/>
        <v>0</v>
      </c>
      <c r="BQ360" s="93">
        <f t="shared" ca="1" si="382"/>
        <v>0</v>
      </c>
      <c r="BX360" s="111" t="s">
        <v>15</v>
      </c>
      <c r="BY360" s="97">
        <f t="shared" ca="1" si="383"/>
        <v>0</v>
      </c>
      <c r="BZ360" s="79">
        <f t="shared" ca="1" si="383"/>
        <v>0</v>
      </c>
      <c r="CA360" s="79">
        <f t="shared" ca="1" si="383"/>
        <v>0</v>
      </c>
      <c r="CB360" s="79">
        <f t="shared" ca="1" si="383"/>
        <v>0</v>
      </c>
      <c r="CC360" s="98">
        <f t="shared" ca="1" si="383"/>
        <v>0</v>
      </c>
      <c r="CD360" s="92">
        <f t="shared" ca="1" si="384"/>
        <v>0</v>
      </c>
      <c r="CE360" s="75">
        <f t="shared" ca="1" si="384"/>
        <v>0</v>
      </c>
      <c r="CF360" s="75">
        <f t="shared" ca="1" si="384"/>
        <v>0</v>
      </c>
      <c r="CG360" s="75">
        <f t="shared" ca="1" si="384"/>
        <v>0</v>
      </c>
      <c r="CH360" s="93">
        <f t="shared" ca="1" si="384"/>
        <v>0</v>
      </c>
      <c r="CO360" s="252"/>
      <c r="CP360" s="252"/>
    </row>
    <row r="361" spans="2:111" x14ac:dyDescent="0.35">
      <c r="B361" s="105" t="s">
        <v>16</v>
      </c>
      <c r="C361" s="106"/>
      <c r="D361" s="106" t="s">
        <v>12</v>
      </c>
      <c r="E361" s="107" t="s">
        <v>13</v>
      </c>
      <c r="F361" s="106"/>
      <c r="H361" s="118" t="s">
        <v>7</v>
      </c>
      <c r="I361" s="72" t="e" cm="1">
        <f t="array" aca="1" ref="I361" ca="1">SUMIFS(rng_out_awp_pre_yr1,rng_out_sel_excl_yr_ind, "", rng_out_GB_Medispan, N$1,rng_out_sel_G_ind,I$1,rng_out_mail_ind,$B361,rng_out_sel_sp_ind,$D361,rng_out_sel_excl_ind,$E361)+
SUMIFS(rng_out_awp_pre_yr1,rng_out_sel_excl_yr_ind, [1]Tables!$HN$4, rng_out_GB_Medispan, N$1,rng_out_sel_G_ind,I$1,rng_out_mail_ind,$B361,rng_out_sel_sp_ind,$D361,rng_out_sel_excl_ind,$E361)* _xlfn.XLOOKUP([1]Tables!$HN$4,'[1]RA Output'!$AY$4:$AY$5,'[1]RA Output'!AZ$4:AZ$5,0)  +
SUMIFS(rng_out_awp_pre_yr1,rng_out_sel_excl_yr_ind, [1]Tables!$HN$5, rng_out_GB_Medispan, N$1,rng_out_sel_G_ind,I$1,rng_out_mail_ind,$B361,rng_out_sel_sp_ind,$D361,rng_out_sel_excl_ind,$E361)* _xlfn.XLOOKUP([1]Tables!$HN$5,'[1]RA Output'!$AY$4:$AY$5,'[1]RA Output'!AZ$4:AZ$5,0)+
IF($E$363="N", 0,
SUMIFS(rng_out_awp_pre_yr1, rng_out_GB_Medispan, N$1, rng_out_sel_G_ind, I$1, rng_out_mail_ind, $B361, rng_out_sel_sp_ind, $D361, rng_out_sel_excl_ind,"N", rng_out_post_reb_ind_yr1, 0))</f>
        <v>#VALUE!</v>
      </c>
      <c r="J361" s="5" t="e" cm="1">
        <f t="array" aca="1" ref="J361" ca="1">SUMIFS(rng_out_awp_pre_yr2,rng_out_sel_excl_yr_ind, "", rng_out_GB_Medispan, O$1,rng_out_sel_G_ind,J$1,rng_out_mail_ind,$B361,rng_out_sel_sp_ind,$D361,rng_out_sel_excl_ind,$E361)+
SUMIFS(rng_out_awp_pre_yr2,rng_out_sel_excl_yr_ind, [1]Tables!$HN$4, rng_out_GB_Medispan, O$1,rng_out_sel_G_ind,J$1,rng_out_mail_ind,$B361,rng_out_sel_sp_ind,$D361,rng_out_sel_excl_ind,$E361)* _xlfn.XLOOKUP([1]Tables!$HN$4,'[1]RA Output'!$AY$4:$AY$5,'[1]RA Output'!BA$4:BA$5,0)  +
SUMIFS(rng_out_awp_pre_yr2,rng_out_sel_excl_yr_ind, [1]Tables!$HN$5, rng_out_GB_Medispan, O$1,rng_out_sel_G_ind,J$1,rng_out_mail_ind,$B361,rng_out_sel_sp_ind,$D361,rng_out_sel_excl_ind,$E361)* _xlfn.XLOOKUP([1]Tables!$HN$5,'[1]RA Output'!$AY$4:$AY$5,'[1]RA Output'!BA$4:BA$5,0)+
IF($E$363="N", 0,
SUMIFS(rng_out_awp_pre_yr2, rng_out_GB_Medispan, O$1, rng_out_sel_G_ind, J$1, rng_out_mail_ind, $B361, rng_out_sel_sp_ind, $D361, rng_out_sel_excl_ind,"N", rng_out_post_reb_ind_yr2, 0))</f>
        <v>#VALUE!</v>
      </c>
      <c r="K361" s="5" t="e" cm="1">
        <f t="array" aca="1" ref="K361" ca="1">SUMIFS(rng_out_awp_pre_yr3,rng_out_sel_excl_yr_ind, "", rng_out_GB_Medispan, P$1,rng_out_sel_G_ind,K$1,rng_out_mail_ind,$B361,rng_out_sel_sp_ind,$D361,rng_out_sel_excl_ind,$E361)+
SUMIFS(rng_out_awp_pre_yr3,rng_out_sel_excl_yr_ind, [1]Tables!$HN$4, rng_out_GB_Medispan, P$1,rng_out_sel_G_ind,K$1,rng_out_mail_ind,$B361,rng_out_sel_sp_ind,$D361,rng_out_sel_excl_ind,$E361)* _xlfn.XLOOKUP([1]Tables!$HN$4,'[1]RA Output'!$AY$4:$AY$5,'[1]RA Output'!BB$4:BB$5,0)  +
SUMIFS(rng_out_awp_pre_yr3,rng_out_sel_excl_yr_ind, [1]Tables!$HN$5, rng_out_GB_Medispan, P$1,rng_out_sel_G_ind,K$1,rng_out_mail_ind,$B361,rng_out_sel_sp_ind,$D361,rng_out_sel_excl_ind,$E361)* _xlfn.XLOOKUP([1]Tables!$HN$5,'[1]RA Output'!$AY$4:$AY$5,'[1]RA Output'!BB$4:BB$5,0)+
IF($E$363="N", 0,
SUMIFS(rng_out_awp_pre_yr3, rng_out_GB_Medispan, P$1, rng_out_sel_G_ind, K$1, rng_out_mail_ind, $B361, rng_out_sel_sp_ind, $D361, rng_out_sel_excl_ind,"N", rng_out_post_reb_ind_yr3, 0))</f>
        <v>#VALUE!</v>
      </c>
      <c r="L361" s="5" t="e" cm="1">
        <f t="array" aca="1" ref="L361" ca="1">SUMIFS(rng_out_awp_pre_yr4,rng_out_sel_excl_yr_ind, "", rng_out_GB_Medispan, Q$1,rng_out_sel_G_ind,L$1,rng_out_mail_ind,$B361,rng_out_sel_sp_ind,$D361,rng_out_sel_excl_ind,$E361)+
SUMIFS(rng_out_awp_pre_yr4,rng_out_sel_excl_yr_ind, [1]Tables!$HN$4, rng_out_GB_Medispan, Q$1,rng_out_sel_G_ind,L$1,rng_out_mail_ind,$B361,rng_out_sel_sp_ind,$D361,rng_out_sel_excl_ind,$E361)* _xlfn.XLOOKUP([1]Tables!$HN$4,'[1]RA Output'!$AY$4:$AY$5,'[1]RA Output'!BC$4:BC$5,0)  +
SUMIFS(rng_out_awp_pre_yr4,rng_out_sel_excl_yr_ind, [1]Tables!$HN$5, rng_out_GB_Medispan, Q$1,rng_out_sel_G_ind,L$1,rng_out_mail_ind,$B361,rng_out_sel_sp_ind,$D361,rng_out_sel_excl_ind,$E361)* _xlfn.XLOOKUP([1]Tables!$HN$5,'[1]RA Output'!$AY$4:$AY$5,'[1]RA Output'!BC$4:BC$5,0)+
IF($E$363="N", 0,
SUMIFS(rng_out_awp_pre_yr4, rng_out_GB_Medispan, Q$1, rng_out_sel_G_ind, L$1, rng_out_mail_ind, $B361, rng_out_sel_sp_ind, $D361, rng_out_sel_excl_ind,"N", rng_out_post_reb_ind_yr4, 0))</f>
        <v>#VALUE!</v>
      </c>
      <c r="M361" s="73" t="e" cm="1">
        <f t="array" aca="1" ref="M361" ca="1">SUMIFS(rng_out_awp_pre_yr5,rng_out_sel_excl_yr_ind, "", rng_out_GB_Medispan, R$1,rng_out_sel_G_ind,M$1,rng_out_mail_ind,$B361,rng_out_sel_sp_ind,$D361,rng_out_sel_excl_ind,$E361)+
SUMIFS(rng_out_awp_pre_yr5,rng_out_sel_excl_yr_ind, [1]Tables!$HN$4, rng_out_GB_Medispan, R$1,rng_out_sel_G_ind,M$1,rng_out_mail_ind,$B361,rng_out_sel_sp_ind,$D361,rng_out_sel_excl_ind,$E361)* _xlfn.XLOOKUP([1]Tables!$HN$4,'[1]RA Output'!$AY$4:$AY$5,'[1]RA Output'!BD$4:BD$5,0)  +
SUMIFS(rng_out_awp_pre_yr5,rng_out_sel_excl_yr_ind, [1]Tables!$HN$5, rng_out_GB_Medispan, R$1,rng_out_sel_G_ind,M$1,rng_out_mail_ind,$B361,rng_out_sel_sp_ind,$D361,rng_out_sel_excl_ind,$E361)* _xlfn.XLOOKUP([1]Tables!$HN$5,'[1]RA Output'!$AY$4:$AY$5,'[1]RA Output'!BD$4:BD$5,0)+
IF($E$363="N", 0,
SUMIFS(rng_out_awp_pre_yr5, rng_out_GB_Medispan, R$1, rng_out_sel_G_ind, M$1, rng_out_mail_ind, $B361, rng_out_sel_sp_ind, $D361, rng_out_sel_excl_ind,"N", rng_out_post_reb_ind_yr5, 0))</f>
        <v>#VALUE!</v>
      </c>
      <c r="N361" s="74">
        <f t="shared" ca="1" si="378"/>
        <v>0</v>
      </c>
      <c r="O361" s="75">
        <f t="shared" ca="1" si="378"/>
        <v>0</v>
      </c>
      <c r="P361" s="75">
        <f t="shared" ca="1" si="378"/>
        <v>0</v>
      </c>
      <c r="Q361" s="75">
        <f t="shared" ca="1" si="378"/>
        <v>0</v>
      </c>
      <c r="R361" s="76">
        <f t="shared" ca="1" si="378"/>
        <v>0</v>
      </c>
      <c r="Y361" s="119" t="s">
        <v>7</v>
      </c>
      <c r="Z361" s="78">
        <f ca="1">IFERROR(I361/[1]Tables!$AT$4, 0)</f>
        <v>0</v>
      </c>
      <c r="AA361" s="79">
        <f ca="1">IFERROR(J361/[1]Tables!$AT$4, 0)</f>
        <v>0</v>
      </c>
      <c r="AB361" s="79">
        <f ca="1">IFERROR(K361/[1]Tables!$AT$4, 0)</f>
        <v>0</v>
      </c>
      <c r="AC361" s="79">
        <f ca="1">IFERROR(L361/[1]Tables!$AT$4, 0)</f>
        <v>0</v>
      </c>
      <c r="AD361" s="80">
        <f ca="1">IFERROR(M361/[1]Tables!$AT$4, 0)</f>
        <v>0</v>
      </c>
      <c r="AE361" s="81">
        <f t="shared" ca="1" si="379"/>
        <v>0</v>
      </c>
      <c r="AF361" s="75">
        <f t="shared" ca="1" si="379"/>
        <v>0</v>
      </c>
      <c r="AG361" s="75">
        <f t="shared" ca="1" si="379"/>
        <v>0</v>
      </c>
      <c r="AH361" s="75">
        <f t="shared" ca="1" si="379"/>
        <v>0</v>
      </c>
      <c r="AI361" s="82">
        <f t="shared" ca="1" si="379"/>
        <v>0</v>
      </c>
      <c r="AP361" s="120" t="s">
        <v>7</v>
      </c>
      <c r="AQ361" s="356" cm="1">
        <f t="array" aca="1" ref="AQ361" ca="1">IFERROR(IF($E$354="N", (SUMIFS(rng_out_awp_post_yr1,rng_out_sel_excl_yr_ind, "", rng_out_GB_Medispan, N$1,rng_out_sel_G_ind,I$1,rng_out_mail_ind,$B361,rng_out_sel_sp_ind,$D361,rng_out_sel_excl_ind,$E361)+
SUMIFS(rng_out_awp_post_yr1,rng_out_sel_excl_yr_ind, [1]Tables!$HN$4, rng_out_GB_Medispan, N$1,rng_out_sel_G_ind,I$1,rng_out_mail_ind,$B361,rng_out_sel_sp_ind,$D361,rng_out_sel_excl_ind,$E361)* _xlfn.XLOOKUP([1]Tables!$HN$4,'[1]RA Output'!$AY$4:$AY$5,'[1]RA Output'!AZ$4:AZ$5,0)  +
SUMIFS(rng_out_awp_post_yr1,rng_out_sel_excl_yr_ind, [1]Tables!$HN$5, rng_out_GB_Medispan, N$1,rng_out_sel_G_ind,I$1,rng_out_mail_ind,$B361,rng_out_sel_sp_ind,$D361,rng_out_sel_excl_ind,$E361)* _xlfn.XLOOKUP([1]Tables!$HN$5,'[1]RA Output'!$AY$4:$AY$5,'[1]RA Output'!AZ$4:AZ$5,0))/[1]Tables!$AT$4,
(SUMIFS(rng_out_awp_post_yr1,rng_out_sel_excl_yr_ind, "", rng_out_GB_Medispan, N$1,rng_out_sel_G_ind,I$1,rng_out_mail_ind,$B361,rng_out_sel_sp_ind,$D361,rng_out_sel_excl_ind,$E361)+
SUMIFS(rng_out_awp_post_yr1,rng_out_sel_excl_yr_ind, [1]Tables!$HN$4, rng_out_GB_Medispan, N$1,rng_out_sel_G_ind,I$1,rng_out_mail_ind,$B361,rng_out_sel_sp_ind,$D361,rng_out_sel_excl_ind,$E361)* _xlfn.XLOOKUP([1]Tables!$HN$4,'[1]RA Output'!$AY$4:$AY$5,'[1]RA Output'!AZ$4:AZ$5,0)  +
SUMIFS(rng_out_awp_post_yr1,rng_out_sel_excl_yr_ind, [1]Tables!$HN$5, rng_out_GB_Medispan, N$1,rng_out_sel_G_ind,I$1,rng_out_mail_ind,$B361,rng_out_sel_sp_ind,$D361,rng_out_sel_excl_ind,$E361)* _xlfn.XLOOKUP([1]Tables!$HN$5,'[1]RA Output'!$AY$4:$AY$5,'[1]RA Output'!AZ$4:AZ$5,0))/[1]Tables!$AT$4 +
SUMIFS(rng_out_awp_post_yr1, rng_out_GB_Medispan, N$1,rng_out_sel_G_ind,I$1, rng_out_mail_ind, $B361, rng_out_sel_sp_ind, $D361, rng_out_sel_excl_ind,"N", rng_out_post_reb_ind_yr1, 0)/[1]Tables!$AT$4), 0)</f>
        <v>0</v>
      </c>
      <c r="AR361" s="5" cm="1">
        <f t="array" aca="1" ref="AR361" ca="1">IFERROR(IF($E$354="N", (SUMIFS(rng_out_awp_post_yr2,rng_out_sel_excl_yr_ind, "", rng_out_GB_Medispan, O$1,rng_out_sel_G_ind,J$1,rng_out_mail_ind,$B361,rng_out_sel_sp_ind,$D361,rng_out_sel_excl_ind,$E361)+
SUMIFS(rng_out_awp_post_yr2,rng_out_sel_excl_yr_ind, [1]Tables!$HN$4, rng_out_GB_Medispan, O$1,rng_out_sel_G_ind,J$1,rng_out_mail_ind,$B361,rng_out_sel_sp_ind,$D361,rng_out_sel_excl_ind,$E361)* _xlfn.XLOOKUP([1]Tables!$HN$4,'[1]RA Output'!$AY$4:$AY$5,'[1]RA Output'!BA$4:BA$5,0)  +
SUMIFS(rng_out_awp_post_yr2,rng_out_sel_excl_yr_ind, [1]Tables!$HN$5, rng_out_GB_Medispan, O$1,rng_out_sel_G_ind,J$1,rng_out_mail_ind,$B361,rng_out_sel_sp_ind,$D361,rng_out_sel_excl_ind,$E361)* _xlfn.XLOOKUP([1]Tables!$HN$5,'[1]RA Output'!$AY$4:$AY$5,'[1]RA Output'!BA$4:BA$5,0))/[1]Tables!$AT$4,
(SUMIFS(rng_out_awp_post_yr2,rng_out_sel_excl_yr_ind, "", rng_out_GB_Medispan, O$1,rng_out_sel_G_ind,J$1,rng_out_mail_ind,$B361,rng_out_sel_sp_ind,$D361,rng_out_sel_excl_ind,$E361)+
SUMIFS(rng_out_awp_post_yr2,rng_out_sel_excl_yr_ind, [1]Tables!$HN$4, rng_out_GB_Medispan, O$1,rng_out_sel_G_ind,J$1,rng_out_mail_ind,$B361,rng_out_sel_sp_ind,$D361,rng_out_sel_excl_ind,$E361)* _xlfn.XLOOKUP([1]Tables!$HN$4,'[1]RA Output'!$AY$4:$AY$5,'[1]RA Output'!BA$4:BA$5,0)  +
SUMIFS(rng_out_awp_post_yr2,rng_out_sel_excl_yr_ind, [1]Tables!$HN$5, rng_out_GB_Medispan, O$1,rng_out_sel_G_ind,J$1,rng_out_mail_ind,$B361,rng_out_sel_sp_ind,$D361,rng_out_sel_excl_ind,$E361)* _xlfn.XLOOKUP([1]Tables!$HN$5,'[1]RA Output'!$AY$4:$AY$5,'[1]RA Output'!BA$4:BA$5,0))/[1]Tables!$AT$4 +
SUMIFS(rng_out_awp_post_yr2, rng_out_GB_Medispan, O$1,rng_out_sel_G_ind,J$1, rng_out_mail_ind, $B361, rng_out_sel_sp_ind, $D361, rng_out_sel_excl_ind,"N", rng_out_post_reb_ind_yr2, 0)/[1]Tables!$AT$4), 0)</f>
        <v>0</v>
      </c>
      <c r="AS361" s="5" cm="1">
        <f t="array" aca="1" ref="AS361" ca="1">IFERROR(IF($E$354="N", (SUMIFS(rng_out_awp_post_yr3,rng_out_sel_excl_yr_ind, "", rng_out_GB_Medispan, P$1,rng_out_sel_G_ind,K$1,rng_out_mail_ind,$B361,rng_out_sel_sp_ind,$D361,rng_out_sel_excl_ind,$E361)+
SUMIFS(rng_out_awp_post_yr3,rng_out_sel_excl_yr_ind, [1]Tables!$HN$4, rng_out_GB_Medispan, P$1,rng_out_sel_G_ind,K$1,rng_out_mail_ind,$B361,rng_out_sel_sp_ind,$D361,rng_out_sel_excl_ind,$E361)* _xlfn.XLOOKUP([1]Tables!$HN$4,'[1]RA Output'!$AY$4:$AY$5,'[1]RA Output'!BB$4:BB$5,0)  +
SUMIFS(rng_out_awp_post_yr3,rng_out_sel_excl_yr_ind, [1]Tables!$HN$5, rng_out_GB_Medispan, P$1,rng_out_sel_G_ind,K$1,rng_out_mail_ind,$B361,rng_out_sel_sp_ind,$D361,rng_out_sel_excl_ind,$E361)* _xlfn.XLOOKUP([1]Tables!$HN$5,'[1]RA Output'!$AY$4:$AY$5,'[1]RA Output'!BB$4:BB$5,0))/[1]Tables!$AT$4,
(SUMIFS(rng_out_awp_post_yr3,rng_out_sel_excl_yr_ind, "", rng_out_GB_Medispan, P$1,rng_out_sel_G_ind,K$1,rng_out_mail_ind,$B361,rng_out_sel_sp_ind,$D361,rng_out_sel_excl_ind,$E361)+
SUMIFS(rng_out_awp_post_yr3,rng_out_sel_excl_yr_ind, [1]Tables!$HN$4, rng_out_GB_Medispan, P$1,rng_out_sel_G_ind,K$1,rng_out_mail_ind,$B361,rng_out_sel_sp_ind,$D361,rng_out_sel_excl_ind,$E361)* _xlfn.XLOOKUP([1]Tables!$HN$4,'[1]RA Output'!$AY$4:$AY$5,'[1]RA Output'!BB$4:BB$5,0)  +
SUMIFS(rng_out_awp_post_yr3,rng_out_sel_excl_yr_ind, [1]Tables!$HN$5, rng_out_GB_Medispan, P$1,rng_out_sel_G_ind,K$1,rng_out_mail_ind,$B361,rng_out_sel_sp_ind,$D361,rng_out_sel_excl_ind,$E361)* _xlfn.XLOOKUP([1]Tables!$HN$5,'[1]RA Output'!$AY$4:$AY$5,'[1]RA Output'!BB$4:BB$5,0))/[1]Tables!$AT$4 +
SUMIFS(rng_out_awp_post_yr3, rng_out_GB_Medispan, P$1,rng_out_sel_G_ind,K$1, rng_out_mail_ind, $B361, rng_out_sel_sp_ind, $D361, rng_out_sel_excl_ind,"N", rng_out_post_reb_ind_yr3, 0)/[1]Tables!$AT$4), 0)</f>
        <v>0</v>
      </c>
      <c r="AT361" s="5" cm="1">
        <f t="array" aca="1" ref="AT361" ca="1">IFERROR(IF($E$354="N", (SUMIFS(rng_out_awp_post_yr4,rng_out_sel_excl_yr_ind, "", rng_out_GB_Medispan, Q$1,rng_out_sel_G_ind,L$1,rng_out_mail_ind,$B361,rng_out_sel_sp_ind,$D361,rng_out_sel_excl_ind,$E361)+
SUMIFS(rng_out_awp_post_yr4,rng_out_sel_excl_yr_ind, [1]Tables!$HN$4, rng_out_GB_Medispan, Q$1,rng_out_sel_G_ind,L$1,rng_out_mail_ind,$B361,rng_out_sel_sp_ind,$D361,rng_out_sel_excl_ind,$E361)* _xlfn.XLOOKUP([1]Tables!$HN$4,'[1]RA Output'!$AY$4:$AY$5,'[1]RA Output'!BC$4:BC$5,0)  +
SUMIFS(rng_out_awp_post_yr4,rng_out_sel_excl_yr_ind, [1]Tables!$HN$5, rng_out_GB_Medispan, Q$1,rng_out_sel_G_ind,L$1,rng_out_mail_ind,$B361,rng_out_sel_sp_ind,$D361,rng_out_sel_excl_ind,$E361)* _xlfn.XLOOKUP([1]Tables!$HN$5,'[1]RA Output'!$AY$4:$AY$5,'[1]RA Output'!BC$4:BC$5,0))/[1]Tables!$AT$4,
(SUMIFS(rng_out_awp_post_yr4,rng_out_sel_excl_yr_ind, "", rng_out_GB_Medispan, Q$1,rng_out_sel_G_ind,L$1,rng_out_mail_ind,$B361,rng_out_sel_sp_ind,$D361,rng_out_sel_excl_ind,$E361)+
SUMIFS(rng_out_awp_post_yr4,rng_out_sel_excl_yr_ind, [1]Tables!$HN$4, rng_out_GB_Medispan, Q$1,rng_out_sel_G_ind,L$1,rng_out_mail_ind,$B361,rng_out_sel_sp_ind,$D361,rng_out_sel_excl_ind,$E361)* _xlfn.XLOOKUP([1]Tables!$HN$4,'[1]RA Output'!$AY$4:$AY$5,'[1]RA Output'!BC$4:BC$5,0)  +
SUMIFS(rng_out_awp_post_yr4,rng_out_sel_excl_yr_ind, [1]Tables!$HN$5, rng_out_GB_Medispan, Q$1,rng_out_sel_G_ind,L$1,rng_out_mail_ind,$B361,rng_out_sel_sp_ind,$D361,rng_out_sel_excl_ind,$E361)* _xlfn.XLOOKUP([1]Tables!$HN$5,'[1]RA Output'!$AY$4:$AY$5,'[1]RA Output'!BC$4:BC$5,0))/[1]Tables!$AT$4 +
SUMIFS(rng_out_awp_post_yr4, rng_out_GB_Medispan, Q$1,rng_out_sel_G_ind,L$1, rng_out_mail_ind, $B361, rng_out_sel_sp_ind, $D361, rng_out_sel_excl_ind,"N", rng_out_post_reb_ind_yr4, 0)/[1]Tables!$AT$4), 0)</f>
        <v>0</v>
      </c>
      <c r="AU361" s="85" cm="1">
        <f t="array" aca="1" ref="AU361" ca="1">IFERROR(IF($E$354="N", (SUMIFS(rng_out_awp_post_yr5,rng_out_sel_excl_yr_ind, "", rng_out_GB_Medispan, R$1,rng_out_sel_G_ind,M$1,rng_out_mail_ind,$B361,rng_out_sel_sp_ind,$D361,rng_out_sel_excl_ind,$E361)+
SUMIFS(rng_out_awp_post_yr5,rng_out_sel_excl_yr_ind, [1]Tables!$HN$4, rng_out_GB_Medispan, R$1,rng_out_sel_G_ind,M$1,rng_out_mail_ind,$B361,rng_out_sel_sp_ind,$D361,rng_out_sel_excl_ind,$E361)* _xlfn.XLOOKUP([1]Tables!$HN$4,'[1]RA Output'!$AY$4:$AY$5,'[1]RA Output'!BD$4:BD$5,0)  +
SUMIFS(rng_out_awp_post_yr5,rng_out_sel_excl_yr_ind, [1]Tables!$HN$5, rng_out_GB_Medispan, R$1,rng_out_sel_G_ind,M$1,rng_out_mail_ind,$B361,rng_out_sel_sp_ind,$D361,rng_out_sel_excl_ind,$E361)* _xlfn.XLOOKUP([1]Tables!$HN$5,'[1]RA Output'!$AY$4:$AY$5,'[1]RA Output'!BD$4:BD$5,0))/[1]Tables!$AT$4,
(SUMIFS(rng_out_awp_post_yr5,rng_out_sel_excl_yr_ind, "", rng_out_GB_Medispan, R$1,rng_out_sel_G_ind,M$1,rng_out_mail_ind,$B361,rng_out_sel_sp_ind,$D361,rng_out_sel_excl_ind,$E361)+
SUMIFS(rng_out_awp_post_yr5,rng_out_sel_excl_yr_ind, [1]Tables!$HN$4, rng_out_GB_Medispan, R$1,rng_out_sel_G_ind,M$1,rng_out_mail_ind,$B361,rng_out_sel_sp_ind,$D361,rng_out_sel_excl_ind,$E361)* _xlfn.XLOOKUP([1]Tables!$HN$4,'[1]RA Output'!$AY$4:$AY$5,'[1]RA Output'!BD$4:BD$5,0)  +
SUMIFS(rng_out_awp_post_yr5,rng_out_sel_excl_yr_ind, [1]Tables!$HN$5, rng_out_GB_Medispan, R$1,rng_out_sel_G_ind,M$1,rng_out_mail_ind,$B361,rng_out_sel_sp_ind,$D361,rng_out_sel_excl_ind,$E361)* _xlfn.XLOOKUP([1]Tables!$HN$5,'[1]RA Output'!$AY$4:$AY$5,'[1]RA Output'!BD$4:BD$5,0))/[1]Tables!$AT$4 +
SUMIFS(rng_out_awp_post_yr5, rng_out_GB_Medispan, R$1,rng_out_sel_G_ind,M$1, rng_out_mail_ind, $B361, rng_out_sel_sp_ind, $D361, rng_out_sel_excl_ind,"N", rng_out_post_reb_ind_yr5, 0)/[1]Tables!$AT$4), 0)</f>
        <v>0</v>
      </c>
      <c r="AV361" s="86">
        <f t="shared" ca="1" si="380"/>
        <v>0</v>
      </c>
      <c r="AW361" s="75">
        <f t="shared" ca="1" si="380"/>
        <v>0</v>
      </c>
      <c r="AX361" s="75">
        <f t="shared" ca="1" si="380"/>
        <v>0</v>
      </c>
      <c r="AY361" s="75">
        <f t="shared" ca="1" si="380"/>
        <v>0</v>
      </c>
      <c r="AZ361" s="87">
        <f t="shared" ca="1" si="380"/>
        <v>0</v>
      </c>
      <c r="BG361" s="121" t="s">
        <v>7</v>
      </c>
      <c r="BH361" s="97">
        <f t="shared" ca="1" si="381"/>
        <v>0</v>
      </c>
      <c r="BI361" s="79">
        <f t="shared" ca="1" si="381"/>
        <v>0</v>
      </c>
      <c r="BJ361" s="79">
        <f t="shared" ca="1" si="381"/>
        <v>0</v>
      </c>
      <c r="BK361" s="79">
        <f t="shared" ca="1" si="381"/>
        <v>0</v>
      </c>
      <c r="BL361" s="98">
        <f t="shared" ca="1" si="381"/>
        <v>0</v>
      </c>
      <c r="BM361" s="92">
        <f t="shared" ca="1" si="382"/>
        <v>0</v>
      </c>
      <c r="BN361" s="75">
        <f t="shared" ca="1" si="382"/>
        <v>0</v>
      </c>
      <c r="BO361" s="75">
        <f t="shared" ca="1" si="382"/>
        <v>0</v>
      </c>
      <c r="BP361" s="75">
        <f t="shared" ca="1" si="382"/>
        <v>0</v>
      </c>
      <c r="BQ361" s="93">
        <f t="shared" ca="1" si="382"/>
        <v>0</v>
      </c>
      <c r="BX361" s="121" t="s">
        <v>7</v>
      </c>
      <c r="BY361" s="97">
        <f t="shared" ca="1" si="383"/>
        <v>0</v>
      </c>
      <c r="BZ361" s="79">
        <f t="shared" ca="1" si="383"/>
        <v>0</v>
      </c>
      <c r="CA361" s="79">
        <f t="shared" ca="1" si="383"/>
        <v>0</v>
      </c>
      <c r="CB361" s="79">
        <f t="shared" ca="1" si="383"/>
        <v>0</v>
      </c>
      <c r="CC361" s="98">
        <f t="shared" ca="1" si="383"/>
        <v>0</v>
      </c>
      <c r="CD361" s="92">
        <f t="shared" ca="1" si="384"/>
        <v>0</v>
      </c>
      <c r="CE361" s="75">
        <f t="shared" ca="1" si="384"/>
        <v>0</v>
      </c>
      <c r="CF361" s="75">
        <f t="shared" ca="1" si="384"/>
        <v>0</v>
      </c>
      <c r="CG361" s="75">
        <f t="shared" ca="1" si="384"/>
        <v>0</v>
      </c>
      <c r="CH361" s="93">
        <f t="shared" ca="1" si="384"/>
        <v>0</v>
      </c>
      <c r="CO361" s="252"/>
      <c r="CP361" s="252"/>
    </row>
    <row r="362" spans="2:111" ht="15" thickBot="1" x14ac:dyDescent="0.4">
      <c r="B362" s="122"/>
      <c r="C362" s="123"/>
      <c r="D362" s="123" t="s">
        <v>13</v>
      </c>
      <c r="E362" s="124" t="s">
        <v>13</v>
      </c>
      <c r="F362" s="106"/>
      <c r="H362" s="118" t="s">
        <v>17</v>
      </c>
      <c r="I362" s="72" t="e" cm="1">
        <f t="array" aca="1" ref="I362" ca="1">SUMIFS(rng_out_awp_pre_yr1,rng_out_sel_excl_yr_ind, "", rng_out_GB_Medispan, N$1,rng_out_sel_G_ind,I$1,rng_out_sel_sp_ind,$D362,rng_out_sel_excl_ind,$E362)+
SUMIFS(rng_out_awp_pre_yr1,rng_out_sel_excl_yr_ind, [1]Tables!$HN$4, rng_out_GB_Medispan, N$1,rng_out_sel_G_ind,I$1,rng_out_sel_sp_ind,$D362,rng_out_sel_excl_ind,$E362)* _xlfn.XLOOKUP([1]Tables!$HN$4,'[1]RA Output'!$AY$4:$AY$5,'[1]RA Output'!AZ$4:AZ$5,0)  +
SUMIFS(rng_out_awp_pre_yr1,rng_out_sel_excl_yr_ind, [1]Tables!$HN$5, rng_out_GB_Medispan, N$1,rng_out_sel_G_ind,I$1,rng_out_sel_sp_ind,$D362,rng_out_sel_excl_ind,$E362)* _xlfn.XLOOKUP([1]Tables!$HN$5,'[1]RA Output'!$AY$4:$AY$5,'[1]RA Output'!AZ$4:AZ$5,0)+
IF($E$363="N", 0,
SUMIFS(rng_out_awp_pre_yr1, rng_out_GB_Medispan, N$1, rng_out_sel_G_ind, I$1, rng_out_sel_sp_ind, $D362, rng_out_sel_excl_ind,"N", rng_out_post_reb_ind_yr1, 0))</f>
        <v>#VALUE!</v>
      </c>
      <c r="J362" s="5" t="e" cm="1">
        <f t="array" aca="1" ref="J362" ca="1">SUMIFS(rng_out_awp_pre_yr2,rng_out_sel_excl_yr_ind, "", rng_out_GB_Medispan, O$1,rng_out_sel_G_ind,J$1,rng_out_sel_sp_ind,$D362,rng_out_sel_excl_ind,$E362)+
SUMIFS(rng_out_awp_pre_yr2,rng_out_sel_excl_yr_ind, [1]Tables!$HN$4, rng_out_GB_Medispan, O$1,rng_out_sel_G_ind,J$1,rng_out_sel_sp_ind,$D362,rng_out_sel_excl_ind,$E362)* _xlfn.XLOOKUP([1]Tables!$HN$4,'[1]RA Output'!$AY$4:$AY$5,'[1]RA Output'!BA$4:BA$5,0)  +
SUMIFS(rng_out_awp_pre_yr2,rng_out_sel_excl_yr_ind, [1]Tables!$HN$5, rng_out_GB_Medispan, O$1,rng_out_sel_G_ind,J$1,rng_out_sel_sp_ind,$D362,rng_out_sel_excl_ind,$E362)* _xlfn.XLOOKUP([1]Tables!$HN$5,'[1]RA Output'!$AY$4:$AY$5,'[1]RA Output'!BA$4:BA$5,0)+
IF($E$363="N", 0,
SUMIFS(rng_out_awp_pre_yr2, rng_out_GB_Medispan, O$1, rng_out_sel_G_ind, J$1, rng_out_sel_sp_ind, $D362, rng_out_sel_excl_ind,"N", rng_out_post_reb_ind_yr2, 0))</f>
        <v>#VALUE!</v>
      </c>
      <c r="K362" s="5" t="e" cm="1">
        <f t="array" aca="1" ref="K362" ca="1">SUMIFS(rng_out_awp_pre_yr3,rng_out_sel_excl_yr_ind, "", rng_out_GB_Medispan, P$1,rng_out_sel_G_ind,K$1,rng_out_sel_sp_ind,$D362,rng_out_sel_excl_ind,$E362)+
SUMIFS(rng_out_awp_pre_yr3,rng_out_sel_excl_yr_ind, [1]Tables!$HN$4, rng_out_GB_Medispan, P$1,rng_out_sel_G_ind,K$1,rng_out_sel_sp_ind,$D362,rng_out_sel_excl_ind,$E362)* _xlfn.XLOOKUP([1]Tables!$HN$4,'[1]RA Output'!$AY$4:$AY$5,'[1]RA Output'!BB$4:BB$5,0)  +
SUMIFS(rng_out_awp_pre_yr3,rng_out_sel_excl_yr_ind, [1]Tables!$HN$5, rng_out_GB_Medispan, P$1,rng_out_sel_G_ind,K$1,rng_out_sel_sp_ind,$D362,rng_out_sel_excl_ind,$E362)* _xlfn.XLOOKUP([1]Tables!$HN$5,'[1]RA Output'!$AY$4:$AY$5,'[1]RA Output'!BB$4:BB$5,0)+
IF($E$363="N", 0,
SUMIFS(rng_out_awp_pre_yr3, rng_out_GB_Medispan, P$1, rng_out_sel_G_ind, K$1, rng_out_sel_sp_ind, $D362, rng_out_sel_excl_ind,"N", rng_out_post_reb_ind_yr3, 0))</f>
        <v>#VALUE!</v>
      </c>
      <c r="L362" s="5" t="e" cm="1">
        <f t="array" aca="1" ref="L362" ca="1">SUMIFS(rng_out_awp_pre_yr4,rng_out_sel_excl_yr_ind, "", rng_out_GB_Medispan, Q$1,rng_out_sel_G_ind,L$1,rng_out_sel_sp_ind,$D362,rng_out_sel_excl_ind,$E362)+
SUMIFS(rng_out_awp_pre_yr4,rng_out_sel_excl_yr_ind, [1]Tables!$HN$4, rng_out_GB_Medispan, Q$1,rng_out_sel_G_ind,L$1,rng_out_sel_sp_ind,$D362,rng_out_sel_excl_ind,$E362)* _xlfn.XLOOKUP([1]Tables!$HN$4,'[1]RA Output'!$AY$4:$AY$5,'[1]RA Output'!BC$4:BC$5,0)  +
SUMIFS(rng_out_awp_pre_yr4,rng_out_sel_excl_yr_ind, [1]Tables!$HN$5, rng_out_GB_Medispan, Q$1,rng_out_sel_G_ind,L$1,rng_out_sel_sp_ind,$D362,rng_out_sel_excl_ind,$E362)* _xlfn.XLOOKUP([1]Tables!$HN$5,'[1]RA Output'!$AY$4:$AY$5,'[1]RA Output'!BC$4:BC$5,0)+
IF($E$363="N", 0,
SUMIFS(rng_out_awp_pre_yr4, rng_out_GB_Medispan, Q$1, rng_out_sel_G_ind, L$1, rng_out_sel_sp_ind, $D362, rng_out_sel_excl_ind,"N", rng_out_post_reb_ind_yr4, 0))</f>
        <v>#VALUE!</v>
      </c>
      <c r="M362" s="125" t="e" cm="1">
        <f t="array" aca="1" ref="M362" ca="1">SUMIFS(rng_out_awp_pre_yr5,rng_out_sel_excl_yr_ind, "", rng_out_GB_Medispan, R$1,rng_out_sel_G_ind,M$1,rng_out_sel_sp_ind,$D362,rng_out_sel_excl_ind,$E362)+
SUMIFS(rng_out_awp_pre_yr5,rng_out_sel_excl_yr_ind, [1]Tables!$HN$4, rng_out_GB_Medispan, R$1,rng_out_sel_G_ind,M$1,rng_out_sel_sp_ind,$D362,rng_out_sel_excl_ind,$E362)* _xlfn.XLOOKUP([1]Tables!$HN$4,'[1]RA Output'!$AY$4:$AY$5,'[1]RA Output'!BD$4:BD$5,0)  +
SUMIFS(rng_out_awp_pre_yr5,rng_out_sel_excl_yr_ind, [1]Tables!$HN$5, rng_out_GB_Medispan, R$1,rng_out_sel_G_ind,M$1,rng_out_sel_sp_ind,$D362,rng_out_sel_excl_ind,$E362)* _xlfn.XLOOKUP([1]Tables!$HN$5,'[1]RA Output'!$AY$4:$AY$5,'[1]RA Output'!BD$4:BD$5,0)+
IF($E$363="N", 0,
SUMIFS(rng_out_awp_pre_yr5, rng_out_GB_Medispan, R$1, rng_out_sel_G_ind, M$1, rng_out_sel_sp_ind, $D362, rng_out_sel_excl_ind,"N", rng_out_post_reb_ind_yr5, 0))</f>
        <v>#VALUE!</v>
      </c>
      <c r="N362" s="74">
        <f t="shared" ca="1" si="378"/>
        <v>0</v>
      </c>
      <c r="O362" s="75">
        <f t="shared" ca="1" si="378"/>
        <v>0</v>
      </c>
      <c r="P362" s="75">
        <f t="shared" ca="1" si="378"/>
        <v>0</v>
      </c>
      <c r="Q362" s="75">
        <f t="shared" ca="1" si="378"/>
        <v>0</v>
      </c>
      <c r="R362" s="126">
        <f t="shared" ca="1" si="378"/>
        <v>0</v>
      </c>
      <c r="Y362" s="119" t="s">
        <v>17</v>
      </c>
      <c r="Z362" s="127">
        <f ca="1">IFERROR(I362/[1]Tables!$AT$4, 0)</f>
        <v>0</v>
      </c>
      <c r="AA362" s="128">
        <f ca="1">IFERROR(J362/[1]Tables!$AT$4, 0)</f>
        <v>0</v>
      </c>
      <c r="AB362" s="128">
        <f ca="1">IFERROR(K362/[1]Tables!$AT$4, 0)</f>
        <v>0</v>
      </c>
      <c r="AC362" s="128">
        <f ca="1">IFERROR(L362/[1]Tables!$AT$4, 0)</f>
        <v>0</v>
      </c>
      <c r="AD362" s="129">
        <f ca="1">IFERROR(M362/[1]Tables!$AT$4, 0)</f>
        <v>0</v>
      </c>
      <c r="AE362" s="130">
        <f t="shared" ca="1" si="379"/>
        <v>0</v>
      </c>
      <c r="AF362" s="131">
        <f t="shared" ca="1" si="379"/>
        <v>0</v>
      </c>
      <c r="AG362" s="131">
        <f t="shared" ca="1" si="379"/>
        <v>0</v>
      </c>
      <c r="AH362" s="131">
        <f t="shared" ca="1" si="379"/>
        <v>0</v>
      </c>
      <c r="AI362" s="132">
        <f t="shared" ca="1" si="379"/>
        <v>0</v>
      </c>
      <c r="AP362" s="120" t="s">
        <v>17</v>
      </c>
      <c r="AQ362" s="167" cm="1">
        <f t="array" aca="1" ref="AQ362" ca="1">IFERROR(IF($E$354="N", (SUMIFS(rng_out_awp_post_yr1,rng_out_sel_excl_yr_ind, "", rng_out_GB_Medispan, N$1,rng_out_sel_G_ind,I$1,rng_out_sel_sp_ind,$D362,rng_out_sel_excl_ind,$E362)+
SUMIFS(rng_out_awp_post_yr1,rng_out_sel_excl_yr_ind, [1]Tables!$HN$4, rng_out_GB_Medispan, N$1,rng_out_sel_G_ind,I$1,rng_out_sel_sp_ind,$D362,rng_out_sel_excl_ind,$E362)* _xlfn.XLOOKUP([1]Tables!$HN$4,'[1]RA Output'!$AY$4:$AY$5,'[1]RA Output'!AZ$4:AZ$5,0)  +
SUMIFS(rng_out_awp_post_yr1,rng_out_sel_excl_yr_ind, [1]Tables!$HN$5, rng_out_GB_Medispan, N$1,rng_out_sel_G_ind,I$1,rng_out_sel_sp_ind,$D362,rng_out_sel_excl_ind,$E362)* _xlfn.XLOOKUP([1]Tables!$HN$5,'[1]RA Output'!$AY$4:$AY$5,'[1]RA Output'!AZ$4:AZ$5,0))/[1]Tables!$AT$4,
(SUMIFS(rng_out_awp_post_yr1,rng_out_sel_excl_yr_ind, "", rng_out_GB_Medispan, N$1,rng_out_sel_G_ind,I$1,rng_out_sel_sp_ind,$D362,rng_out_sel_excl_ind,$E362)+
SUMIFS(rng_out_awp_post_yr1,rng_out_sel_excl_yr_ind, [1]Tables!$HN$4, rng_out_GB_Medispan, N$1,rng_out_sel_G_ind,I$1,rng_out_sel_sp_ind,$D362,rng_out_sel_excl_ind,$E362)* _xlfn.XLOOKUP([1]Tables!$HN$4,'[1]RA Output'!$AY$4:$AY$5,'[1]RA Output'!AZ$4:AZ$5,0)  +
SUMIFS(rng_out_awp_post_yr1,rng_out_sel_excl_yr_ind, [1]Tables!$HN$5, rng_out_GB_Medispan, N$1,rng_out_sel_G_ind,I$1,rng_out_sel_sp_ind,$D362,rng_out_sel_excl_ind,$E362)* _xlfn.XLOOKUP([1]Tables!$HN$5,'[1]RA Output'!$AY$4:$AY$5,'[1]RA Output'!AZ$4:AZ$5,0))/[1]Tables!$AT$4 +
SUMIFS(rng_out_awp_post_yr1, rng_out_GB_Medispan, N$1,rng_out_sel_G_ind,I$1, rng_out_sel_sp_ind, $D362, rng_out_sel_excl_ind,"N", rng_out_post_reb_ind_yr1, 0)/[1]Tables!$AT$4), 0)</f>
        <v>0</v>
      </c>
      <c r="AR362" s="134" cm="1">
        <f t="array" aca="1" ref="AR362" ca="1">IFERROR(IF($E$354="N", (SUMIFS(rng_out_awp_post_yr2,rng_out_sel_excl_yr_ind, "", rng_out_GB_Medispan, O$1,rng_out_sel_G_ind,J$1,rng_out_sel_sp_ind,$D362,rng_out_sel_excl_ind,$E362)+
SUMIFS(rng_out_awp_post_yr2,rng_out_sel_excl_yr_ind, [1]Tables!$HN$4, rng_out_GB_Medispan, O$1,rng_out_sel_G_ind,J$1,rng_out_sel_sp_ind,$D362,rng_out_sel_excl_ind,$E362)* _xlfn.XLOOKUP([1]Tables!$HN$4,'[1]RA Output'!$AY$4:$AY$5,'[1]RA Output'!BA$4:BA$5,0)  +
SUMIFS(rng_out_awp_post_yr2,rng_out_sel_excl_yr_ind, [1]Tables!$HN$5, rng_out_GB_Medispan, O$1,rng_out_sel_G_ind,J$1,rng_out_sel_sp_ind,$D362,rng_out_sel_excl_ind,$E362)* _xlfn.XLOOKUP([1]Tables!$HN$5,'[1]RA Output'!$AY$4:$AY$5,'[1]RA Output'!BA$4:BA$5,0))/[1]Tables!$AT$4,
(SUMIFS(rng_out_awp_post_yr2,rng_out_sel_excl_yr_ind, "", rng_out_GB_Medispan, O$1,rng_out_sel_G_ind,J$1,rng_out_sel_sp_ind,$D362,rng_out_sel_excl_ind,$E362)+
SUMIFS(rng_out_awp_post_yr2,rng_out_sel_excl_yr_ind, [1]Tables!$HN$4, rng_out_GB_Medispan, O$1,rng_out_sel_G_ind,J$1,rng_out_sel_sp_ind,$D362,rng_out_sel_excl_ind,$E362)* _xlfn.XLOOKUP([1]Tables!$HN$4,'[1]RA Output'!$AY$4:$AY$5,'[1]RA Output'!BA$4:BA$5,0)  +
SUMIFS(rng_out_awp_post_yr2,rng_out_sel_excl_yr_ind, [1]Tables!$HN$5, rng_out_GB_Medispan, O$1,rng_out_sel_G_ind,J$1,rng_out_sel_sp_ind,$D362,rng_out_sel_excl_ind,$E362)* _xlfn.XLOOKUP([1]Tables!$HN$5,'[1]RA Output'!$AY$4:$AY$5,'[1]RA Output'!BA$4:BA$5,0))/[1]Tables!$AT$4 +
SUMIFS(rng_out_awp_post_yr2, rng_out_GB_Medispan, O$1,rng_out_sel_G_ind,J$1, rng_out_sel_sp_ind, $D362, rng_out_sel_excl_ind,"N", rng_out_post_reb_ind_yr2, 0)/[1]Tables!$AT$4), 0)</f>
        <v>0</v>
      </c>
      <c r="AS362" s="134" cm="1">
        <f t="array" aca="1" ref="AS362" ca="1">IFERROR(IF($E$354="N", (SUMIFS(rng_out_awp_post_yr3,rng_out_sel_excl_yr_ind, "", rng_out_GB_Medispan, P$1,rng_out_sel_G_ind,K$1,rng_out_sel_sp_ind,$D362,rng_out_sel_excl_ind,$E362)+
SUMIFS(rng_out_awp_post_yr3,rng_out_sel_excl_yr_ind, [1]Tables!$HN$4, rng_out_GB_Medispan, P$1,rng_out_sel_G_ind,K$1,rng_out_sel_sp_ind,$D362,rng_out_sel_excl_ind,$E362)* _xlfn.XLOOKUP([1]Tables!$HN$4,'[1]RA Output'!$AY$4:$AY$5,'[1]RA Output'!BB$4:BB$5,0)  +
SUMIFS(rng_out_awp_post_yr3,rng_out_sel_excl_yr_ind, [1]Tables!$HN$5, rng_out_GB_Medispan, P$1,rng_out_sel_G_ind,K$1,rng_out_sel_sp_ind,$D362,rng_out_sel_excl_ind,$E362)* _xlfn.XLOOKUP([1]Tables!$HN$5,'[1]RA Output'!$AY$4:$AY$5,'[1]RA Output'!BB$4:BB$5,0))/[1]Tables!$AT$4,
(SUMIFS(rng_out_awp_post_yr3,rng_out_sel_excl_yr_ind, "", rng_out_GB_Medispan, P$1,rng_out_sel_G_ind,K$1,rng_out_sel_sp_ind,$D362,rng_out_sel_excl_ind,$E362)+
SUMIFS(rng_out_awp_post_yr3,rng_out_sel_excl_yr_ind, [1]Tables!$HN$4, rng_out_GB_Medispan, P$1,rng_out_sel_G_ind,K$1,rng_out_sel_sp_ind,$D362,rng_out_sel_excl_ind,$E362)* _xlfn.XLOOKUP([1]Tables!$HN$4,'[1]RA Output'!$AY$4:$AY$5,'[1]RA Output'!BB$4:BB$5,0)  +
SUMIFS(rng_out_awp_post_yr3,rng_out_sel_excl_yr_ind, [1]Tables!$HN$5, rng_out_GB_Medispan, P$1,rng_out_sel_G_ind,K$1,rng_out_sel_sp_ind,$D362,rng_out_sel_excl_ind,$E362)* _xlfn.XLOOKUP([1]Tables!$HN$5,'[1]RA Output'!$AY$4:$AY$5,'[1]RA Output'!BB$4:BB$5,0))/[1]Tables!$AT$4 +
SUMIFS(rng_out_awp_post_yr3, rng_out_GB_Medispan, P$1,rng_out_sel_G_ind,K$1, rng_out_sel_sp_ind, $D362, rng_out_sel_excl_ind,"N", rng_out_post_reb_ind_yr3, 0)/[1]Tables!$AT$4), 0)</f>
        <v>0</v>
      </c>
      <c r="AT362" s="134" cm="1">
        <f t="array" aca="1" ref="AT362" ca="1">IFERROR(IF($E$354="N", (SUMIFS(rng_out_awp_post_yr4,rng_out_sel_excl_yr_ind, "", rng_out_GB_Medispan, Q$1,rng_out_sel_G_ind,L$1,rng_out_sel_sp_ind,$D362,rng_out_sel_excl_ind,$E362)+
SUMIFS(rng_out_awp_post_yr4,rng_out_sel_excl_yr_ind, [1]Tables!$HN$4, rng_out_GB_Medispan, Q$1,rng_out_sel_G_ind,L$1,rng_out_sel_sp_ind,$D362,rng_out_sel_excl_ind,$E362)* _xlfn.XLOOKUP([1]Tables!$HN$4,'[1]RA Output'!$AY$4:$AY$5,'[1]RA Output'!BC$4:BC$5,0)  +
SUMIFS(rng_out_awp_post_yr4,rng_out_sel_excl_yr_ind, [1]Tables!$HN$5, rng_out_GB_Medispan, Q$1,rng_out_sel_G_ind,L$1,rng_out_sel_sp_ind,$D362,rng_out_sel_excl_ind,$E362)* _xlfn.XLOOKUP([1]Tables!$HN$5,'[1]RA Output'!$AY$4:$AY$5,'[1]RA Output'!BC$4:BC$5,0))/[1]Tables!$AT$4,
(SUMIFS(rng_out_awp_post_yr4,rng_out_sel_excl_yr_ind, "", rng_out_GB_Medispan, Q$1,rng_out_sel_G_ind,L$1,rng_out_sel_sp_ind,$D362,rng_out_sel_excl_ind,$E362)+
SUMIFS(rng_out_awp_post_yr4,rng_out_sel_excl_yr_ind, [1]Tables!$HN$4, rng_out_GB_Medispan, Q$1,rng_out_sel_G_ind,L$1,rng_out_sel_sp_ind,$D362,rng_out_sel_excl_ind,$E362)* _xlfn.XLOOKUP([1]Tables!$HN$4,'[1]RA Output'!$AY$4:$AY$5,'[1]RA Output'!BC$4:BC$5,0)  +
SUMIFS(rng_out_awp_post_yr4,rng_out_sel_excl_yr_ind, [1]Tables!$HN$5, rng_out_GB_Medispan, Q$1,rng_out_sel_G_ind,L$1,rng_out_sel_sp_ind,$D362,rng_out_sel_excl_ind,$E362)* _xlfn.XLOOKUP([1]Tables!$HN$5,'[1]RA Output'!$AY$4:$AY$5,'[1]RA Output'!BC$4:BC$5,0))/[1]Tables!$AT$4 +
SUMIFS(rng_out_awp_post_yr4, rng_out_GB_Medispan, Q$1,rng_out_sel_G_ind,L$1, rng_out_sel_sp_ind, $D362, rng_out_sel_excl_ind,"N", rng_out_post_reb_ind_yr4, 0)/[1]Tables!$AT$4), 0)</f>
        <v>0</v>
      </c>
      <c r="AU362" s="135" cm="1">
        <f t="array" aca="1" ref="AU362" ca="1">IFERROR(IF($E$354="N", (SUMIFS(rng_out_awp_post_yr5,rng_out_sel_excl_yr_ind, "", rng_out_GB_Medispan, R$1,rng_out_sel_G_ind,M$1,rng_out_sel_sp_ind,$D362,rng_out_sel_excl_ind,$E362)+
SUMIFS(rng_out_awp_post_yr5,rng_out_sel_excl_yr_ind, [1]Tables!$HN$4, rng_out_GB_Medispan, R$1,rng_out_sel_G_ind,M$1,rng_out_sel_sp_ind,$D362,rng_out_sel_excl_ind,$E362)* _xlfn.XLOOKUP([1]Tables!$HN$4,'[1]RA Output'!$AY$4:$AY$5,'[1]RA Output'!BD$4:BD$5,0)  +
SUMIFS(rng_out_awp_post_yr5,rng_out_sel_excl_yr_ind, [1]Tables!$HN$5, rng_out_GB_Medispan, R$1,rng_out_sel_G_ind,M$1,rng_out_sel_sp_ind,$D362,rng_out_sel_excl_ind,$E362)* _xlfn.XLOOKUP([1]Tables!$HN$5,'[1]RA Output'!$AY$4:$AY$5,'[1]RA Output'!BD$4:BD$5,0))/[1]Tables!$AT$4,
(SUMIFS(rng_out_awp_post_yr5,rng_out_sel_excl_yr_ind, "", rng_out_GB_Medispan, R$1,rng_out_sel_G_ind,M$1,rng_out_sel_sp_ind,$D362,rng_out_sel_excl_ind,$E362)+
SUMIFS(rng_out_awp_post_yr5,rng_out_sel_excl_yr_ind, [1]Tables!$HN$4, rng_out_GB_Medispan, R$1,rng_out_sel_G_ind,M$1,rng_out_sel_sp_ind,$D362,rng_out_sel_excl_ind,$E362)* _xlfn.XLOOKUP([1]Tables!$HN$4,'[1]RA Output'!$AY$4:$AY$5,'[1]RA Output'!BD$4:BD$5,0)  +
SUMIFS(rng_out_awp_post_yr5,rng_out_sel_excl_yr_ind, [1]Tables!$HN$5, rng_out_GB_Medispan, R$1,rng_out_sel_G_ind,M$1,rng_out_sel_sp_ind,$D362,rng_out_sel_excl_ind,$E362)* _xlfn.XLOOKUP([1]Tables!$HN$5,'[1]RA Output'!$AY$4:$AY$5,'[1]RA Output'!BD$4:BD$5,0))/[1]Tables!$AT$4 +
SUMIFS(rng_out_awp_post_yr5, rng_out_GB_Medispan, R$1,rng_out_sel_G_ind,M$1, rng_out_sel_sp_ind, $D362, rng_out_sel_excl_ind,"N", rng_out_post_reb_ind_yr5, 0)/[1]Tables!$AT$4), 0)</f>
        <v>0</v>
      </c>
      <c r="AV362" s="136">
        <f t="shared" ca="1" si="380"/>
        <v>0</v>
      </c>
      <c r="AW362" s="137">
        <f t="shared" ca="1" si="380"/>
        <v>0</v>
      </c>
      <c r="AX362" s="137">
        <f t="shared" ca="1" si="380"/>
        <v>0</v>
      </c>
      <c r="AY362" s="137">
        <f t="shared" ca="1" si="380"/>
        <v>0</v>
      </c>
      <c r="AZ362" s="138">
        <f t="shared" ca="1" si="380"/>
        <v>0</v>
      </c>
      <c r="BG362" s="121" t="s">
        <v>17</v>
      </c>
      <c r="BH362" s="145">
        <f t="shared" ca="1" si="381"/>
        <v>0</v>
      </c>
      <c r="BI362" s="146">
        <f t="shared" ca="1" si="381"/>
        <v>0</v>
      </c>
      <c r="BJ362" s="146">
        <f t="shared" ca="1" si="381"/>
        <v>0</v>
      </c>
      <c r="BK362" s="146">
        <f t="shared" ca="1" si="381"/>
        <v>0</v>
      </c>
      <c r="BL362" s="147">
        <f t="shared" ca="1" si="381"/>
        <v>0</v>
      </c>
      <c r="BM362" s="142">
        <f t="shared" ca="1" si="382"/>
        <v>0</v>
      </c>
      <c r="BN362" s="143">
        <f t="shared" ca="1" si="382"/>
        <v>0</v>
      </c>
      <c r="BO362" s="143">
        <f t="shared" ca="1" si="382"/>
        <v>0</v>
      </c>
      <c r="BP362" s="143">
        <f t="shared" ca="1" si="382"/>
        <v>0</v>
      </c>
      <c r="BQ362" s="144">
        <f t="shared" ca="1" si="382"/>
        <v>0</v>
      </c>
      <c r="BX362" s="121" t="s">
        <v>17</v>
      </c>
      <c r="BY362" s="145">
        <f t="shared" ca="1" si="383"/>
        <v>0</v>
      </c>
      <c r="BZ362" s="146">
        <f t="shared" ca="1" si="383"/>
        <v>0</v>
      </c>
      <c r="CA362" s="146">
        <f t="shared" ca="1" si="383"/>
        <v>0</v>
      </c>
      <c r="CB362" s="146">
        <f t="shared" ca="1" si="383"/>
        <v>0</v>
      </c>
      <c r="CC362" s="147">
        <f t="shared" ca="1" si="383"/>
        <v>0</v>
      </c>
      <c r="CD362" s="142">
        <f t="shared" ca="1" si="384"/>
        <v>0</v>
      </c>
      <c r="CE362" s="143">
        <f t="shared" ca="1" si="384"/>
        <v>0</v>
      </c>
      <c r="CF362" s="143">
        <f t="shared" ca="1" si="384"/>
        <v>0</v>
      </c>
      <c r="CG362" s="143">
        <f t="shared" ca="1" si="384"/>
        <v>0</v>
      </c>
      <c r="CH362" s="144">
        <f t="shared" ca="1" si="384"/>
        <v>0</v>
      </c>
      <c r="CO362" s="252"/>
      <c r="CP362" s="252"/>
    </row>
    <row r="363" spans="2:111" ht="15" thickBot="1" x14ac:dyDescent="0.4">
      <c r="B363" s="106"/>
      <c r="C363" s="236"/>
      <c r="D363" s="236" t="s">
        <v>29</v>
      </c>
      <c r="E363" s="237" t="str">
        <f>IF(sel_excl_nonRebatable=1, "Y", "N")</f>
        <v>N</v>
      </c>
      <c r="H363" s="154" t="s">
        <v>18</v>
      </c>
      <c r="I363" s="155" t="e">
        <f ca="1">SUM(I359:I362)</f>
        <v>#VALUE!</v>
      </c>
      <c r="J363" s="155" t="e">
        <f ca="1">SUM(J359:J362)</f>
        <v>#VALUE!</v>
      </c>
      <c r="K363" s="155" t="e">
        <f ca="1">SUM(K359:K362)</f>
        <v>#VALUE!</v>
      </c>
      <c r="L363" s="155" t="e">
        <f ca="1">SUM(L359:L362)</f>
        <v>#VALUE!</v>
      </c>
      <c r="M363" s="156" t="e">
        <f ca="1">SUM(M359:M362)</f>
        <v>#VALUE!</v>
      </c>
      <c r="N363" s="157">
        <f t="shared" ca="1" si="378"/>
        <v>0</v>
      </c>
      <c r="O363" s="157">
        <f t="shared" ca="1" si="378"/>
        <v>0</v>
      </c>
      <c r="P363" s="157">
        <f t="shared" ca="1" si="378"/>
        <v>0</v>
      </c>
      <c r="Q363" s="157">
        <f t="shared" ca="1" si="378"/>
        <v>0</v>
      </c>
      <c r="R363" s="158">
        <f t="shared" ca="1" si="378"/>
        <v>0</v>
      </c>
      <c r="Y363" s="159" t="s">
        <v>18</v>
      </c>
      <c r="Z363" s="160">
        <f ca="1">SUM(Z359:Z362)</f>
        <v>0</v>
      </c>
      <c r="AA363" s="161">
        <f ca="1">SUM(AA359:AA362)</f>
        <v>0</v>
      </c>
      <c r="AB363" s="161">
        <f ca="1">SUM(AB359:AB362)</f>
        <v>0</v>
      </c>
      <c r="AC363" s="161">
        <f ca="1">SUM(AC359:AC362)</f>
        <v>0</v>
      </c>
      <c r="AD363" s="162">
        <f ca="1">SUM(AD359:AD362)</f>
        <v>0</v>
      </c>
      <c r="AE363" s="163">
        <f t="shared" ca="1" si="379"/>
        <v>0</v>
      </c>
      <c r="AF363" s="164">
        <f t="shared" ca="1" si="379"/>
        <v>0</v>
      </c>
      <c r="AG363" s="164">
        <f t="shared" ca="1" si="379"/>
        <v>0</v>
      </c>
      <c r="AH363" s="164">
        <f t="shared" ca="1" si="379"/>
        <v>0</v>
      </c>
      <c r="AI363" s="165">
        <f t="shared" ca="1" si="379"/>
        <v>0</v>
      </c>
      <c r="AP363" s="166" t="s">
        <v>18</v>
      </c>
      <c r="AQ363" s="167">
        <f ca="1">SUM(AQ359:AQ362)</f>
        <v>0</v>
      </c>
      <c r="AR363" s="134">
        <f ca="1">SUM(AR359:AR362)</f>
        <v>0</v>
      </c>
      <c r="AS363" s="134">
        <f ca="1">SUM(AS359:AS362)</f>
        <v>0</v>
      </c>
      <c r="AT363" s="134">
        <f ca="1">SUM(AT359:AT362)</f>
        <v>0</v>
      </c>
      <c r="AU363" s="135">
        <f ca="1">SUM(AU359:AU362)</f>
        <v>0</v>
      </c>
      <c r="AV363" s="168">
        <f t="shared" ca="1" si="380"/>
        <v>0</v>
      </c>
      <c r="AW363" s="169">
        <f t="shared" ca="1" si="380"/>
        <v>0</v>
      </c>
      <c r="AX363" s="169">
        <f t="shared" ca="1" si="380"/>
        <v>0</v>
      </c>
      <c r="AY363" s="169">
        <f t="shared" ca="1" si="380"/>
        <v>0</v>
      </c>
      <c r="AZ363" s="170">
        <f t="shared" ca="1" si="380"/>
        <v>0</v>
      </c>
      <c r="BG363" s="171" t="s">
        <v>18</v>
      </c>
      <c r="BH363" s="172">
        <f ca="1">SUM(BH359:BH362)</f>
        <v>0</v>
      </c>
      <c r="BI363" s="173">
        <f ca="1">SUM(BI359:BI362)</f>
        <v>0</v>
      </c>
      <c r="BJ363" s="173">
        <f ca="1">SUM(BJ359:BJ362)</f>
        <v>0</v>
      </c>
      <c r="BK363" s="173">
        <f ca="1">SUM(BK359:BK362)</f>
        <v>0</v>
      </c>
      <c r="BL363" s="174">
        <f ca="1">SUM(BL359:BL362)</f>
        <v>0</v>
      </c>
      <c r="BM363" s="175">
        <f t="shared" ca="1" si="382"/>
        <v>0</v>
      </c>
      <c r="BN363" s="176">
        <f t="shared" ca="1" si="382"/>
        <v>0</v>
      </c>
      <c r="BO363" s="176">
        <f t="shared" ca="1" si="382"/>
        <v>0</v>
      </c>
      <c r="BP363" s="176">
        <f t="shared" ca="1" si="382"/>
        <v>0</v>
      </c>
      <c r="BQ363" s="177">
        <f t="shared" ca="1" si="382"/>
        <v>0</v>
      </c>
      <c r="BX363" s="171" t="s">
        <v>18</v>
      </c>
      <c r="BY363" s="172">
        <f ca="1">SUM(BY359:BY362)</f>
        <v>0</v>
      </c>
      <c r="BZ363" s="173">
        <f ca="1">SUM(BZ359:BZ362)</f>
        <v>0</v>
      </c>
      <c r="CA363" s="173">
        <f ca="1">SUM(CA359:CA362)</f>
        <v>0</v>
      </c>
      <c r="CB363" s="173">
        <f ca="1">SUM(CB359:CB362)</f>
        <v>0</v>
      </c>
      <c r="CC363" s="174">
        <f ca="1">SUM(CC359:CC362)</f>
        <v>0</v>
      </c>
      <c r="CD363" s="175">
        <f ca="1">IFERROR(BY363/CD289, 0)</f>
        <v>0</v>
      </c>
      <c r="CE363" s="176">
        <f ca="1">IFERROR(BZ363/CE289, 0)</f>
        <v>0</v>
      </c>
      <c r="CF363" s="176">
        <f ca="1">IFERROR(CA363/CF289, 0)</f>
        <v>0</v>
      </c>
      <c r="CG363" s="176">
        <f ca="1">IFERROR(CB363/CG289, 0)</f>
        <v>0</v>
      </c>
      <c r="CH363" s="177">
        <f ca="1">IFERROR(CC363/CH289, 0)</f>
        <v>0</v>
      </c>
      <c r="CO363" s="252"/>
      <c r="CP363" s="252"/>
    </row>
    <row r="364" spans="2:111" ht="15" thickBot="1" x14ac:dyDescent="0.4">
      <c r="CO364" s="252"/>
      <c r="CP364" s="252"/>
    </row>
    <row r="365" spans="2:111" ht="15" thickBot="1" x14ac:dyDescent="0.4">
      <c r="I365" s="21" t="s">
        <v>75</v>
      </c>
      <c r="J365" s="22"/>
      <c r="K365" s="22"/>
      <c r="L365" s="22"/>
      <c r="M365" s="22"/>
      <c r="N365" s="22"/>
      <c r="O365" s="22"/>
      <c r="P365" s="22"/>
      <c r="Q365" s="22"/>
      <c r="R365" s="23"/>
      <c r="Z365" s="24" t="s">
        <v>75</v>
      </c>
      <c r="AA365" s="25"/>
      <c r="AB365" s="25"/>
      <c r="AC365" s="25"/>
      <c r="AD365" s="25"/>
      <c r="AE365" s="25"/>
      <c r="AF365" s="25"/>
      <c r="AG365" s="25"/>
      <c r="AH365" s="25"/>
      <c r="AI365" s="26"/>
      <c r="AQ365" s="354" t="s">
        <v>75</v>
      </c>
      <c r="AR365" s="29"/>
      <c r="AS365" s="29"/>
      <c r="AT365" s="29"/>
      <c r="AU365" s="29"/>
      <c r="AV365" s="29"/>
      <c r="AW365" s="29"/>
      <c r="AX365" s="29"/>
      <c r="AY365" s="29"/>
      <c r="AZ365" s="355"/>
      <c r="BH365" s="31" t="s">
        <v>75</v>
      </c>
      <c r="BI365" s="32"/>
      <c r="BJ365" s="32"/>
      <c r="BK365" s="32"/>
      <c r="BL365" s="32"/>
      <c r="BM365" s="32"/>
      <c r="BN365" s="32"/>
      <c r="BO365" s="32"/>
      <c r="BP365" s="32"/>
      <c r="BQ365" s="33"/>
      <c r="BY365" s="34" t="s">
        <v>75</v>
      </c>
      <c r="BZ365" s="35"/>
      <c r="CA365" s="35"/>
      <c r="CB365" s="35"/>
      <c r="CC365" s="35"/>
      <c r="CD365" s="35"/>
      <c r="CE365" s="35"/>
      <c r="CF365" s="35"/>
      <c r="CG365" s="35"/>
      <c r="CH365" s="36"/>
      <c r="DC365" s="34" t="s">
        <v>45</v>
      </c>
      <c r="DD365" s="35"/>
      <c r="DE365" s="35"/>
      <c r="DF365" s="35"/>
      <c r="DG365" s="36"/>
    </row>
    <row r="366" spans="2:111" ht="15" thickBot="1" x14ac:dyDescent="0.4">
      <c r="H366" s="37"/>
      <c r="I366" s="302" t="s">
        <v>72</v>
      </c>
      <c r="J366" s="303"/>
      <c r="K366" s="303"/>
      <c r="L366" s="303"/>
      <c r="M366" s="304"/>
      <c r="N366" s="302" t="s">
        <v>73</v>
      </c>
      <c r="O366" s="303"/>
      <c r="P366" s="303"/>
      <c r="Q366" s="303"/>
      <c r="R366" s="304"/>
      <c r="Z366" s="41" t="s">
        <v>72</v>
      </c>
      <c r="AA366" s="42"/>
      <c r="AB366" s="42"/>
      <c r="AC366" s="42"/>
      <c r="AD366" s="43"/>
      <c r="AE366" s="41" t="s">
        <v>73</v>
      </c>
      <c r="AF366" s="42"/>
      <c r="AG366" s="42"/>
      <c r="AH366" s="42"/>
      <c r="AI366" s="43"/>
      <c r="AQ366" s="44" t="s">
        <v>72</v>
      </c>
      <c r="AR366" s="45"/>
      <c r="AS366" s="45"/>
      <c r="AT366" s="45"/>
      <c r="AU366" s="46"/>
      <c r="AV366" s="44" t="s">
        <v>73</v>
      </c>
      <c r="AW366" s="45"/>
      <c r="AX366" s="45"/>
      <c r="AY366" s="45"/>
      <c r="AZ366" s="46"/>
      <c r="BH366" s="305" t="s">
        <v>72</v>
      </c>
      <c r="BI366" s="306"/>
      <c r="BJ366" s="306"/>
      <c r="BK366" s="306"/>
      <c r="BL366" s="307"/>
      <c r="BM366" s="305" t="s">
        <v>73</v>
      </c>
      <c r="BN366" s="306"/>
      <c r="BO366" s="306"/>
      <c r="BP366" s="306"/>
      <c r="BQ366" s="307"/>
      <c r="BY366" s="305" t="s">
        <v>72</v>
      </c>
      <c r="BZ366" s="306"/>
      <c r="CA366" s="306"/>
      <c r="CB366" s="306"/>
      <c r="CC366" s="307"/>
      <c r="CD366" s="305" t="s">
        <v>73</v>
      </c>
      <c r="CE366" s="306"/>
      <c r="CF366" s="306"/>
      <c r="CG366" s="306"/>
      <c r="CH366" s="307"/>
      <c r="DC366" s="52" t="s">
        <v>5</v>
      </c>
      <c r="DD366" s="50"/>
      <c r="DE366" s="50"/>
      <c r="DF366" s="50"/>
      <c r="DG366" s="51"/>
    </row>
    <row r="367" spans="2:111" ht="15" thickBot="1" x14ac:dyDescent="0.4">
      <c r="H367" s="55"/>
      <c r="I367" s="56" t="str">
        <f>[1]Tables!$AA$4</f>
        <v>07/27 - 06/28</v>
      </c>
      <c r="J367" s="55" t="str">
        <f>[1]Tables!$AA$5</f>
        <v>07/28 - 06/29</v>
      </c>
      <c r="K367" s="55" t="str">
        <f>[1]Tables!$AA$6</f>
        <v>07/29 - 06/30</v>
      </c>
      <c r="L367" s="55" t="str">
        <f>[1]Tables!$AA$7</f>
        <v>07/30 - 06/31</v>
      </c>
      <c r="M367" s="57" t="str">
        <f>[1]Tables!$AA$8</f>
        <v>07/31 - 06/32</v>
      </c>
      <c r="N367" s="56" t="str">
        <f>[1]Tables!$AA$4</f>
        <v>07/27 - 06/28</v>
      </c>
      <c r="O367" s="55" t="str">
        <f>[1]Tables!$AA$5</f>
        <v>07/28 - 06/29</v>
      </c>
      <c r="P367" s="55" t="str">
        <f>[1]Tables!$AA$6</f>
        <v>07/29 - 06/30</v>
      </c>
      <c r="Q367" s="55" t="str">
        <f>[1]Tables!$AA$7</f>
        <v>07/30 - 06/31</v>
      </c>
      <c r="R367" s="57" t="str">
        <f>[1]Tables!$AA$8</f>
        <v>07/31 - 06/32</v>
      </c>
      <c r="Y367" s="58"/>
      <c r="Z367" s="59" t="str">
        <f>[1]Tables!$AA$4</f>
        <v>07/27 - 06/28</v>
      </c>
      <c r="AA367" s="60" t="str">
        <f>[1]Tables!$AA$5</f>
        <v>07/28 - 06/29</v>
      </c>
      <c r="AB367" s="60" t="str">
        <f>[1]Tables!$AA$6</f>
        <v>07/29 - 06/30</v>
      </c>
      <c r="AC367" s="60" t="str">
        <f>[1]Tables!$AA$7</f>
        <v>07/30 - 06/31</v>
      </c>
      <c r="AD367" s="61" t="str">
        <f>[1]Tables!$AA$8</f>
        <v>07/31 - 06/32</v>
      </c>
      <c r="AE367" s="59" t="str">
        <f>[1]Tables!$AA$4</f>
        <v>07/27 - 06/28</v>
      </c>
      <c r="AF367" s="60" t="str">
        <f>[1]Tables!$AA$5</f>
        <v>07/28 - 06/29</v>
      </c>
      <c r="AG367" s="60" t="str">
        <f>[1]Tables!$AA$6</f>
        <v>07/29 - 06/30</v>
      </c>
      <c r="AH367" s="60" t="str">
        <f>[1]Tables!$AA$7</f>
        <v>07/30 - 06/31</v>
      </c>
      <c r="AI367" s="61" t="str">
        <f>[1]Tables!$AA$8</f>
        <v>07/31 - 06/32</v>
      </c>
      <c r="AP367" s="58"/>
      <c r="AQ367" s="62" t="str">
        <f>[1]Tables!$AA$4</f>
        <v>07/27 - 06/28</v>
      </c>
      <c r="AR367" s="63" t="str">
        <f>[1]Tables!$AA$5</f>
        <v>07/28 - 06/29</v>
      </c>
      <c r="AS367" s="63" t="str">
        <f>[1]Tables!$AA$6</f>
        <v>07/29 - 06/30</v>
      </c>
      <c r="AT367" s="63" t="str">
        <f>[1]Tables!$AA$7</f>
        <v>07/30 - 06/31</v>
      </c>
      <c r="AU367" s="64" t="str">
        <f>[1]Tables!$AA$8</f>
        <v>07/31 - 06/32</v>
      </c>
      <c r="AV367" s="62" t="str">
        <f>[1]Tables!$AA$4</f>
        <v>07/27 - 06/28</v>
      </c>
      <c r="AW367" s="63" t="str">
        <f>[1]Tables!$AA$5</f>
        <v>07/28 - 06/29</v>
      </c>
      <c r="AX367" s="63" t="str">
        <f>[1]Tables!$AA$6</f>
        <v>07/29 - 06/30</v>
      </c>
      <c r="AY367" s="63" t="str">
        <f>[1]Tables!$AA$7</f>
        <v>07/30 - 06/31</v>
      </c>
      <c r="AZ367" s="64" t="str">
        <f>[1]Tables!$AA$8</f>
        <v>07/31 - 06/32</v>
      </c>
      <c r="BG367" s="58"/>
      <c r="BH367" s="65" t="str">
        <f>[1]Tables!$AA$4</f>
        <v>07/27 - 06/28</v>
      </c>
      <c r="BI367" s="66" t="str">
        <f>[1]Tables!$AA$5</f>
        <v>07/28 - 06/29</v>
      </c>
      <c r="BJ367" s="66" t="str">
        <f>[1]Tables!$AA$6</f>
        <v>07/29 - 06/30</v>
      </c>
      <c r="BK367" s="66" t="str">
        <f>[1]Tables!$AA$7</f>
        <v>07/30 - 06/31</v>
      </c>
      <c r="BL367" s="67" t="str">
        <f>[1]Tables!$AA$8</f>
        <v>07/31 - 06/32</v>
      </c>
      <c r="BM367" s="65" t="str">
        <f>[1]Tables!$AA$4</f>
        <v>07/27 - 06/28</v>
      </c>
      <c r="BN367" s="66" t="str">
        <f>[1]Tables!$AA$5</f>
        <v>07/28 - 06/29</v>
      </c>
      <c r="BO367" s="66" t="str">
        <f>[1]Tables!$AA$6</f>
        <v>07/29 - 06/30</v>
      </c>
      <c r="BP367" s="66" t="str">
        <f>[1]Tables!$AA$7</f>
        <v>07/30 - 06/31</v>
      </c>
      <c r="BQ367" s="67" t="str">
        <f>[1]Tables!$AA$8</f>
        <v>07/31 - 06/32</v>
      </c>
      <c r="BX367" s="58"/>
      <c r="BY367" s="65" t="str">
        <f>[1]Tables!$AA$4</f>
        <v>07/27 - 06/28</v>
      </c>
      <c r="BZ367" s="66" t="str">
        <f>[1]Tables!$AA$5</f>
        <v>07/28 - 06/29</v>
      </c>
      <c r="CA367" s="66" t="str">
        <f>[1]Tables!$AA$6</f>
        <v>07/29 - 06/30</v>
      </c>
      <c r="CB367" s="66" t="str">
        <f>[1]Tables!$AA$7</f>
        <v>07/30 - 06/31</v>
      </c>
      <c r="CC367" s="67" t="str">
        <f>[1]Tables!$AA$8</f>
        <v>07/31 - 06/32</v>
      </c>
      <c r="CD367" s="65" t="str">
        <f>[1]Tables!$AA$4</f>
        <v>07/27 - 06/28</v>
      </c>
      <c r="CE367" s="66" t="str">
        <f>[1]Tables!$AA$5</f>
        <v>07/28 - 06/29</v>
      </c>
      <c r="CF367" s="66" t="str">
        <f>[1]Tables!$AA$6</f>
        <v>07/29 - 06/30</v>
      </c>
      <c r="CG367" s="66" t="str">
        <f>[1]Tables!$AA$7</f>
        <v>07/30 - 06/31</v>
      </c>
      <c r="CH367" s="67" t="str">
        <f>[1]Tables!$AA$8</f>
        <v>07/31 - 06/32</v>
      </c>
      <c r="DC367" s="65" t="str">
        <f>[1]Tables!$AA$4</f>
        <v>07/27 - 06/28</v>
      </c>
      <c r="DD367" s="66" t="str">
        <f>[1]Tables!$AA$5</f>
        <v>07/28 - 06/29</v>
      </c>
      <c r="DE367" s="66" t="str">
        <f>[1]Tables!$AA$6</f>
        <v>07/29 - 06/30</v>
      </c>
      <c r="DF367" s="66" t="str">
        <f>[1]Tables!$AA$7</f>
        <v>07/30 - 06/31</v>
      </c>
      <c r="DG367" s="67" t="str">
        <f>[1]Tables!$AA$8</f>
        <v>07/31 - 06/32</v>
      </c>
    </row>
    <row r="368" spans="2:111" x14ac:dyDescent="0.35">
      <c r="B368" s="68" t="s">
        <v>11</v>
      </c>
      <c r="C368" s="69">
        <v>30</v>
      </c>
      <c r="D368" s="69" t="s">
        <v>12</v>
      </c>
      <c r="E368" s="70" t="s">
        <v>13</v>
      </c>
      <c r="F368" s="106"/>
      <c r="H368" s="71" t="s">
        <v>14</v>
      </c>
      <c r="I368" s="72" t="e" cm="1">
        <f t="array" aca="1" ref="I368" ca="1">SUMIFS(rng_out_awp_pre_yr1,rng_out_sel_excl_yr_ind, "", rng_out_GB_Medispan, N$1,rng_out_mail_ind,$B368,rng_out_ds,$C368,rng_out_sel_sp_ind,$D368,rng_out_sel_excl_ind,$E368)+
SUMIFS(rng_out_awp_pre_yr1,rng_out_sel_excl_yr_ind, [1]Tables!$HN$4, rng_out_GB_Medispan, N$1,rng_out_mail_ind,$B368,rng_out_ds,$C368,rng_out_sel_sp_ind,$D368,rng_out_sel_excl_ind,$E368)* _xlfn.XLOOKUP([1]Tables!$HN$4,'[1]RA Output'!$AY$4:$AY$5,'[1]RA Output'!AZ$4:AZ$5,0)  +
SUMIFS(rng_out_awp_pre_yr1,rng_out_sel_excl_yr_ind, [1]Tables!$HN$5, rng_out_GB_Medispan, N$1,rng_out_mail_ind,$B368,rng_out_ds,$C368,rng_out_sel_sp_ind,$D368,rng_out_sel_excl_ind,$E368)* _xlfn.XLOOKUP([1]Tables!$HN$5,'[1]RA Output'!$AY$4:$AY$5,'[1]RA Output'!AZ$4:AZ$5,0)+
IF($E$372="N", 0,
SUMIFS(rng_out_awp_pre_yr1, rng_out_GB_Medispan, N$1, rng_out_mail_ind, $B368, rng_out_ds, $C368, rng_out_sel_sp_ind, $D368, rng_out_sel_excl_ind,"N", rng_out_post_reb_ind_yr1, 0))</f>
        <v>#VALUE!</v>
      </c>
      <c r="J368" s="5" t="e" cm="1">
        <f t="array" aca="1" ref="J368" ca="1">SUMIFS(rng_out_awp_pre_yr2,rng_out_sel_excl_yr_ind, "", rng_out_GB_Medispan, O$1,rng_out_mail_ind,$B368,rng_out_ds,$C368,rng_out_sel_sp_ind,$D368,rng_out_sel_excl_ind,$E368)+
SUMIFS(rng_out_awp_pre_yr2,rng_out_sel_excl_yr_ind, [1]Tables!$HN$4, rng_out_GB_Medispan, O$1,rng_out_mail_ind,$B368,rng_out_ds,$C368,rng_out_sel_sp_ind,$D368,rng_out_sel_excl_ind,$E368)* _xlfn.XLOOKUP([1]Tables!$HN$4,'[1]RA Output'!$AY$4:$AY$5,'[1]RA Output'!BA$4:BA$5,0)  +
SUMIFS(rng_out_awp_pre_yr2,rng_out_sel_excl_yr_ind, [1]Tables!$HN$5, rng_out_GB_Medispan, O$1,rng_out_mail_ind,$B368,rng_out_ds,$C368,rng_out_sel_sp_ind,$D368,rng_out_sel_excl_ind,$E368)* _xlfn.XLOOKUP([1]Tables!$HN$5,'[1]RA Output'!$AY$4:$AY$5,'[1]RA Output'!BA$4:BA$5,0)+
IF($E$372="N", 0,
SUMIFS(rng_out_awp_pre_yr2, rng_out_GB_Medispan, O$1, rng_out_mail_ind, $B368, rng_out_ds, $C368, rng_out_sel_sp_ind, $D368, rng_out_sel_excl_ind,"N", rng_out_post_reb_ind_yr2, 0))</f>
        <v>#VALUE!</v>
      </c>
      <c r="K368" s="5" t="e" cm="1">
        <f t="array" aca="1" ref="K368" ca="1">SUMIFS(rng_out_awp_pre_yr3,rng_out_sel_excl_yr_ind, "", rng_out_GB_Medispan, P$1,rng_out_mail_ind,$B368,rng_out_ds,$C368,rng_out_sel_sp_ind,$D368,rng_out_sel_excl_ind,$E368)+
SUMIFS(rng_out_awp_pre_yr3,rng_out_sel_excl_yr_ind, [1]Tables!$HN$4, rng_out_GB_Medispan, P$1,rng_out_mail_ind,$B368,rng_out_ds,$C368,rng_out_sel_sp_ind,$D368,rng_out_sel_excl_ind,$E368)* _xlfn.XLOOKUP([1]Tables!$HN$4,'[1]RA Output'!$AY$4:$AY$5,'[1]RA Output'!BB$4:BB$5,0)  +
SUMIFS(rng_out_awp_pre_yr3,rng_out_sel_excl_yr_ind, [1]Tables!$HN$5, rng_out_GB_Medispan, P$1,rng_out_mail_ind,$B368,rng_out_ds,$C368,rng_out_sel_sp_ind,$D368,rng_out_sel_excl_ind,$E368)* _xlfn.XLOOKUP([1]Tables!$HN$5,'[1]RA Output'!$AY$4:$AY$5,'[1]RA Output'!BB$4:BB$5,0)+
IF($E$372="N", 0,
SUMIFS(rng_out_awp_pre_yr3, rng_out_GB_Medispan, P$1, rng_out_mail_ind, $B368, rng_out_ds, $C368, rng_out_sel_sp_ind, $D368, rng_out_sel_excl_ind,"N", rng_out_post_reb_ind_yr3, 0))</f>
        <v>#VALUE!</v>
      </c>
      <c r="L368" s="5" t="e" cm="1">
        <f t="array" aca="1" ref="L368" ca="1">SUMIFS(rng_out_awp_pre_yr4,rng_out_sel_excl_yr_ind, "", rng_out_GB_Medispan, Q$1,rng_out_mail_ind,$B368,rng_out_ds,$C368,rng_out_sel_sp_ind,$D368,rng_out_sel_excl_ind,$E368)+
SUMIFS(rng_out_awp_pre_yr4,rng_out_sel_excl_yr_ind, [1]Tables!$HN$4, rng_out_GB_Medispan, Q$1,rng_out_mail_ind,$B368,rng_out_ds,$C368,rng_out_sel_sp_ind,$D368,rng_out_sel_excl_ind,$E368)* _xlfn.XLOOKUP([1]Tables!$HN$4,'[1]RA Output'!$AY$4:$AY$5,'[1]RA Output'!BC$4:BC$5,0)  +
SUMIFS(rng_out_awp_pre_yr4,rng_out_sel_excl_yr_ind, [1]Tables!$HN$5, rng_out_GB_Medispan, Q$1,rng_out_mail_ind,$B368,rng_out_ds,$C368,rng_out_sel_sp_ind,$D368,rng_out_sel_excl_ind,$E368)* _xlfn.XLOOKUP([1]Tables!$HN$5,'[1]RA Output'!$AY$4:$AY$5,'[1]RA Output'!BC$4:BC$5,0)+
IF($E$372="N", 0,
SUMIFS(rng_out_awp_pre_yr4, rng_out_GB_Medispan, Q$1, rng_out_mail_ind, $B368, rng_out_ds, $C368, rng_out_sel_sp_ind, $D368, rng_out_sel_excl_ind,"N", rng_out_post_reb_ind_yr4, 0))</f>
        <v>#VALUE!</v>
      </c>
      <c r="M368" s="73" t="e" cm="1">
        <f t="array" aca="1" ref="M368" ca="1">SUMIFS(rng_out_awp_pre_yr5,rng_out_sel_excl_yr_ind, "", rng_out_GB_Medispan, R$1,rng_out_mail_ind,$B368,rng_out_ds,$C368,rng_out_sel_sp_ind,$D368,rng_out_sel_excl_ind,$E368)+
SUMIFS(rng_out_awp_pre_yr5,rng_out_sel_excl_yr_ind, [1]Tables!$HN$4, rng_out_GB_Medispan, R$1,rng_out_mail_ind,$B368,rng_out_ds,$C368,rng_out_sel_sp_ind,$D368,rng_out_sel_excl_ind,$E368)* _xlfn.XLOOKUP([1]Tables!$HN$4,'[1]RA Output'!$AY$4:$AY$5,'[1]RA Output'!BD$4:BD$5,0)  +
SUMIFS(rng_out_awp_pre_yr5,rng_out_sel_excl_yr_ind, [1]Tables!$HN$5, rng_out_GB_Medispan, R$1,rng_out_mail_ind,$B368,rng_out_ds,$C368,rng_out_sel_sp_ind,$D368,rng_out_sel_excl_ind,$E368)* _xlfn.XLOOKUP([1]Tables!$HN$5,'[1]RA Output'!$AY$4:$AY$5,'[1]RA Output'!BD$4:BD$5,0)+
IF($E$372="N", 0,
SUMIFS(rng_out_awp_pre_yr5, rng_out_GB_Medispan, R$1, rng_out_mail_ind, $B368, rng_out_ds, $C368, rng_out_sel_sp_ind, $D368, rng_out_sel_excl_ind,"N", rng_out_post_reb_ind_yr5, 0))</f>
        <v>#VALUE!</v>
      </c>
      <c r="N368" s="74">
        <f t="shared" ref="N368:R372" ca="1" si="385">IFERROR(I368/N294, 0)</f>
        <v>0</v>
      </c>
      <c r="O368" s="75">
        <f t="shared" ca="1" si="385"/>
        <v>0</v>
      </c>
      <c r="P368" s="75">
        <f t="shared" ca="1" si="385"/>
        <v>0</v>
      </c>
      <c r="Q368" s="75">
        <f t="shared" ca="1" si="385"/>
        <v>0</v>
      </c>
      <c r="R368" s="76">
        <f t="shared" ca="1" si="385"/>
        <v>0</v>
      </c>
      <c r="Y368" s="77" t="s">
        <v>14</v>
      </c>
      <c r="Z368" s="78">
        <f ca="1">IFERROR(I368/[1]Tables!$AT$4, 0)</f>
        <v>0</v>
      </c>
      <c r="AA368" s="79">
        <f ca="1">IFERROR(J368/[1]Tables!$AT$4, 0)</f>
        <v>0</v>
      </c>
      <c r="AB368" s="79">
        <f ca="1">IFERROR(K368/[1]Tables!$AT$4, 0)</f>
        <v>0</v>
      </c>
      <c r="AC368" s="79">
        <f ca="1">IFERROR(L368/[1]Tables!$AT$4, 0)</f>
        <v>0</v>
      </c>
      <c r="AD368" s="80">
        <f ca="1">IFERROR(M368/[1]Tables!$AT$4, 0)</f>
        <v>0</v>
      </c>
      <c r="AE368" s="81">
        <f t="shared" ref="AE368:AI372" ca="1" si="386">IFERROR(Z368/AE294, 0)</f>
        <v>0</v>
      </c>
      <c r="AF368" s="75">
        <f t="shared" ca="1" si="386"/>
        <v>0</v>
      </c>
      <c r="AG368" s="75">
        <f t="shared" ca="1" si="386"/>
        <v>0</v>
      </c>
      <c r="AH368" s="75">
        <f t="shared" ca="1" si="386"/>
        <v>0</v>
      </c>
      <c r="AI368" s="82">
        <f t="shared" ca="1" si="386"/>
        <v>0</v>
      </c>
      <c r="AP368" s="83" t="s">
        <v>14</v>
      </c>
      <c r="AQ368" s="356" cm="1">
        <f t="array" aca="1" ref="AQ368" ca="1">IFERROR(IF($E$354="N", (SUMIFS(rng_out_awp_post_yr1,rng_out_sel_excl_yr_ind, "", rng_out_GB_Medispan, N$1,rng_out_mail_ind,$B368,rng_out_ds,$C368,rng_out_sel_sp_ind,$D368,rng_out_sel_excl_ind,$E368)+
SUMIFS(rng_out_awp_post_yr1,rng_out_sel_excl_yr_ind, [1]Tables!$HN$4, rng_out_GB_Medispan, N$1,rng_out_mail_ind,$B368,rng_out_ds,$C368,rng_out_sel_sp_ind,$D368,rng_out_sel_excl_ind,$E368)* _xlfn.XLOOKUP([1]Tables!$HN$4,'[1]RA Output'!$AY$4:$AY$5,'[1]RA Output'!AZ$4:AZ$5,0)  +
SUMIFS(rng_out_awp_post_yr1,rng_out_sel_excl_yr_ind, [1]Tables!$HN$5, rng_out_GB_Medispan, N$1,rng_out_mail_ind,$B368,rng_out_ds,$C368,rng_out_sel_sp_ind,$D368,rng_out_sel_excl_ind,$E368)* _xlfn.XLOOKUP([1]Tables!$HN$5,'[1]RA Output'!$AY$4:$AY$5,'[1]RA Output'!AZ$4:AZ$5,0))/[1]Tables!$AT$4,
(SUMIFS(rng_out_awp_post_yr1,rng_out_sel_excl_yr_ind, "", rng_out_GB_Medispan, N$1,rng_out_mail_ind,$B368,rng_out_ds,$C368,rng_out_sel_sp_ind,$D368,rng_out_sel_excl_ind,$E368)+
SUMIFS(rng_out_awp_post_yr1,rng_out_sel_excl_yr_ind, [1]Tables!$HN$4, rng_out_GB_Medispan, N$1,rng_out_mail_ind,$B368,rng_out_ds,$C368,rng_out_sel_sp_ind,$D368,rng_out_sel_excl_ind,$E368)* _xlfn.XLOOKUP([1]Tables!$HN$4,'[1]RA Output'!$AY$4:$AY$5,'[1]RA Output'!AZ$4:AZ$5,0)  +
SUMIFS(rng_out_awp_post_yr1,rng_out_sel_excl_yr_ind, [1]Tables!$HN$5, rng_out_GB_Medispan, N$1,rng_out_mail_ind,$B368,rng_out_ds,$C368,rng_out_sel_sp_ind,$D368,rng_out_sel_excl_ind,$E368)* _xlfn.XLOOKUP([1]Tables!$HN$5,'[1]RA Output'!$AY$4:$AY$5,'[1]RA Output'!AZ$4:AZ$5,0))/[1]Tables!$AT$4 +
SUMIFS(rng_out_awp_post_yr1, rng_out_GB_Medispan, N$1, rng_out_mail_ind, $B368, rng_out_ds, $C368, rng_out_sel_sp_ind, $D368, rng_out_sel_excl_ind,"N", rng_out_post_reb_ind_yr1, 0)/[1]Tables!$AT$4), 0)</f>
        <v>0</v>
      </c>
      <c r="AR368" s="5" cm="1">
        <f t="array" aca="1" ref="AR368" ca="1">IFERROR(IF($E$354="N", (SUMIFS(rng_out_awp_post_yr2,rng_out_sel_excl_yr_ind, "", rng_out_GB_Medispan, O$1,rng_out_mail_ind,$B368,rng_out_ds,$C368,rng_out_sel_sp_ind,$D368,rng_out_sel_excl_ind,$E368)+
SUMIFS(rng_out_awp_post_yr2,rng_out_sel_excl_yr_ind, [1]Tables!$HN$4, rng_out_GB_Medispan, O$1,rng_out_mail_ind,$B368,rng_out_ds,$C368,rng_out_sel_sp_ind,$D368,rng_out_sel_excl_ind,$E368)* _xlfn.XLOOKUP([1]Tables!$HN$4,'[1]RA Output'!$AY$4:$AY$5,'[1]RA Output'!BA$4:BA$5,0)  +
SUMIFS(rng_out_awp_post_yr2,rng_out_sel_excl_yr_ind, [1]Tables!$HN$5, rng_out_GB_Medispan, O$1,rng_out_mail_ind,$B368,rng_out_ds,$C368,rng_out_sel_sp_ind,$D368,rng_out_sel_excl_ind,$E368)* _xlfn.XLOOKUP([1]Tables!$HN$5,'[1]RA Output'!$AY$4:$AY$5,'[1]RA Output'!BA$4:BA$5,0))/[1]Tables!$AT$4,
(SUMIFS(rng_out_awp_post_yr2,rng_out_sel_excl_yr_ind, "", rng_out_GB_Medispan, O$1,rng_out_mail_ind,$B368,rng_out_ds,$C368,rng_out_sel_sp_ind,$D368,rng_out_sel_excl_ind,$E368)+
SUMIFS(rng_out_awp_post_yr2,rng_out_sel_excl_yr_ind, [1]Tables!$HN$4, rng_out_GB_Medispan, O$1,rng_out_mail_ind,$B368,rng_out_ds,$C368,rng_out_sel_sp_ind,$D368,rng_out_sel_excl_ind,$E368)* _xlfn.XLOOKUP([1]Tables!$HN$4,'[1]RA Output'!$AY$4:$AY$5,'[1]RA Output'!BA$4:BA$5,0)  +
SUMIFS(rng_out_awp_post_yr2,rng_out_sel_excl_yr_ind, [1]Tables!$HN$5, rng_out_GB_Medispan, O$1,rng_out_mail_ind,$B368,rng_out_ds,$C368,rng_out_sel_sp_ind,$D368,rng_out_sel_excl_ind,$E368)* _xlfn.XLOOKUP([1]Tables!$HN$5,'[1]RA Output'!$AY$4:$AY$5,'[1]RA Output'!BA$4:BA$5,0))/[1]Tables!$AT$4 +
SUMIFS(rng_out_awp_post_yr2, rng_out_GB_Medispan, O$1, rng_out_mail_ind, $B368, rng_out_ds, $C368, rng_out_sel_sp_ind, $D368, rng_out_sel_excl_ind,"N", rng_out_post_reb_ind_yr2, 0)/[1]Tables!$AT$4), 0)</f>
        <v>0</v>
      </c>
      <c r="AS368" s="5" cm="1">
        <f t="array" aca="1" ref="AS368" ca="1">IFERROR(IF($E$354="N", (SUMIFS(rng_out_awp_post_yr3,rng_out_sel_excl_yr_ind, "", rng_out_GB_Medispan, P$1,rng_out_mail_ind,$B368,rng_out_ds,$C368,rng_out_sel_sp_ind,$D368,rng_out_sel_excl_ind,$E368)+
SUMIFS(rng_out_awp_post_yr3,rng_out_sel_excl_yr_ind, [1]Tables!$HN$4, rng_out_GB_Medispan, P$1,rng_out_mail_ind,$B368,rng_out_ds,$C368,rng_out_sel_sp_ind,$D368,rng_out_sel_excl_ind,$E368)* _xlfn.XLOOKUP([1]Tables!$HN$4,'[1]RA Output'!$AY$4:$AY$5,'[1]RA Output'!BB$4:BB$5,0)  +
SUMIFS(rng_out_awp_post_yr3,rng_out_sel_excl_yr_ind, [1]Tables!$HN$5, rng_out_GB_Medispan, P$1,rng_out_mail_ind,$B368,rng_out_ds,$C368,rng_out_sel_sp_ind,$D368,rng_out_sel_excl_ind,$E368)* _xlfn.XLOOKUP([1]Tables!$HN$5,'[1]RA Output'!$AY$4:$AY$5,'[1]RA Output'!BB$4:BB$5,0))/[1]Tables!$AT$4,
(SUMIFS(rng_out_awp_post_yr3,rng_out_sel_excl_yr_ind, "", rng_out_GB_Medispan, P$1,rng_out_mail_ind,$B368,rng_out_ds,$C368,rng_out_sel_sp_ind,$D368,rng_out_sel_excl_ind,$E368)+
SUMIFS(rng_out_awp_post_yr3,rng_out_sel_excl_yr_ind, [1]Tables!$HN$4, rng_out_GB_Medispan, P$1,rng_out_mail_ind,$B368,rng_out_ds,$C368,rng_out_sel_sp_ind,$D368,rng_out_sel_excl_ind,$E368)* _xlfn.XLOOKUP([1]Tables!$HN$4,'[1]RA Output'!$AY$4:$AY$5,'[1]RA Output'!BB$4:BB$5,0)  +
SUMIFS(rng_out_awp_post_yr3,rng_out_sel_excl_yr_ind, [1]Tables!$HN$5, rng_out_GB_Medispan, P$1,rng_out_mail_ind,$B368,rng_out_ds,$C368,rng_out_sel_sp_ind,$D368,rng_out_sel_excl_ind,$E368)* _xlfn.XLOOKUP([1]Tables!$HN$5,'[1]RA Output'!$AY$4:$AY$5,'[1]RA Output'!BB$4:BB$5,0))/[1]Tables!$AT$4 +
SUMIFS(rng_out_awp_post_yr3, rng_out_GB_Medispan, P$1, rng_out_mail_ind, $B368, rng_out_ds, $C368, rng_out_sel_sp_ind, $D368, rng_out_sel_excl_ind,"N", rng_out_post_reb_ind_yr3, 0)/[1]Tables!$AT$4), 0)</f>
        <v>0</v>
      </c>
      <c r="AT368" s="5" cm="1">
        <f t="array" aca="1" ref="AT368" ca="1">IFERROR(IF($E$354="N", (SUMIFS(rng_out_awp_post_yr4,rng_out_sel_excl_yr_ind, "", rng_out_GB_Medispan, Q$1,rng_out_mail_ind,$B368,rng_out_ds,$C368,rng_out_sel_sp_ind,$D368,rng_out_sel_excl_ind,$E368)+
SUMIFS(rng_out_awp_post_yr4,rng_out_sel_excl_yr_ind, [1]Tables!$HN$4, rng_out_GB_Medispan, Q$1,rng_out_mail_ind,$B368,rng_out_ds,$C368,rng_out_sel_sp_ind,$D368,rng_out_sel_excl_ind,$E368)* _xlfn.XLOOKUP([1]Tables!$HN$4,'[1]RA Output'!$AY$4:$AY$5,'[1]RA Output'!BC$4:BC$5,0)  +
SUMIFS(rng_out_awp_post_yr4,rng_out_sel_excl_yr_ind, [1]Tables!$HN$5, rng_out_GB_Medispan, Q$1,rng_out_mail_ind,$B368,rng_out_ds,$C368,rng_out_sel_sp_ind,$D368,rng_out_sel_excl_ind,$E368)* _xlfn.XLOOKUP([1]Tables!$HN$5,'[1]RA Output'!$AY$4:$AY$5,'[1]RA Output'!BC$4:BC$5,0))/[1]Tables!$AT$4,
(SUMIFS(rng_out_awp_post_yr4,rng_out_sel_excl_yr_ind, "", rng_out_GB_Medispan, Q$1,rng_out_mail_ind,$B368,rng_out_ds,$C368,rng_out_sel_sp_ind,$D368,rng_out_sel_excl_ind,$E368)+
SUMIFS(rng_out_awp_post_yr4,rng_out_sel_excl_yr_ind, [1]Tables!$HN$4, rng_out_GB_Medispan, Q$1,rng_out_mail_ind,$B368,rng_out_ds,$C368,rng_out_sel_sp_ind,$D368,rng_out_sel_excl_ind,$E368)* _xlfn.XLOOKUP([1]Tables!$HN$4,'[1]RA Output'!$AY$4:$AY$5,'[1]RA Output'!BC$4:BC$5,0)  +
SUMIFS(rng_out_awp_post_yr4,rng_out_sel_excl_yr_ind, [1]Tables!$HN$5, rng_out_GB_Medispan, Q$1,rng_out_mail_ind,$B368,rng_out_ds,$C368,rng_out_sel_sp_ind,$D368,rng_out_sel_excl_ind,$E368)* _xlfn.XLOOKUP([1]Tables!$HN$5,'[1]RA Output'!$AY$4:$AY$5,'[1]RA Output'!BC$4:BC$5,0))/[1]Tables!$AT$4 +
SUMIFS(rng_out_awp_post_yr4, rng_out_GB_Medispan, Q$1, rng_out_mail_ind, $B368, rng_out_ds, $C368, rng_out_sel_sp_ind, $D368, rng_out_sel_excl_ind,"N", rng_out_post_reb_ind_yr4, 0)/[1]Tables!$AT$4), 0)</f>
        <v>0</v>
      </c>
      <c r="AU368" s="85" cm="1">
        <f t="array" aca="1" ref="AU368" ca="1">IFERROR(IF($E$354="N", (SUMIFS(rng_out_awp_post_yr5,rng_out_sel_excl_yr_ind, "", rng_out_GB_Medispan, R$1,rng_out_mail_ind,$B368,rng_out_ds,$C368,rng_out_sel_sp_ind,$D368,rng_out_sel_excl_ind,$E368)+
SUMIFS(rng_out_awp_post_yr5,rng_out_sel_excl_yr_ind, [1]Tables!$HN$4, rng_out_GB_Medispan, R$1,rng_out_mail_ind,$B368,rng_out_ds,$C368,rng_out_sel_sp_ind,$D368,rng_out_sel_excl_ind,$E368)* _xlfn.XLOOKUP([1]Tables!$HN$4,'[1]RA Output'!$AY$4:$AY$5,'[1]RA Output'!BD$4:BD$5,0)  +
SUMIFS(rng_out_awp_post_yr5,rng_out_sel_excl_yr_ind, [1]Tables!$HN$5, rng_out_GB_Medispan, R$1,rng_out_mail_ind,$B368,rng_out_ds,$C368,rng_out_sel_sp_ind,$D368,rng_out_sel_excl_ind,$E368)* _xlfn.XLOOKUP([1]Tables!$HN$5,'[1]RA Output'!$AY$4:$AY$5,'[1]RA Output'!BD$4:BD$5,0))/[1]Tables!$AT$4,
(SUMIFS(rng_out_awp_post_yr5,rng_out_sel_excl_yr_ind, "", rng_out_GB_Medispan, R$1,rng_out_mail_ind,$B368,rng_out_ds,$C368,rng_out_sel_sp_ind,$D368,rng_out_sel_excl_ind,$E368)+
SUMIFS(rng_out_awp_post_yr5,rng_out_sel_excl_yr_ind, [1]Tables!$HN$4, rng_out_GB_Medispan, R$1,rng_out_mail_ind,$B368,rng_out_ds,$C368,rng_out_sel_sp_ind,$D368,rng_out_sel_excl_ind,$E368)* _xlfn.XLOOKUP([1]Tables!$HN$4,'[1]RA Output'!$AY$4:$AY$5,'[1]RA Output'!BD$4:BD$5,0)  +
SUMIFS(rng_out_awp_post_yr5,rng_out_sel_excl_yr_ind, [1]Tables!$HN$5, rng_out_GB_Medispan, R$1,rng_out_mail_ind,$B368,rng_out_ds,$C368,rng_out_sel_sp_ind,$D368,rng_out_sel_excl_ind,$E368)* _xlfn.XLOOKUP([1]Tables!$HN$5,'[1]RA Output'!$AY$4:$AY$5,'[1]RA Output'!BD$4:BD$5,0))/[1]Tables!$AT$4 +
SUMIFS(rng_out_awp_post_yr5, rng_out_GB_Medispan, R$1, rng_out_mail_ind, $B368, rng_out_ds, $C368, rng_out_sel_sp_ind, $D368, rng_out_sel_excl_ind,"N", rng_out_post_reb_ind_yr5, 0)/[1]Tables!$AT$4), 0)</f>
        <v>0</v>
      </c>
      <c r="AV368" s="86">
        <f t="shared" ref="AV368:AZ372" ca="1" si="387">IFERROR(AQ368/AV294, 0)</f>
        <v>0</v>
      </c>
      <c r="AW368" s="75">
        <f t="shared" ca="1" si="387"/>
        <v>0</v>
      </c>
      <c r="AX368" s="75">
        <f t="shared" ca="1" si="387"/>
        <v>0</v>
      </c>
      <c r="AY368" s="75">
        <f t="shared" ca="1" si="387"/>
        <v>0</v>
      </c>
      <c r="AZ368" s="87">
        <f t="shared" ca="1" si="387"/>
        <v>0</v>
      </c>
      <c r="BG368" s="88" t="s">
        <v>14</v>
      </c>
      <c r="BH368" s="97">
        <f t="shared" ref="BH368:BL371" ca="1" si="388">AQ368</f>
        <v>0</v>
      </c>
      <c r="BI368" s="79">
        <f t="shared" ca="1" si="388"/>
        <v>0</v>
      </c>
      <c r="BJ368" s="79">
        <f t="shared" ca="1" si="388"/>
        <v>0</v>
      </c>
      <c r="BK368" s="79">
        <f t="shared" ca="1" si="388"/>
        <v>0</v>
      </c>
      <c r="BL368" s="98">
        <f t="shared" ca="1" si="388"/>
        <v>0</v>
      </c>
      <c r="BM368" s="92">
        <f t="shared" ref="BM368:BQ372" ca="1" si="389">IFERROR(BH368/BM294, 0)</f>
        <v>0</v>
      </c>
      <c r="BN368" s="75">
        <f t="shared" ca="1" si="389"/>
        <v>0</v>
      </c>
      <c r="BO368" s="75">
        <f t="shared" ca="1" si="389"/>
        <v>0</v>
      </c>
      <c r="BP368" s="75">
        <f t="shared" ca="1" si="389"/>
        <v>0</v>
      </c>
      <c r="BQ368" s="93">
        <f t="shared" ca="1" si="389"/>
        <v>0</v>
      </c>
      <c r="BX368" s="88" t="s">
        <v>14</v>
      </c>
      <c r="BY368" s="97">
        <f t="shared" ref="BY368:CC371" ca="1" si="390">IFERROR(CD368*CD294, 0)</f>
        <v>0</v>
      </c>
      <c r="BZ368" s="79">
        <f t="shared" ca="1" si="390"/>
        <v>0</v>
      </c>
      <c r="CA368" s="79">
        <f t="shared" ca="1" si="390"/>
        <v>0</v>
      </c>
      <c r="CB368" s="79">
        <f t="shared" ca="1" si="390"/>
        <v>0</v>
      </c>
      <c r="CC368" s="98">
        <f t="shared" ca="1" si="390"/>
        <v>0</v>
      </c>
      <c r="CD368" s="92">
        <f ca="1">IFERROR((BM368 * (CD294 - DC294) + DC368)/CD294, 0)</f>
        <v>0</v>
      </c>
      <c r="CE368" s="75">
        <f ca="1">IFERROR((BN368 * (CE294 - DD294) + DD368)/CE294, 0)</f>
        <v>0</v>
      </c>
      <c r="CF368" s="75">
        <f ca="1">IFERROR((BO368 * (CF294 - DE294) + DE368)/CF294, 0)</f>
        <v>0</v>
      </c>
      <c r="CG368" s="75">
        <f ca="1">IFERROR((BP368 * (CG294 - DF294) + DF368)/CG294, 0)</f>
        <v>0</v>
      </c>
      <c r="CH368" s="93">
        <f ca="1">IFERROR((BQ368 * (CH294 - DG294) + DG368)/CH294, 0)</f>
        <v>0</v>
      </c>
      <c r="DC368" s="361" t="e">
        <f t="shared" ref="DC368:DG371" ca="1" si="391">DC190*CD264</f>
        <v>#VALUE!</v>
      </c>
      <c r="DD368" s="362" t="e">
        <f t="shared" ca="1" si="391"/>
        <v>#VALUE!</v>
      </c>
      <c r="DE368" s="362" t="e">
        <f t="shared" ca="1" si="391"/>
        <v>#VALUE!</v>
      </c>
      <c r="DF368" s="362" t="e">
        <f t="shared" ca="1" si="391"/>
        <v>#VALUE!</v>
      </c>
      <c r="DG368" s="363" t="e">
        <f t="shared" ca="1" si="391"/>
        <v>#VALUE!</v>
      </c>
    </row>
    <row r="369" spans="2:111" x14ac:dyDescent="0.35">
      <c r="B369" s="105" t="s">
        <v>11</v>
      </c>
      <c r="C369" s="106">
        <v>90</v>
      </c>
      <c r="D369" s="106" t="s">
        <v>12</v>
      </c>
      <c r="E369" s="107" t="s">
        <v>13</v>
      </c>
      <c r="F369" s="106"/>
      <c r="H369" s="108" t="s">
        <v>15</v>
      </c>
      <c r="I369" s="72" t="e" cm="1">
        <f t="array" aca="1" ref="I369" ca="1">SUMIFS(rng_out_awp_pre_yr1,rng_out_sel_excl_yr_ind, "", rng_out_GB_Medispan, N$1,rng_out_mail_ind,$B369,rng_out_ds,$C369,rng_out_sel_sp_ind,$D369,rng_out_sel_excl_ind,$E369)+
SUMIFS(rng_out_awp_pre_yr1,rng_out_sel_excl_yr_ind, [1]Tables!$HN$4, rng_out_GB_Medispan, N$1,rng_out_mail_ind,$B369,rng_out_ds,$C369,rng_out_sel_sp_ind,$D369,rng_out_sel_excl_ind,$E369)* _xlfn.XLOOKUP([1]Tables!$HN$4,'[1]RA Output'!$AY$4:$AY$5,'[1]RA Output'!AZ$4:AZ$5,0)  +
SUMIFS(rng_out_awp_pre_yr1,rng_out_sel_excl_yr_ind, [1]Tables!$HN$5, rng_out_GB_Medispan, N$1,rng_out_mail_ind,$B369,rng_out_ds,$C369,rng_out_sel_sp_ind,$D369,rng_out_sel_excl_ind,$E369)* _xlfn.XLOOKUP([1]Tables!$HN$5,'[1]RA Output'!$AY$4:$AY$5,'[1]RA Output'!AZ$4:AZ$5,0)+
IF($E$372="N", 0,
SUMIFS(rng_out_awp_pre_yr1, rng_out_GB_Medispan, N$1, rng_out_mail_ind, $B369, rng_out_ds, $C369, rng_out_sel_sp_ind, $D369, rng_out_sel_excl_ind,"N", rng_out_post_reb_ind_yr1, 0))</f>
        <v>#VALUE!</v>
      </c>
      <c r="J369" s="5" t="e" cm="1">
        <f t="array" aca="1" ref="J369" ca="1">SUMIFS(rng_out_awp_pre_yr2,rng_out_sel_excl_yr_ind, "", rng_out_GB_Medispan, O$1,rng_out_mail_ind,$B369,rng_out_ds,$C369,rng_out_sel_sp_ind,$D369,rng_out_sel_excl_ind,$E369)+
SUMIFS(rng_out_awp_pre_yr2,rng_out_sel_excl_yr_ind, [1]Tables!$HN$4, rng_out_GB_Medispan, O$1,rng_out_mail_ind,$B369,rng_out_ds,$C369,rng_out_sel_sp_ind,$D369,rng_out_sel_excl_ind,$E369)* _xlfn.XLOOKUP([1]Tables!$HN$4,'[1]RA Output'!$AY$4:$AY$5,'[1]RA Output'!BA$4:BA$5,0)  +
SUMIFS(rng_out_awp_pre_yr2,rng_out_sel_excl_yr_ind, [1]Tables!$HN$5, rng_out_GB_Medispan, O$1,rng_out_mail_ind,$B369,rng_out_ds,$C369,rng_out_sel_sp_ind,$D369,rng_out_sel_excl_ind,$E369)* _xlfn.XLOOKUP([1]Tables!$HN$5,'[1]RA Output'!$AY$4:$AY$5,'[1]RA Output'!BA$4:BA$5,0)+
IF($E$372="N", 0,
SUMIFS(rng_out_awp_pre_yr2, rng_out_GB_Medispan, O$1, rng_out_mail_ind, $B369, rng_out_ds, $C369, rng_out_sel_sp_ind, $D369, rng_out_sel_excl_ind,"N", rng_out_post_reb_ind_yr2, 0))</f>
        <v>#VALUE!</v>
      </c>
      <c r="K369" s="5" t="e" cm="1">
        <f t="array" aca="1" ref="K369" ca="1">SUMIFS(rng_out_awp_pre_yr3,rng_out_sel_excl_yr_ind, "", rng_out_GB_Medispan, P$1,rng_out_mail_ind,$B369,rng_out_ds,$C369,rng_out_sel_sp_ind,$D369,rng_out_sel_excl_ind,$E369)+
SUMIFS(rng_out_awp_pre_yr3,rng_out_sel_excl_yr_ind, [1]Tables!$HN$4, rng_out_GB_Medispan, P$1,rng_out_mail_ind,$B369,rng_out_ds,$C369,rng_out_sel_sp_ind,$D369,rng_out_sel_excl_ind,$E369)* _xlfn.XLOOKUP([1]Tables!$HN$4,'[1]RA Output'!$AY$4:$AY$5,'[1]RA Output'!BB$4:BB$5,0)  +
SUMIFS(rng_out_awp_pre_yr3,rng_out_sel_excl_yr_ind, [1]Tables!$HN$5, rng_out_GB_Medispan, P$1,rng_out_mail_ind,$B369,rng_out_ds,$C369,rng_out_sel_sp_ind,$D369,rng_out_sel_excl_ind,$E369)* _xlfn.XLOOKUP([1]Tables!$HN$5,'[1]RA Output'!$AY$4:$AY$5,'[1]RA Output'!BB$4:BB$5,0)+
IF($E$372="N", 0,
SUMIFS(rng_out_awp_pre_yr3, rng_out_GB_Medispan, P$1, rng_out_mail_ind, $B369, rng_out_ds, $C369, rng_out_sel_sp_ind, $D369, rng_out_sel_excl_ind,"N", rng_out_post_reb_ind_yr3, 0))</f>
        <v>#VALUE!</v>
      </c>
      <c r="L369" s="5" t="e" cm="1">
        <f t="array" aca="1" ref="L369" ca="1">SUMIFS(rng_out_awp_pre_yr4,rng_out_sel_excl_yr_ind, "", rng_out_GB_Medispan, Q$1,rng_out_mail_ind,$B369,rng_out_ds,$C369,rng_out_sel_sp_ind,$D369,rng_out_sel_excl_ind,$E369)+
SUMIFS(rng_out_awp_pre_yr4,rng_out_sel_excl_yr_ind, [1]Tables!$HN$4, rng_out_GB_Medispan, Q$1,rng_out_mail_ind,$B369,rng_out_ds,$C369,rng_out_sel_sp_ind,$D369,rng_out_sel_excl_ind,$E369)* _xlfn.XLOOKUP([1]Tables!$HN$4,'[1]RA Output'!$AY$4:$AY$5,'[1]RA Output'!BC$4:BC$5,0)  +
SUMIFS(rng_out_awp_pre_yr4,rng_out_sel_excl_yr_ind, [1]Tables!$HN$5, rng_out_GB_Medispan, Q$1,rng_out_mail_ind,$B369,rng_out_ds,$C369,rng_out_sel_sp_ind,$D369,rng_out_sel_excl_ind,$E369)* _xlfn.XLOOKUP([1]Tables!$HN$5,'[1]RA Output'!$AY$4:$AY$5,'[1]RA Output'!BC$4:BC$5,0)+
IF($E$372="N", 0,
SUMIFS(rng_out_awp_pre_yr4, rng_out_GB_Medispan, Q$1, rng_out_mail_ind, $B369, rng_out_ds, $C369, rng_out_sel_sp_ind, $D369, rng_out_sel_excl_ind,"N", rng_out_post_reb_ind_yr4, 0))</f>
        <v>#VALUE!</v>
      </c>
      <c r="M369" s="73" t="e" cm="1">
        <f t="array" aca="1" ref="M369" ca="1">SUMIFS(rng_out_awp_pre_yr5,rng_out_sel_excl_yr_ind, "", rng_out_GB_Medispan, R$1,rng_out_mail_ind,$B369,rng_out_ds,$C369,rng_out_sel_sp_ind,$D369,rng_out_sel_excl_ind,$E369)+
SUMIFS(rng_out_awp_pre_yr5,rng_out_sel_excl_yr_ind, [1]Tables!$HN$4, rng_out_GB_Medispan, R$1,rng_out_mail_ind,$B369,rng_out_ds,$C369,rng_out_sel_sp_ind,$D369,rng_out_sel_excl_ind,$E369)* _xlfn.XLOOKUP([1]Tables!$HN$4,'[1]RA Output'!$AY$4:$AY$5,'[1]RA Output'!BD$4:BD$5,0)  +
SUMIFS(rng_out_awp_pre_yr5,rng_out_sel_excl_yr_ind, [1]Tables!$HN$5, rng_out_GB_Medispan, R$1,rng_out_mail_ind,$B369,rng_out_ds,$C369,rng_out_sel_sp_ind,$D369,rng_out_sel_excl_ind,$E369)* _xlfn.XLOOKUP([1]Tables!$HN$5,'[1]RA Output'!$AY$4:$AY$5,'[1]RA Output'!BD$4:BD$5,0)+
IF($E$372="N", 0,
SUMIFS(rng_out_awp_pre_yr5, rng_out_GB_Medispan, R$1, rng_out_mail_ind, $B369, rng_out_ds, $C369, rng_out_sel_sp_ind, $D369, rng_out_sel_excl_ind,"N", rng_out_post_reb_ind_yr5, 0))</f>
        <v>#VALUE!</v>
      </c>
      <c r="N369" s="74">
        <f t="shared" ca="1" si="385"/>
        <v>0</v>
      </c>
      <c r="O369" s="75">
        <f t="shared" ca="1" si="385"/>
        <v>0</v>
      </c>
      <c r="P369" s="75">
        <f t="shared" ca="1" si="385"/>
        <v>0</v>
      </c>
      <c r="Q369" s="75">
        <f t="shared" ca="1" si="385"/>
        <v>0</v>
      </c>
      <c r="R369" s="76">
        <f t="shared" ca="1" si="385"/>
        <v>0</v>
      </c>
      <c r="Y369" s="109" t="s">
        <v>15</v>
      </c>
      <c r="Z369" s="78">
        <f ca="1">IFERROR(I369/[1]Tables!$AT$4, 0)</f>
        <v>0</v>
      </c>
      <c r="AA369" s="79">
        <f ca="1">IFERROR(J369/[1]Tables!$AT$4, 0)</f>
        <v>0</v>
      </c>
      <c r="AB369" s="79">
        <f ca="1">IFERROR(K369/[1]Tables!$AT$4, 0)</f>
        <v>0</v>
      </c>
      <c r="AC369" s="79">
        <f ca="1">IFERROR(L369/[1]Tables!$AT$4, 0)</f>
        <v>0</v>
      </c>
      <c r="AD369" s="80">
        <f ca="1">IFERROR(M369/[1]Tables!$AT$4, 0)</f>
        <v>0</v>
      </c>
      <c r="AE369" s="81">
        <f t="shared" ca="1" si="386"/>
        <v>0</v>
      </c>
      <c r="AF369" s="75">
        <f t="shared" ca="1" si="386"/>
        <v>0</v>
      </c>
      <c r="AG369" s="75">
        <f t="shared" ca="1" si="386"/>
        <v>0</v>
      </c>
      <c r="AH369" s="75">
        <f t="shared" ca="1" si="386"/>
        <v>0</v>
      </c>
      <c r="AI369" s="82">
        <f t="shared" ca="1" si="386"/>
        <v>0</v>
      </c>
      <c r="AP369" s="110" t="s">
        <v>15</v>
      </c>
      <c r="AQ369" s="356" cm="1">
        <f t="array" aca="1" ref="AQ369" ca="1">IFERROR(IF($E$354="N", (SUMIFS(rng_out_awp_post_yr1,rng_out_sel_excl_yr_ind, "", rng_out_GB_Medispan, N$1,rng_out_mail_ind,$B369,rng_out_ds,$C369,rng_out_sel_sp_ind,$D369,rng_out_sel_excl_ind,$E369)+
SUMIFS(rng_out_awp_post_yr1,rng_out_sel_excl_yr_ind, [1]Tables!$HN$4, rng_out_GB_Medispan, N$1,rng_out_mail_ind,$B369,rng_out_ds,$C369,rng_out_sel_sp_ind,$D369,rng_out_sel_excl_ind,$E369)* _xlfn.XLOOKUP([1]Tables!$HN$4,'[1]RA Output'!$AY$4:$AY$5,'[1]RA Output'!AZ$4:AZ$5,0)  +
SUMIFS(rng_out_awp_post_yr1,rng_out_sel_excl_yr_ind, [1]Tables!$HN$5, rng_out_GB_Medispan, N$1,rng_out_mail_ind,$B369,rng_out_ds,$C369,rng_out_sel_sp_ind,$D369,rng_out_sel_excl_ind,$E369)* _xlfn.XLOOKUP([1]Tables!$HN$5,'[1]RA Output'!$AY$4:$AY$5,'[1]RA Output'!AZ$4:AZ$5,0))/[1]Tables!$AT$4,
(SUMIFS(rng_out_awp_post_yr1,rng_out_sel_excl_yr_ind, "", rng_out_GB_Medispan, N$1,rng_out_mail_ind,$B369,rng_out_ds,$C369,rng_out_sel_sp_ind,$D369,rng_out_sel_excl_ind,$E369)+
SUMIFS(rng_out_awp_post_yr1,rng_out_sel_excl_yr_ind, [1]Tables!$HN$4, rng_out_GB_Medispan, N$1,rng_out_mail_ind,$B369,rng_out_ds,$C369,rng_out_sel_sp_ind,$D369,rng_out_sel_excl_ind,$E369)* _xlfn.XLOOKUP([1]Tables!$HN$4,'[1]RA Output'!$AY$4:$AY$5,'[1]RA Output'!AZ$4:AZ$5,0)  +
SUMIFS(rng_out_awp_post_yr1,rng_out_sel_excl_yr_ind, [1]Tables!$HN$5, rng_out_GB_Medispan, N$1,rng_out_mail_ind,$B369,rng_out_ds,$C369,rng_out_sel_sp_ind,$D369,rng_out_sel_excl_ind,$E369)* _xlfn.XLOOKUP([1]Tables!$HN$5,'[1]RA Output'!$AY$4:$AY$5,'[1]RA Output'!AZ$4:AZ$5,0))/[1]Tables!$AT$4 +
SUMIFS(rng_out_awp_post_yr1, rng_out_GB_Medispan, N$1, rng_out_mail_ind, $B369, rng_out_ds, $C369, rng_out_sel_sp_ind, $D369, rng_out_sel_excl_ind,"N", rng_out_post_reb_ind_yr1, 0)/[1]Tables!$AT$4), 0)</f>
        <v>0</v>
      </c>
      <c r="AR369" s="5" cm="1">
        <f t="array" aca="1" ref="AR369" ca="1">IFERROR(IF($E$354="N", (SUMIFS(rng_out_awp_post_yr2,rng_out_sel_excl_yr_ind, "", rng_out_GB_Medispan, O$1,rng_out_mail_ind,$B369,rng_out_ds,$C369,rng_out_sel_sp_ind,$D369,rng_out_sel_excl_ind,$E369)+
SUMIFS(rng_out_awp_post_yr2,rng_out_sel_excl_yr_ind, [1]Tables!$HN$4, rng_out_GB_Medispan, O$1,rng_out_mail_ind,$B369,rng_out_ds,$C369,rng_out_sel_sp_ind,$D369,rng_out_sel_excl_ind,$E369)* _xlfn.XLOOKUP([1]Tables!$HN$4,'[1]RA Output'!$AY$4:$AY$5,'[1]RA Output'!BA$4:BA$5,0)  +
SUMIFS(rng_out_awp_post_yr2,rng_out_sel_excl_yr_ind, [1]Tables!$HN$5, rng_out_GB_Medispan, O$1,rng_out_mail_ind,$B369,rng_out_ds,$C369,rng_out_sel_sp_ind,$D369,rng_out_sel_excl_ind,$E369)* _xlfn.XLOOKUP([1]Tables!$HN$5,'[1]RA Output'!$AY$4:$AY$5,'[1]RA Output'!BA$4:BA$5,0))/[1]Tables!$AT$4,
(SUMIFS(rng_out_awp_post_yr2,rng_out_sel_excl_yr_ind, "", rng_out_GB_Medispan, O$1,rng_out_mail_ind,$B369,rng_out_ds,$C369,rng_out_sel_sp_ind,$D369,rng_out_sel_excl_ind,$E369)+
SUMIFS(rng_out_awp_post_yr2,rng_out_sel_excl_yr_ind, [1]Tables!$HN$4, rng_out_GB_Medispan, O$1,rng_out_mail_ind,$B369,rng_out_ds,$C369,rng_out_sel_sp_ind,$D369,rng_out_sel_excl_ind,$E369)* _xlfn.XLOOKUP([1]Tables!$HN$4,'[1]RA Output'!$AY$4:$AY$5,'[1]RA Output'!BA$4:BA$5,0)  +
SUMIFS(rng_out_awp_post_yr2,rng_out_sel_excl_yr_ind, [1]Tables!$HN$5, rng_out_GB_Medispan, O$1,rng_out_mail_ind,$B369,rng_out_ds,$C369,rng_out_sel_sp_ind,$D369,rng_out_sel_excl_ind,$E369)* _xlfn.XLOOKUP([1]Tables!$HN$5,'[1]RA Output'!$AY$4:$AY$5,'[1]RA Output'!BA$4:BA$5,0))/[1]Tables!$AT$4 +
SUMIFS(rng_out_awp_post_yr2, rng_out_GB_Medispan, O$1, rng_out_mail_ind, $B369, rng_out_ds, $C369, rng_out_sel_sp_ind, $D369, rng_out_sel_excl_ind,"N", rng_out_post_reb_ind_yr2, 0)/[1]Tables!$AT$4), 0)</f>
        <v>0</v>
      </c>
      <c r="AS369" s="5" cm="1">
        <f t="array" aca="1" ref="AS369" ca="1">IFERROR(IF($E$354="N", (SUMIFS(rng_out_awp_post_yr3,rng_out_sel_excl_yr_ind, "", rng_out_GB_Medispan, P$1,rng_out_mail_ind,$B369,rng_out_ds,$C369,rng_out_sel_sp_ind,$D369,rng_out_sel_excl_ind,$E369)+
SUMIFS(rng_out_awp_post_yr3,rng_out_sel_excl_yr_ind, [1]Tables!$HN$4, rng_out_GB_Medispan, P$1,rng_out_mail_ind,$B369,rng_out_ds,$C369,rng_out_sel_sp_ind,$D369,rng_out_sel_excl_ind,$E369)* _xlfn.XLOOKUP([1]Tables!$HN$4,'[1]RA Output'!$AY$4:$AY$5,'[1]RA Output'!BB$4:BB$5,0)  +
SUMIFS(rng_out_awp_post_yr3,rng_out_sel_excl_yr_ind, [1]Tables!$HN$5, rng_out_GB_Medispan, P$1,rng_out_mail_ind,$B369,rng_out_ds,$C369,rng_out_sel_sp_ind,$D369,rng_out_sel_excl_ind,$E369)* _xlfn.XLOOKUP([1]Tables!$HN$5,'[1]RA Output'!$AY$4:$AY$5,'[1]RA Output'!BB$4:BB$5,0))/[1]Tables!$AT$4,
(SUMIFS(rng_out_awp_post_yr3,rng_out_sel_excl_yr_ind, "", rng_out_GB_Medispan, P$1,rng_out_mail_ind,$B369,rng_out_ds,$C369,rng_out_sel_sp_ind,$D369,rng_out_sel_excl_ind,$E369)+
SUMIFS(rng_out_awp_post_yr3,rng_out_sel_excl_yr_ind, [1]Tables!$HN$4, rng_out_GB_Medispan, P$1,rng_out_mail_ind,$B369,rng_out_ds,$C369,rng_out_sel_sp_ind,$D369,rng_out_sel_excl_ind,$E369)* _xlfn.XLOOKUP([1]Tables!$HN$4,'[1]RA Output'!$AY$4:$AY$5,'[1]RA Output'!BB$4:BB$5,0)  +
SUMIFS(rng_out_awp_post_yr3,rng_out_sel_excl_yr_ind, [1]Tables!$HN$5, rng_out_GB_Medispan, P$1,rng_out_mail_ind,$B369,rng_out_ds,$C369,rng_out_sel_sp_ind,$D369,rng_out_sel_excl_ind,$E369)* _xlfn.XLOOKUP([1]Tables!$HN$5,'[1]RA Output'!$AY$4:$AY$5,'[1]RA Output'!BB$4:BB$5,0))/[1]Tables!$AT$4 +
SUMIFS(rng_out_awp_post_yr3, rng_out_GB_Medispan, P$1, rng_out_mail_ind, $B369, rng_out_ds, $C369, rng_out_sel_sp_ind, $D369, rng_out_sel_excl_ind,"N", rng_out_post_reb_ind_yr3, 0)/[1]Tables!$AT$4), 0)</f>
        <v>0</v>
      </c>
      <c r="AT369" s="5" cm="1">
        <f t="array" aca="1" ref="AT369" ca="1">IFERROR(IF($E$354="N", (SUMIFS(rng_out_awp_post_yr4,rng_out_sel_excl_yr_ind, "", rng_out_GB_Medispan, Q$1,rng_out_mail_ind,$B369,rng_out_ds,$C369,rng_out_sel_sp_ind,$D369,rng_out_sel_excl_ind,$E369)+
SUMIFS(rng_out_awp_post_yr4,rng_out_sel_excl_yr_ind, [1]Tables!$HN$4, rng_out_GB_Medispan, Q$1,rng_out_mail_ind,$B369,rng_out_ds,$C369,rng_out_sel_sp_ind,$D369,rng_out_sel_excl_ind,$E369)* _xlfn.XLOOKUP([1]Tables!$HN$4,'[1]RA Output'!$AY$4:$AY$5,'[1]RA Output'!BC$4:BC$5,0)  +
SUMIFS(rng_out_awp_post_yr4,rng_out_sel_excl_yr_ind, [1]Tables!$HN$5, rng_out_GB_Medispan, Q$1,rng_out_mail_ind,$B369,rng_out_ds,$C369,rng_out_sel_sp_ind,$D369,rng_out_sel_excl_ind,$E369)* _xlfn.XLOOKUP([1]Tables!$HN$5,'[1]RA Output'!$AY$4:$AY$5,'[1]RA Output'!BC$4:BC$5,0))/[1]Tables!$AT$4,
(SUMIFS(rng_out_awp_post_yr4,rng_out_sel_excl_yr_ind, "", rng_out_GB_Medispan, Q$1,rng_out_mail_ind,$B369,rng_out_ds,$C369,rng_out_sel_sp_ind,$D369,rng_out_sel_excl_ind,$E369)+
SUMIFS(rng_out_awp_post_yr4,rng_out_sel_excl_yr_ind, [1]Tables!$HN$4, rng_out_GB_Medispan, Q$1,rng_out_mail_ind,$B369,rng_out_ds,$C369,rng_out_sel_sp_ind,$D369,rng_out_sel_excl_ind,$E369)* _xlfn.XLOOKUP([1]Tables!$HN$4,'[1]RA Output'!$AY$4:$AY$5,'[1]RA Output'!BC$4:BC$5,0)  +
SUMIFS(rng_out_awp_post_yr4,rng_out_sel_excl_yr_ind, [1]Tables!$HN$5, rng_out_GB_Medispan, Q$1,rng_out_mail_ind,$B369,rng_out_ds,$C369,rng_out_sel_sp_ind,$D369,rng_out_sel_excl_ind,$E369)* _xlfn.XLOOKUP([1]Tables!$HN$5,'[1]RA Output'!$AY$4:$AY$5,'[1]RA Output'!BC$4:BC$5,0))/[1]Tables!$AT$4 +
SUMIFS(rng_out_awp_post_yr4, rng_out_GB_Medispan, Q$1, rng_out_mail_ind, $B369, rng_out_ds, $C369, rng_out_sel_sp_ind, $D369, rng_out_sel_excl_ind,"N", rng_out_post_reb_ind_yr4, 0)/[1]Tables!$AT$4), 0)</f>
        <v>0</v>
      </c>
      <c r="AU369" s="85" cm="1">
        <f t="array" aca="1" ref="AU369" ca="1">IFERROR(IF($E$354="N", (SUMIFS(rng_out_awp_post_yr5,rng_out_sel_excl_yr_ind, "", rng_out_GB_Medispan, R$1,rng_out_mail_ind,$B369,rng_out_ds,$C369,rng_out_sel_sp_ind,$D369,rng_out_sel_excl_ind,$E369)+
SUMIFS(rng_out_awp_post_yr5,rng_out_sel_excl_yr_ind, [1]Tables!$HN$4, rng_out_GB_Medispan, R$1,rng_out_mail_ind,$B369,rng_out_ds,$C369,rng_out_sel_sp_ind,$D369,rng_out_sel_excl_ind,$E369)* _xlfn.XLOOKUP([1]Tables!$HN$4,'[1]RA Output'!$AY$4:$AY$5,'[1]RA Output'!BD$4:BD$5,0)  +
SUMIFS(rng_out_awp_post_yr5,rng_out_sel_excl_yr_ind, [1]Tables!$HN$5, rng_out_GB_Medispan, R$1,rng_out_mail_ind,$B369,rng_out_ds,$C369,rng_out_sel_sp_ind,$D369,rng_out_sel_excl_ind,$E369)* _xlfn.XLOOKUP([1]Tables!$HN$5,'[1]RA Output'!$AY$4:$AY$5,'[1]RA Output'!BD$4:BD$5,0))/[1]Tables!$AT$4,
(SUMIFS(rng_out_awp_post_yr5,rng_out_sel_excl_yr_ind, "", rng_out_GB_Medispan, R$1,rng_out_mail_ind,$B369,rng_out_ds,$C369,rng_out_sel_sp_ind,$D369,rng_out_sel_excl_ind,$E369)+
SUMIFS(rng_out_awp_post_yr5,rng_out_sel_excl_yr_ind, [1]Tables!$HN$4, rng_out_GB_Medispan, R$1,rng_out_mail_ind,$B369,rng_out_ds,$C369,rng_out_sel_sp_ind,$D369,rng_out_sel_excl_ind,$E369)* _xlfn.XLOOKUP([1]Tables!$HN$4,'[1]RA Output'!$AY$4:$AY$5,'[1]RA Output'!BD$4:BD$5,0)  +
SUMIFS(rng_out_awp_post_yr5,rng_out_sel_excl_yr_ind, [1]Tables!$HN$5, rng_out_GB_Medispan, R$1,rng_out_mail_ind,$B369,rng_out_ds,$C369,rng_out_sel_sp_ind,$D369,rng_out_sel_excl_ind,$E369)* _xlfn.XLOOKUP([1]Tables!$HN$5,'[1]RA Output'!$AY$4:$AY$5,'[1]RA Output'!BD$4:BD$5,0))/[1]Tables!$AT$4 +
SUMIFS(rng_out_awp_post_yr5, rng_out_GB_Medispan, R$1, rng_out_mail_ind, $B369, rng_out_ds, $C369, rng_out_sel_sp_ind, $D369, rng_out_sel_excl_ind,"N", rng_out_post_reb_ind_yr5, 0)/[1]Tables!$AT$4), 0)</f>
        <v>0</v>
      </c>
      <c r="AV369" s="86">
        <f t="shared" ca="1" si="387"/>
        <v>0</v>
      </c>
      <c r="AW369" s="75">
        <f t="shared" ca="1" si="387"/>
        <v>0</v>
      </c>
      <c r="AX369" s="75">
        <f t="shared" ca="1" si="387"/>
        <v>0</v>
      </c>
      <c r="AY369" s="75">
        <f t="shared" ca="1" si="387"/>
        <v>0</v>
      </c>
      <c r="AZ369" s="87">
        <f t="shared" ca="1" si="387"/>
        <v>0</v>
      </c>
      <c r="BG369" s="111" t="s">
        <v>15</v>
      </c>
      <c r="BH369" s="97">
        <f t="shared" ca="1" si="388"/>
        <v>0</v>
      </c>
      <c r="BI369" s="79">
        <f t="shared" ca="1" si="388"/>
        <v>0</v>
      </c>
      <c r="BJ369" s="79">
        <f t="shared" ca="1" si="388"/>
        <v>0</v>
      </c>
      <c r="BK369" s="79">
        <f t="shared" ca="1" si="388"/>
        <v>0</v>
      </c>
      <c r="BL369" s="98">
        <f t="shared" ca="1" si="388"/>
        <v>0</v>
      </c>
      <c r="BM369" s="92">
        <f t="shared" ca="1" si="389"/>
        <v>0</v>
      </c>
      <c r="BN369" s="75">
        <f t="shared" ca="1" si="389"/>
        <v>0</v>
      </c>
      <c r="BO369" s="75">
        <f t="shared" ca="1" si="389"/>
        <v>0</v>
      </c>
      <c r="BP369" s="75">
        <f t="shared" ca="1" si="389"/>
        <v>0</v>
      </c>
      <c r="BQ369" s="93">
        <f t="shared" ca="1" si="389"/>
        <v>0</v>
      </c>
      <c r="BX369" s="111" t="s">
        <v>15</v>
      </c>
      <c r="BY369" s="97">
        <f t="shared" ca="1" si="390"/>
        <v>0</v>
      </c>
      <c r="BZ369" s="79">
        <f t="shared" ca="1" si="390"/>
        <v>0</v>
      </c>
      <c r="CA369" s="79">
        <f t="shared" ca="1" si="390"/>
        <v>0</v>
      </c>
      <c r="CB369" s="79">
        <f t="shared" ca="1" si="390"/>
        <v>0</v>
      </c>
      <c r="CC369" s="98">
        <f t="shared" ca="1" si="390"/>
        <v>0</v>
      </c>
      <c r="CD369" s="92">
        <f t="shared" ref="CD369:CH371" ca="1" si="392">IFERROR((BM369 * (CD295 - DC295) + DC369)/CD295, 0)</f>
        <v>0</v>
      </c>
      <c r="CE369" s="75">
        <f t="shared" ca="1" si="392"/>
        <v>0</v>
      </c>
      <c r="CF369" s="75">
        <f t="shared" ca="1" si="392"/>
        <v>0</v>
      </c>
      <c r="CG369" s="75">
        <f t="shared" ca="1" si="392"/>
        <v>0</v>
      </c>
      <c r="CH369" s="93">
        <f t="shared" ca="1" si="392"/>
        <v>0</v>
      </c>
      <c r="DC369" s="97" t="e">
        <f t="shared" ca="1" si="391"/>
        <v>#VALUE!</v>
      </c>
      <c r="DD369" s="79" t="e">
        <f t="shared" ca="1" si="391"/>
        <v>#VALUE!</v>
      </c>
      <c r="DE369" s="79" t="e">
        <f t="shared" ca="1" si="391"/>
        <v>#VALUE!</v>
      </c>
      <c r="DF369" s="79" t="e">
        <f t="shared" ca="1" si="391"/>
        <v>#VALUE!</v>
      </c>
      <c r="DG369" s="98" t="e">
        <f t="shared" ca="1" si="391"/>
        <v>#VALUE!</v>
      </c>
    </row>
    <row r="370" spans="2:111" x14ac:dyDescent="0.35">
      <c r="B370" s="105" t="s">
        <v>16</v>
      </c>
      <c r="C370" s="106"/>
      <c r="D370" s="106" t="s">
        <v>12</v>
      </c>
      <c r="E370" s="107" t="s">
        <v>13</v>
      </c>
      <c r="F370" s="106"/>
      <c r="H370" s="118" t="s">
        <v>7</v>
      </c>
      <c r="I370" s="72" t="e" cm="1">
        <f t="array" aca="1" ref="I370" ca="1">SUMIFS(rng_out_awp_pre_yr1,rng_out_sel_excl_yr_ind, "", rng_out_GB_Medispan, N$1,rng_out_mail_ind,$B370,rng_out_sel_sp_ind,$D370,rng_out_sel_excl_ind,$E370)+
SUMIFS(rng_out_awp_pre_yr1,rng_out_sel_excl_yr_ind, [1]Tables!$HN$4, rng_out_GB_Medispan, N$1,rng_out_mail_ind,$B370,rng_out_sel_sp_ind,$D370,rng_out_sel_excl_ind,$E370)* _xlfn.XLOOKUP([1]Tables!$HN$4,'[1]RA Output'!$AY$4:$AY$5,'[1]RA Output'!AZ$4:AZ$5,0)  +
SUMIFS(rng_out_awp_pre_yr1,rng_out_sel_excl_yr_ind, [1]Tables!$HN$5, rng_out_GB_Medispan, N$1,rng_out_mail_ind,$B370,rng_out_sel_sp_ind,$D370,rng_out_sel_excl_ind,$E370)* _xlfn.XLOOKUP([1]Tables!$HN$5,'[1]RA Output'!$AY$4:$AY$5,'[1]RA Output'!AZ$4:AZ$5,0)+
IF($E$372="N", 0,
SUMIFS(rng_out_awp_pre_yr1, rng_out_GB_Medispan, N$1, rng_out_mail_ind, $B370, rng_out_sel_sp_ind, $D370, rng_out_sel_excl_ind,"N", rng_out_post_reb_ind_yr1, 0))</f>
        <v>#VALUE!</v>
      </c>
      <c r="J370" s="5" t="e" cm="1">
        <f t="array" aca="1" ref="J370" ca="1">SUMIFS(rng_out_awp_pre_yr2,rng_out_sel_excl_yr_ind, "", rng_out_GB_Medispan, O$1,rng_out_mail_ind,$B370,rng_out_sel_sp_ind,$D370,rng_out_sel_excl_ind,$E370)+
SUMIFS(rng_out_awp_pre_yr2,rng_out_sel_excl_yr_ind, [1]Tables!$HN$4, rng_out_GB_Medispan, O$1,rng_out_mail_ind,$B370,rng_out_sel_sp_ind,$D370,rng_out_sel_excl_ind,$E370)* _xlfn.XLOOKUP([1]Tables!$HN$4,'[1]RA Output'!$AY$4:$AY$5,'[1]RA Output'!BA$4:BA$5,0)  +
SUMIFS(rng_out_awp_pre_yr2,rng_out_sel_excl_yr_ind, [1]Tables!$HN$5, rng_out_GB_Medispan, O$1,rng_out_mail_ind,$B370,rng_out_sel_sp_ind,$D370,rng_out_sel_excl_ind,$E370)* _xlfn.XLOOKUP([1]Tables!$HN$5,'[1]RA Output'!$AY$4:$AY$5,'[1]RA Output'!BA$4:BA$5,0)+
IF($E$372="N", 0,
SUMIFS(rng_out_awp_pre_yr2, rng_out_GB_Medispan, O$1, rng_out_mail_ind, $B370, rng_out_sel_sp_ind, $D370, rng_out_sel_excl_ind,"N", rng_out_post_reb_ind_yr2, 0))</f>
        <v>#VALUE!</v>
      </c>
      <c r="K370" s="5" t="e" cm="1">
        <f t="array" aca="1" ref="K370" ca="1">SUMIFS(rng_out_awp_pre_yr3,rng_out_sel_excl_yr_ind, "", rng_out_GB_Medispan, P$1,rng_out_mail_ind,$B370,rng_out_sel_sp_ind,$D370,rng_out_sel_excl_ind,$E370)+
SUMIFS(rng_out_awp_pre_yr3,rng_out_sel_excl_yr_ind, [1]Tables!$HN$4, rng_out_GB_Medispan, P$1,rng_out_mail_ind,$B370,rng_out_sel_sp_ind,$D370,rng_out_sel_excl_ind,$E370)* _xlfn.XLOOKUP([1]Tables!$HN$4,'[1]RA Output'!$AY$4:$AY$5,'[1]RA Output'!BB$4:BB$5,0)  +
SUMIFS(rng_out_awp_pre_yr3,rng_out_sel_excl_yr_ind, [1]Tables!$HN$5, rng_out_GB_Medispan, P$1,rng_out_mail_ind,$B370,rng_out_sel_sp_ind,$D370,rng_out_sel_excl_ind,$E370)* _xlfn.XLOOKUP([1]Tables!$HN$5,'[1]RA Output'!$AY$4:$AY$5,'[1]RA Output'!BB$4:BB$5,0)+
IF($E$372="N", 0,
SUMIFS(rng_out_awp_pre_yr3, rng_out_GB_Medispan, P$1, rng_out_mail_ind, $B370, rng_out_sel_sp_ind, $D370, rng_out_sel_excl_ind,"N", rng_out_post_reb_ind_yr3, 0))</f>
        <v>#VALUE!</v>
      </c>
      <c r="L370" s="5" t="e" cm="1">
        <f t="array" aca="1" ref="L370" ca="1">SUMIFS(rng_out_awp_pre_yr4,rng_out_sel_excl_yr_ind, "", rng_out_GB_Medispan, Q$1,rng_out_mail_ind,$B370,rng_out_sel_sp_ind,$D370,rng_out_sel_excl_ind,$E370)+
SUMIFS(rng_out_awp_pre_yr4,rng_out_sel_excl_yr_ind, [1]Tables!$HN$4, rng_out_GB_Medispan, Q$1,rng_out_mail_ind,$B370,rng_out_sel_sp_ind,$D370,rng_out_sel_excl_ind,$E370)* _xlfn.XLOOKUP([1]Tables!$HN$4,'[1]RA Output'!$AY$4:$AY$5,'[1]RA Output'!BC$4:BC$5,0)  +
SUMIFS(rng_out_awp_pre_yr4,rng_out_sel_excl_yr_ind, [1]Tables!$HN$5, rng_out_GB_Medispan, Q$1,rng_out_mail_ind,$B370,rng_out_sel_sp_ind,$D370,rng_out_sel_excl_ind,$E370)* _xlfn.XLOOKUP([1]Tables!$HN$5,'[1]RA Output'!$AY$4:$AY$5,'[1]RA Output'!BC$4:BC$5,0)+
IF($E$372="N", 0,
SUMIFS(rng_out_awp_pre_yr4, rng_out_GB_Medispan, Q$1, rng_out_mail_ind, $B370, rng_out_sel_sp_ind, $D370, rng_out_sel_excl_ind,"N", rng_out_post_reb_ind_yr4, 0))</f>
        <v>#VALUE!</v>
      </c>
      <c r="M370" s="73" t="e" cm="1">
        <f t="array" aca="1" ref="M370" ca="1">SUMIFS(rng_out_awp_pre_yr5,rng_out_sel_excl_yr_ind, "", rng_out_GB_Medispan, R$1,rng_out_mail_ind,$B370,rng_out_sel_sp_ind,$D370,rng_out_sel_excl_ind,$E370)+
SUMIFS(rng_out_awp_pre_yr5,rng_out_sel_excl_yr_ind, [1]Tables!$HN$4, rng_out_GB_Medispan, R$1,rng_out_mail_ind,$B370,rng_out_sel_sp_ind,$D370,rng_out_sel_excl_ind,$E370)* _xlfn.XLOOKUP([1]Tables!$HN$4,'[1]RA Output'!$AY$4:$AY$5,'[1]RA Output'!BD$4:BD$5,0)  +
SUMIFS(rng_out_awp_pre_yr5,rng_out_sel_excl_yr_ind, [1]Tables!$HN$5, rng_out_GB_Medispan, R$1,rng_out_mail_ind,$B370,rng_out_sel_sp_ind,$D370,rng_out_sel_excl_ind,$E370)* _xlfn.XLOOKUP([1]Tables!$HN$5,'[1]RA Output'!$AY$4:$AY$5,'[1]RA Output'!BD$4:BD$5,0)+
IF($E$372="N", 0,
SUMIFS(rng_out_awp_pre_yr5, rng_out_GB_Medispan, R$1, rng_out_mail_ind, $B370, rng_out_sel_sp_ind, $D370, rng_out_sel_excl_ind,"N", rng_out_post_reb_ind_yr5, 0))</f>
        <v>#VALUE!</v>
      </c>
      <c r="N370" s="74">
        <f t="shared" ca="1" si="385"/>
        <v>0</v>
      </c>
      <c r="O370" s="75">
        <f t="shared" ca="1" si="385"/>
        <v>0</v>
      </c>
      <c r="P370" s="75">
        <f t="shared" ca="1" si="385"/>
        <v>0</v>
      </c>
      <c r="Q370" s="75">
        <f t="shared" ca="1" si="385"/>
        <v>0</v>
      </c>
      <c r="R370" s="76">
        <f t="shared" ca="1" si="385"/>
        <v>0</v>
      </c>
      <c r="Y370" s="119" t="s">
        <v>7</v>
      </c>
      <c r="Z370" s="78">
        <f ca="1">IFERROR(I370/[1]Tables!$AT$4, 0)</f>
        <v>0</v>
      </c>
      <c r="AA370" s="79">
        <f ca="1">IFERROR(J370/[1]Tables!$AT$4, 0)</f>
        <v>0</v>
      </c>
      <c r="AB370" s="79">
        <f ca="1">IFERROR(K370/[1]Tables!$AT$4, 0)</f>
        <v>0</v>
      </c>
      <c r="AC370" s="79">
        <f ca="1">IFERROR(L370/[1]Tables!$AT$4, 0)</f>
        <v>0</v>
      </c>
      <c r="AD370" s="80">
        <f ca="1">IFERROR(M370/[1]Tables!$AT$4, 0)</f>
        <v>0</v>
      </c>
      <c r="AE370" s="81">
        <f t="shared" ca="1" si="386"/>
        <v>0</v>
      </c>
      <c r="AF370" s="75">
        <f t="shared" ca="1" si="386"/>
        <v>0</v>
      </c>
      <c r="AG370" s="75">
        <f t="shared" ca="1" si="386"/>
        <v>0</v>
      </c>
      <c r="AH370" s="75">
        <f t="shared" ca="1" si="386"/>
        <v>0</v>
      </c>
      <c r="AI370" s="82">
        <f t="shared" ca="1" si="386"/>
        <v>0</v>
      </c>
      <c r="AP370" s="120" t="s">
        <v>7</v>
      </c>
      <c r="AQ370" s="356" cm="1">
        <f t="array" aca="1" ref="AQ370" ca="1">IFERROR(IF($E$354="N", (SUMIFS(rng_out_awp_post_yr1,rng_out_sel_excl_yr_ind, "", rng_out_GB_Medispan, N$1,rng_out_mail_ind,$B370,rng_out_sel_sp_ind,$D370,rng_out_sel_excl_ind,$E370)+
SUMIFS(rng_out_awp_post_yr1,rng_out_sel_excl_yr_ind, [1]Tables!$HN$4, rng_out_GB_Medispan, N$1,rng_out_mail_ind,$B370,rng_out_sel_sp_ind,$D370,rng_out_sel_excl_ind,$E370)* _xlfn.XLOOKUP([1]Tables!$HN$4,'[1]RA Output'!$AY$4:$AY$5,'[1]RA Output'!AZ$4:AZ$5,0)  +
SUMIFS(rng_out_awp_post_yr1,rng_out_sel_excl_yr_ind, [1]Tables!$HN$5, rng_out_GB_Medispan, N$1,rng_out_mail_ind,$B370,rng_out_sel_sp_ind,$D370,rng_out_sel_excl_ind,$E370)* _xlfn.XLOOKUP([1]Tables!$HN$5,'[1]RA Output'!$AY$4:$AY$5,'[1]RA Output'!AZ$4:AZ$5,0))/[1]Tables!$AT$4,
(SUMIFS(rng_out_awp_post_yr1,rng_out_sel_excl_yr_ind, "", rng_out_GB_Medispan, N$1,rng_out_mail_ind,$B370,rng_out_sel_sp_ind,$D370,rng_out_sel_excl_ind,$E370)+
SUMIFS(rng_out_awp_post_yr1,rng_out_sel_excl_yr_ind, [1]Tables!$HN$4, rng_out_GB_Medispan, N$1,rng_out_mail_ind,$B370,rng_out_sel_sp_ind,$D370,rng_out_sel_excl_ind,$E370)* _xlfn.XLOOKUP([1]Tables!$HN$4,'[1]RA Output'!$AY$4:$AY$5,'[1]RA Output'!AZ$4:AZ$5,0)  +
SUMIFS(rng_out_awp_post_yr1,rng_out_sel_excl_yr_ind, [1]Tables!$HN$5, rng_out_GB_Medispan, N$1,rng_out_mail_ind,$B370,rng_out_sel_sp_ind,$D370,rng_out_sel_excl_ind,$E370)* _xlfn.XLOOKUP([1]Tables!$HN$5,'[1]RA Output'!$AY$4:$AY$5,'[1]RA Output'!AZ$4:AZ$5,0))/[1]Tables!$AT$4 +
SUMIFS(rng_out_awp_post_yr1, rng_out_GB_Medispan, N$1, rng_out_mail_ind, $B370, rng_out_sel_sp_ind, $D370, rng_out_sel_excl_ind,"N", rng_out_post_reb_ind_yr1, 0)/[1]Tables!$AT$4), 0)</f>
        <v>0</v>
      </c>
      <c r="AR370" s="5" cm="1">
        <f t="array" aca="1" ref="AR370" ca="1">IFERROR(IF($E$354="N", (SUMIFS(rng_out_awp_post_yr2,rng_out_sel_excl_yr_ind, "", rng_out_GB_Medispan, O$1,rng_out_mail_ind,$B370,rng_out_sel_sp_ind,$D370,rng_out_sel_excl_ind,$E370)+
SUMIFS(rng_out_awp_post_yr2,rng_out_sel_excl_yr_ind, [1]Tables!$HN$4, rng_out_GB_Medispan, O$1,rng_out_mail_ind,$B370,rng_out_sel_sp_ind,$D370,rng_out_sel_excl_ind,$E370)* _xlfn.XLOOKUP([1]Tables!$HN$4,'[1]RA Output'!$AY$4:$AY$5,'[1]RA Output'!BA$4:BA$5,0)  +
SUMIFS(rng_out_awp_post_yr2,rng_out_sel_excl_yr_ind, [1]Tables!$HN$5, rng_out_GB_Medispan, O$1,rng_out_mail_ind,$B370,rng_out_sel_sp_ind,$D370,rng_out_sel_excl_ind,$E370)* _xlfn.XLOOKUP([1]Tables!$HN$5,'[1]RA Output'!$AY$4:$AY$5,'[1]RA Output'!BA$4:BA$5,0))/[1]Tables!$AT$4,
(SUMIFS(rng_out_awp_post_yr2,rng_out_sel_excl_yr_ind, "", rng_out_GB_Medispan, O$1,rng_out_mail_ind,$B370,rng_out_sel_sp_ind,$D370,rng_out_sel_excl_ind,$E370)+
SUMIFS(rng_out_awp_post_yr2,rng_out_sel_excl_yr_ind, [1]Tables!$HN$4, rng_out_GB_Medispan, O$1,rng_out_mail_ind,$B370,rng_out_sel_sp_ind,$D370,rng_out_sel_excl_ind,$E370)* _xlfn.XLOOKUP([1]Tables!$HN$4,'[1]RA Output'!$AY$4:$AY$5,'[1]RA Output'!BA$4:BA$5,0)  +
SUMIFS(rng_out_awp_post_yr2,rng_out_sel_excl_yr_ind, [1]Tables!$HN$5, rng_out_GB_Medispan, O$1,rng_out_mail_ind,$B370,rng_out_sel_sp_ind,$D370,rng_out_sel_excl_ind,$E370)* _xlfn.XLOOKUP([1]Tables!$HN$5,'[1]RA Output'!$AY$4:$AY$5,'[1]RA Output'!BA$4:BA$5,0))/[1]Tables!$AT$4 +
SUMIFS(rng_out_awp_post_yr2, rng_out_GB_Medispan, O$1, rng_out_mail_ind, $B370, rng_out_sel_sp_ind, $D370, rng_out_sel_excl_ind,"N", rng_out_post_reb_ind_yr2, 0)/[1]Tables!$AT$4), 0)</f>
        <v>0</v>
      </c>
      <c r="AS370" s="5" cm="1">
        <f t="array" aca="1" ref="AS370" ca="1">IFERROR(IF($E$354="N", (SUMIFS(rng_out_awp_post_yr3,rng_out_sel_excl_yr_ind, "", rng_out_GB_Medispan, P$1,rng_out_mail_ind,$B370,rng_out_sel_sp_ind,$D370,rng_out_sel_excl_ind,$E370)+
SUMIFS(rng_out_awp_post_yr3,rng_out_sel_excl_yr_ind, [1]Tables!$HN$4, rng_out_GB_Medispan, P$1,rng_out_mail_ind,$B370,rng_out_sel_sp_ind,$D370,rng_out_sel_excl_ind,$E370)* _xlfn.XLOOKUP([1]Tables!$HN$4,'[1]RA Output'!$AY$4:$AY$5,'[1]RA Output'!BB$4:BB$5,0)  +
SUMIFS(rng_out_awp_post_yr3,rng_out_sel_excl_yr_ind, [1]Tables!$HN$5, rng_out_GB_Medispan, P$1,rng_out_mail_ind,$B370,rng_out_sel_sp_ind,$D370,rng_out_sel_excl_ind,$E370)* _xlfn.XLOOKUP([1]Tables!$HN$5,'[1]RA Output'!$AY$4:$AY$5,'[1]RA Output'!BB$4:BB$5,0))/[1]Tables!$AT$4,
(SUMIFS(rng_out_awp_post_yr3,rng_out_sel_excl_yr_ind, "", rng_out_GB_Medispan, P$1,rng_out_mail_ind,$B370,rng_out_sel_sp_ind,$D370,rng_out_sel_excl_ind,$E370)+
SUMIFS(rng_out_awp_post_yr3,rng_out_sel_excl_yr_ind, [1]Tables!$HN$4, rng_out_GB_Medispan, P$1,rng_out_mail_ind,$B370,rng_out_sel_sp_ind,$D370,rng_out_sel_excl_ind,$E370)* _xlfn.XLOOKUP([1]Tables!$HN$4,'[1]RA Output'!$AY$4:$AY$5,'[1]RA Output'!BB$4:BB$5,0)  +
SUMIFS(rng_out_awp_post_yr3,rng_out_sel_excl_yr_ind, [1]Tables!$HN$5, rng_out_GB_Medispan, P$1,rng_out_mail_ind,$B370,rng_out_sel_sp_ind,$D370,rng_out_sel_excl_ind,$E370)* _xlfn.XLOOKUP([1]Tables!$HN$5,'[1]RA Output'!$AY$4:$AY$5,'[1]RA Output'!BB$4:BB$5,0))/[1]Tables!$AT$4 +
SUMIFS(rng_out_awp_post_yr3, rng_out_GB_Medispan, P$1, rng_out_mail_ind, $B370, rng_out_sel_sp_ind, $D370, rng_out_sel_excl_ind,"N", rng_out_post_reb_ind_yr3, 0)/[1]Tables!$AT$4), 0)</f>
        <v>0</v>
      </c>
      <c r="AT370" s="5" cm="1">
        <f t="array" aca="1" ref="AT370" ca="1">IFERROR(IF($E$354="N", (SUMIFS(rng_out_awp_post_yr4,rng_out_sel_excl_yr_ind, "", rng_out_GB_Medispan, Q$1,rng_out_mail_ind,$B370,rng_out_sel_sp_ind,$D370,rng_out_sel_excl_ind,$E370)+
SUMIFS(rng_out_awp_post_yr4,rng_out_sel_excl_yr_ind, [1]Tables!$HN$4, rng_out_GB_Medispan, Q$1,rng_out_mail_ind,$B370,rng_out_sel_sp_ind,$D370,rng_out_sel_excl_ind,$E370)* _xlfn.XLOOKUP([1]Tables!$HN$4,'[1]RA Output'!$AY$4:$AY$5,'[1]RA Output'!BC$4:BC$5,0)  +
SUMIFS(rng_out_awp_post_yr4,rng_out_sel_excl_yr_ind, [1]Tables!$HN$5, rng_out_GB_Medispan, Q$1,rng_out_mail_ind,$B370,rng_out_sel_sp_ind,$D370,rng_out_sel_excl_ind,$E370)* _xlfn.XLOOKUP([1]Tables!$HN$5,'[1]RA Output'!$AY$4:$AY$5,'[1]RA Output'!BC$4:BC$5,0))/[1]Tables!$AT$4,
(SUMIFS(rng_out_awp_post_yr4,rng_out_sel_excl_yr_ind, "", rng_out_GB_Medispan, Q$1,rng_out_mail_ind,$B370,rng_out_sel_sp_ind,$D370,rng_out_sel_excl_ind,$E370)+
SUMIFS(rng_out_awp_post_yr4,rng_out_sel_excl_yr_ind, [1]Tables!$HN$4, rng_out_GB_Medispan, Q$1,rng_out_mail_ind,$B370,rng_out_sel_sp_ind,$D370,rng_out_sel_excl_ind,$E370)* _xlfn.XLOOKUP([1]Tables!$HN$4,'[1]RA Output'!$AY$4:$AY$5,'[1]RA Output'!BC$4:BC$5,0)  +
SUMIFS(rng_out_awp_post_yr4,rng_out_sel_excl_yr_ind, [1]Tables!$HN$5, rng_out_GB_Medispan, Q$1,rng_out_mail_ind,$B370,rng_out_sel_sp_ind,$D370,rng_out_sel_excl_ind,$E370)* _xlfn.XLOOKUP([1]Tables!$HN$5,'[1]RA Output'!$AY$4:$AY$5,'[1]RA Output'!BC$4:BC$5,0))/[1]Tables!$AT$4 +
SUMIFS(rng_out_awp_post_yr4, rng_out_GB_Medispan, Q$1, rng_out_mail_ind, $B370, rng_out_sel_sp_ind, $D370, rng_out_sel_excl_ind,"N", rng_out_post_reb_ind_yr4, 0)/[1]Tables!$AT$4), 0)</f>
        <v>0</v>
      </c>
      <c r="AU370" s="85" cm="1">
        <f t="array" aca="1" ref="AU370" ca="1">IFERROR(IF($E$354="N", (SUMIFS(rng_out_awp_post_yr5,rng_out_sel_excl_yr_ind, "", rng_out_GB_Medispan, R$1,rng_out_mail_ind,$B370,rng_out_sel_sp_ind,$D370,rng_out_sel_excl_ind,$E370)+
SUMIFS(rng_out_awp_post_yr5,rng_out_sel_excl_yr_ind, [1]Tables!$HN$4, rng_out_GB_Medispan, R$1,rng_out_mail_ind,$B370,rng_out_sel_sp_ind,$D370,rng_out_sel_excl_ind,$E370)* _xlfn.XLOOKUP([1]Tables!$HN$4,'[1]RA Output'!$AY$4:$AY$5,'[1]RA Output'!BD$4:BD$5,0)  +
SUMIFS(rng_out_awp_post_yr5,rng_out_sel_excl_yr_ind, [1]Tables!$HN$5, rng_out_GB_Medispan, R$1,rng_out_mail_ind,$B370,rng_out_sel_sp_ind,$D370,rng_out_sel_excl_ind,$E370)* _xlfn.XLOOKUP([1]Tables!$HN$5,'[1]RA Output'!$AY$4:$AY$5,'[1]RA Output'!BD$4:BD$5,0))/[1]Tables!$AT$4,
(SUMIFS(rng_out_awp_post_yr5,rng_out_sel_excl_yr_ind, "", rng_out_GB_Medispan, R$1,rng_out_mail_ind,$B370,rng_out_sel_sp_ind,$D370,rng_out_sel_excl_ind,$E370)+
SUMIFS(rng_out_awp_post_yr5,rng_out_sel_excl_yr_ind, [1]Tables!$HN$4, rng_out_GB_Medispan, R$1,rng_out_mail_ind,$B370,rng_out_sel_sp_ind,$D370,rng_out_sel_excl_ind,$E370)* _xlfn.XLOOKUP([1]Tables!$HN$4,'[1]RA Output'!$AY$4:$AY$5,'[1]RA Output'!BD$4:BD$5,0)  +
SUMIFS(rng_out_awp_post_yr5,rng_out_sel_excl_yr_ind, [1]Tables!$HN$5, rng_out_GB_Medispan, R$1,rng_out_mail_ind,$B370,rng_out_sel_sp_ind,$D370,rng_out_sel_excl_ind,$E370)* _xlfn.XLOOKUP([1]Tables!$HN$5,'[1]RA Output'!$AY$4:$AY$5,'[1]RA Output'!BD$4:BD$5,0))/[1]Tables!$AT$4 +
SUMIFS(rng_out_awp_post_yr5, rng_out_GB_Medispan, R$1, rng_out_mail_ind, $B370, rng_out_sel_sp_ind, $D370, rng_out_sel_excl_ind,"N", rng_out_post_reb_ind_yr5, 0)/[1]Tables!$AT$4), 0)</f>
        <v>0</v>
      </c>
      <c r="AV370" s="86">
        <f t="shared" ca="1" si="387"/>
        <v>0</v>
      </c>
      <c r="AW370" s="75">
        <f t="shared" ca="1" si="387"/>
        <v>0</v>
      </c>
      <c r="AX370" s="75">
        <f t="shared" ca="1" si="387"/>
        <v>0</v>
      </c>
      <c r="AY370" s="75">
        <f t="shared" ca="1" si="387"/>
        <v>0</v>
      </c>
      <c r="AZ370" s="87">
        <f t="shared" ca="1" si="387"/>
        <v>0</v>
      </c>
      <c r="BG370" s="121" t="s">
        <v>7</v>
      </c>
      <c r="BH370" s="97">
        <f t="shared" ca="1" si="388"/>
        <v>0</v>
      </c>
      <c r="BI370" s="79">
        <f t="shared" ca="1" si="388"/>
        <v>0</v>
      </c>
      <c r="BJ370" s="79">
        <f t="shared" ca="1" si="388"/>
        <v>0</v>
      </c>
      <c r="BK370" s="79">
        <f t="shared" ca="1" si="388"/>
        <v>0</v>
      </c>
      <c r="BL370" s="98">
        <f t="shared" ca="1" si="388"/>
        <v>0</v>
      </c>
      <c r="BM370" s="92">
        <f t="shared" ca="1" si="389"/>
        <v>0</v>
      </c>
      <c r="BN370" s="75">
        <f t="shared" ca="1" si="389"/>
        <v>0</v>
      </c>
      <c r="BO370" s="75">
        <f t="shared" ca="1" si="389"/>
        <v>0</v>
      </c>
      <c r="BP370" s="75">
        <f t="shared" ca="1" si="389"/>
        <v>0</v>
      </c>
      <c r="BQ370" s="93">
        <f t="shared" ca="1" si="389"/>
        <v>0</v>
      </c>
      <c r="BX370" s="121" t="s">
        <v>7</v>
      </c>
      <c r="BY370" s="97">
        <f t="shared" ca="1" si="390"/>
        <v>0</v>
      </c>
      <c r="BZ370" s="79">
        <f t="shared" ca="1" si="390"/>
        <v>0</v>
      </c>
      <c r="CA370" s="79">
        <f t="shared" ca="1" si="390"/>
        <v>0</v>
      </c>
      <c r="CB370" s="79">
        <f t="shared" ca="1" si="390"/>
        <v>0</v>
      </c>
      <c r="CC370" s="98">
        <f t="shared" ca="1" si="390"/>
        <v>0</v>
      </c>
      <c r="CD370" s="92">
        <f t="shared" ca="1" si="392"/>
        <v>0</v>
      </c>
      <c r="CE370" s="75">
        <f t="shared" ca="1" si="392"/>
        <v>0</v>
      </c>
      <c r="CF370" s="75">
        <f t="shared" ca="1" si="392"/>
        <v>0</v>
      </c>
      <c r="CG370" s="75">
        <f t="shared" ca="1" si="392"/>
        <v>0</v>
      </c>
      <c r="CH370" s="93">
        <f t="shared" ca="1" si="392"/>
        <v>0</v>
      </c>
      <c r="DC370" s="97" t="e">
        <f t="shared" ca="1" si="391"/>
        <v>#VALUE!</v>
      </c>
      <c r="DD370" s="79" t="e">
        <f t="shared" ca="1" si="391"/>
        <v>#VALUE!</v>
      </c>
      <c r="DE370" s="79" t="e">
        <f t="shared" ca="1" si="391"/>
        <v>#VALUE!</v>
      </c>
      <c r="DF370" s="79" t="e">
        <f t="shared" ca="1" si="391"/>
        <v>#VALUE!</v>
      </c>
      <c r="DG370" s="98" t="e">
        <f t="shared" ca="1" si="391"/>
        <v>#VALUE!</v>
      </c>
    </row>
    <row r="371" spans="2:111" ht="15" thickBot="1" x14ac:dyDescent="0.4">
      <c r="B371" s="122"/>
      <c r="C371" s="123"/>
      <c r="D371" s="123" t="s">
        <v>13</v>
      </c>
      <c r="E371" s="124" t="s">
        <v>13</v>
      </c>
      <c r="F371" s="106"/>
      <c r="H371" s="118" t="s">
        <v>17</v>
      </c>
      <c r="I371" s="72" t="e" cm="1">
        <f t="array" aca="1" ref="I371" ca="1">SUMIFS(rng_out_awp_pre_yr1,rng_out_sel_excl_yr_ind, "", rng_out_GB_Medispan, N$1,rng_out_sel_sp_ind,$D371,rng_out_sel_excl_ind,$E371)+
SUMIFS(rng_out_awp_pre_yr1,rng_out_sel_excl_yr_ind, [1]Tables!$HN$4, rng_out_GB_Medispan, N$1,rng_out_sel_sp_ind,$D371,rng_out_sel_excl_ind,$E371)* _xlfn.XLOOKUP([1]Tables!$HN$4,'[1]RA Output'!$AY$4:$AY$5,'[1]RA Output'!AZ$4:AZ$5,0)  +
SUMIFS(rng_out_awp_pre_yr1,rng_out_sel_excl_yr_ind, [1]Tables!$HN$5, rng_out_GB_Medispan, N$1,rng_out_sel_sp_ind,$D371,rng_out_sel_excl_ind,$E371)* _xlfn.XLOOKUP([1]Tables!$HN$5,'[1]RA Output'!$AY$4:$AY$5,'[1]RA Output'!AZ$4:AZ$5,0)+
IF($E$372="N", 0,
SUMIFS(rng_out_awp_pre_yr1, rng_out_GB_Medispan, N$1, rng_out_sel_sp_ind, $D371, rng_out_sel_excl_ind,"N", rng_out_post_reb_ind_yr1, 0))</f>
        <v>#VALUE!</v>
      </c>
      <c r="J371" s="5" t="e" cm="1">
        <f t="array" aca="1" ref="J371" ca="1">SUMIFS(rng_out_awp_pre_yr2,rng_out_sel_excl_yr_ind, "", rng_out_GB_Medispan, O$1,rng_out_sel_sp_ind,$D371,rng_out_sel_excl_ind,$E371)+
SUMIFS(rng_out_awp_pre_yr2,rng_out_sel_excl_yr_ind, [1]Tables!$HN$4, rng_out_GB_Medispan, O$1,rng_out_sel_sp_ind,$D371,rng_out_sel_excl_ind,$E371)* _xlfn.XLOOKUP([1]Tables!$HN$4,'[1]RA Output'!$AY$4:$AY$5,'[1]RA Output'!BA$4:BA$5,0)  +
SUMIFS(rng_out_awp_pre_yr2,rng_out_sel_excl_yr_ind, [1]Tables!$HN$5, rng_out_GB_Medispan, O$1,rng_out_sel_sp_ind,$D371,rng_out_sel_excl_ind,$E371)* _xlfn.XLOOKUP([1]Tables!$HN$5,'[1]RA Output'!$AY$4:$AY$5,'[1]RA Output'!BA$4:BA$5,0)+
IF($E$372="N", 0,
SUMIFS(rng_out_awp_pre_yr2, rng_out_GB_Medispan, O$1, rng_out_sel_sp_ind, $D371, rng_out_sel_excl_ind,"N", rng_out_post_reb_ind_yr2, 0))</f>
        <v>#VALUE!</v>
      </c>
      <c r="K371" s="5" t="e" cm="1">
        <f t="array" aca="1" ref="K371" ca="1">SUMIFS(rng_out_awp_pre_yr3,rng_out_sel_excl_yr_ind, "", rng_out_GB_Medispan, P$1,rng_out_sel_sp_ind,$D371,rng_out_sel_excl_ind,$E371)+
SUMIFS(rng_out_awp_pre_yr3,rng_out_sel_excl_yr_ind, [1]Tables!$HN$4, rng_out_GB_Medispan, P$1,rng_out_sel_sp_ind,$D371,rng_out_sel_excl_ind,$E371)* _xlfn.XLOOKUP([1]Tables!$HN$4,'[1]RA Output'!$AY$4:$AY$5,'[1]RA Output'!BB$4:BB$5,0)  +
SUMIFS(rng_out_awp_pre_yr3,rng_out_sel_excl_yr_ind, [1]Tables!$HN$5, rng_out_GB_Medispan, P$1,rng_out_sel_sp_ind,$D371,rng_out_sel_excl_ind,$E371)* _xlfn.XLOOKUP([1]Tables!$HN$5,'[1]RA Output'!$AY$4:$AY$5,'[1]RA Output'!BB$4:BB$5,0)+
IF($E$372="N", 0,
SUMIFS(rng_out_awp_pre_yr3, rng_out_GB_Medispan, P$1, rng_out_sel_sp_ind, $D371, rng_out_sel_excl_ind,"N", rng_out_post_reb_ind_yr3, 0))</f>
        <v>#VALUE!</v>
      </c>
      <c r="L371" s="5" t="e" cm="1">
        <f t="array" aca="1" ref="L371" ca="1">SUMIFS(rng_out_awp_pre_yr4,rng_out_sel_excl_yr_ind, "", rng_out_GB_Medispan, Q$1,rng_out_sel_sp_ind,$D371,rng_out_sel_excl_ind,$E371)+
SUMIFS(rng_out_awp_pre_yr4,rng_out_sel_excl_yr_ind, [1]Tables!$HN$4, rng_out_GB_Medispan, Q$1,rng_out_sel_sp_ind,$D371,rng_out_sel_excl_ind,$E371)* _xlfn.XLOOKUP([1]Tables!$HN$4,'[1]RA Output'!$AY$4:$AY$5,'[1]RA Output'!BC$4:BC$5,0)  +
SUMIFS(rng_out_awp_pre_yr4,rng_out_sel_excl_yr_ind, [1]Tables!$HN$5, rng_out_GB_Medispan, Q$1,rng_out_sel_sp_ind,$D371,rng_out_sel_excl_ind,$E371)* _xlfn.XLOOKUP([1]Tables!$HN$5,'[1]RA Output'!$AY$4:$AY$5,'[1]RA Output'!BC$4:BC$5,0)+
IF($E$372="N", 0,
SUMIFS(rng_out_awp_pre_yr4, rng_out_GB_Medispan, Q$1, rng_out_sel_sp_ind, $D371, rng_out_sel_excl_ind,"N", rng_out_post_reb_ind_yr4, 0))</f>
        <v>#VALUE!</v>
      </c>
      <c r="M371" s="125" t="e" cm="1">
        <f t="array" aca="1" ref="M371" ca="1">SUMIFS(rng_out_awp_pre_yr5,rng_out_sel_excl_yr_ind, "", rng_out_GB_Medispan, R$1,rng_out_sel_sp_ind,$D371,rng_out_sel_excl_ind,$E371)+
SUMIFS(rng_out_awp_pre_yr5,rng_out_sel_excl_yr_ind, [1]Tables!$HN$4, rng_out_GB_Medispan, R$1,rng_out_sel_sp_ind,$D371,rng_out_sel_excl_ind,$E371)* _xlfn.XLOOKUP([1]Tables!$HN$4,'[1]RA Output'!$AY$4:$AY$5,'[1]RA Output'!BD$4:BD$5,0)  +
SUMIFS(rng_out_awp_pre_yr5,rng_out_sel_excl_yr_ind, [1]Tables!$HN$5, rng_out_GB_Medispan, R$1,rng_out_sel_sp_ind,$D371,rng_out_sel_excl_ind,$E371)* _xlfn.XLOOKUP([1]Tables!$HN$5,'[1]RA Output'!$AY$4:$AY$5,'[1]RA Output'!BD$4:BD$5,0)+
IF($E$372="N", 0,
SUMIFS(rng_out_awp_pre_yr5, rng_out_GB_Medispan, R$1, rng_out_sel_sp_ind, $D371, rng_out_sel_excl_ind,"N", rng_out_post_reb_ind_yr5, 0))</f>
        <v>#VALUE!</v>
      </c>
      <c r="N371" s="74">
        <f t="shared" ca="1" si="385"/>
        <v>0</v>
      </c>
      <c r="O371" s="75">
        <f t="shared" ca="1" si="385"/>
        <v>0</v>
      </c>
      <c r="P371" s="75">
        <f t="shared" ca="1" si="385"/>
        <v>0</v>
      </c>
      <c r="Q371" s="75">
        <f t="shared" ca="1" si="385"/>
        <v>0</v>
      </c>
      <c r="R371" s="126">
        <f t="shared" ca="1" si="385"/>
        <v>0</v>
      </c>
      <c r="Y371" s="119" t="s">
        <v>17</v>
      </c>
      <c r="Z371" s="127">
        <f ca="1">IFERROR(I371/[1]Tables!$AT$4, 0)</f>
        <v>0</v>
      </c>
      <c r="AA371" s="128">
        <f ca="1">IFERROR(J371/[1]Tables!$AT$4, 0)</f>
        <v>0</v>
      </c>
      <c r="AB371" s="128">
        <f ca="1">IFERROR(K371/[1]Tables!$AT$4, 0)</f>
        <v>0</v>
      </c>
      <c r="AC371" s="128">
        <f ca="1">IFERROR(L371/[1]Tables!$AT$4, 0)</f>
        <v>0</v>
      </c>
      <c r="AD371" s="129">
        <f ca="1">IFERROR(M371/[1]Tables!$AT$4, 0)</f>
        <v>0</v>
      </c>
      <c r="AE371" s="130">
        <f t="shared" ca="1" si="386"/>
        <v>0</v>
      </c>
      <c r="AF371" s="131">
        <f t="shared" ca="1" si="386"/>
        <v>0</v>
      </c>
      <c r="AG371" s="131">
        <f t="shared" ca="1" si="386"/>
        <v>0</v>
      </c>
      <c r="AH371" s="131">
        <f t="shared" ca="1" si="386"/>
        <v>0</v>
      </c>
      <c r="AI371" s="132">
        <f t="shared" ca="1" si="386"/>
        <v>0</v>
      </c>
      <c r="AP371" s="120" t="s">
        <v>17</v>
      </c>
      <c r="AQ371" s="167" cm="1">
        <f t="array" aca="1" ref="AQ371" ca="1">IFERROR(IF($E$354="N", (SUMIFS(rng_out_awp_post_yr1,rng_out_sel_excl_yr_ind, "", rng_out_GB_Medispan, N$1,rng_out_sel_sp_ind,$D371,rng_out_sel_excl_ind,$E371)+
SUMIFS(rng_out_awp_post_yr1,rng_out_sel_excl_yr_ind, [1]Tables!$HN$4, rng_out_GB_Medispan, N$1,rng_out_sel_sp_ind,$D371,rng_out_sel_excl_ind,$E371)* _xlfn.XLOOKUP([1]Tables!$HN$4,'[1]RA Output'!$AY$4:$AY$5,'[1]RA Output'!AZ$4:AZ$5,0)  +
SUMIFS(rng_out_awp_post_yr1,rng_out_sel_excl_yr_ind, [1]Tables!$HN$5, rng_out_GB_Medispan, N$1,rng_out_sel_sp_ind,$D371,rng_out_sel_excl_ind,$E371)* _xlfn.XLOOKUP([1]Tables!$HN$5,'[1]RA Output'!$AY$4:$AY$5,'[1]RA Output'!AZ$4:AZ$5,0))/[1]Tables!$AT$4,
(SUMIFS(rng_out_awp_post_yr1,rng_out_sel_excl_yr_ind, "", rng_out_GB_Medispan, N$1,rng_out_sel_sp_ind,$D371,rng_out_sel_excl_ind,$E371)+
SUMIFS(rng_out_awp_post_yr1,rng_out_sel_excl_yr_ind, [1]Tables!$HN$4, rng_out_GB_Medispan, N$1,rng_out_sel_sp_ind,$D371,rng_out_sel_excl_ind,$E371)* _xlfn.XLOOKUP([1]Tables!$HN$4,'[1]RA Output'!$AY$4:$AY$5,'[1]RA Output'!AZ$4:AZ$5,0)  +
SUMIFS(rng_out_awp_post_yr1,rng_out_sel_excl_yr_ind, [1]Tables!$HN$5, rng_out_GB_Medispan, N$1,rng_out_sel_sp_ind,$D371,rng_out_sel_excl_ind,$E371)* _xlfn.XLOOKUP([1]Tables!$HN$5,'[1]RA Output'!$AY$4:$AY$5,'[1]RA Output'!AZ$4:AZ$5,0))/[1]Tables!$AT$4 +
SUMIFS(rng_out_awp_post_yr1, rng_out_GB_Medispan, N$1, rng_out_sel_sp_ind, $D371, rng_out_sel_excl_ind,"N", rng_out_post_reb_ind_yr1, 0)/[1]Tables!$AT$4), 0)</f>
        <v>0</v>
      </c>
      <c r="AR371" s="134" cm="1">
        <f t="array" aca="1" ref="AR371" ca="1">IFERROR(IF($E$354="N", (SUMIFS(rng_out_awp_post_yr2,rng_out_sel_excl_yr_ind, "", rng_out_GB_Medispan, O$1,rng_out_sel_sp_ind,$D371,rng_out_sel_excl_ind,$E371)+
SUMIFS(rng_out_awp_post_yr2,rng_out_sel_excl_yr_ind, [1]Tables!$HN$4, rng_out_GB_Medispan, O$1,rng_out_sel_sp_ind,$D371,rng_out_sel_excl_ind,$E371)* _xlfn.XLOOKUP([1]Tables!$HN$4,'[1]RA Output'!$AY$4:$AY$5,'[1]RA Output'!BA$4:BA$5,0)  +
SUMIFS(rng_out_awp_post_yr2,rng_out_sel_excl_yr_ind, [1]Tables!$HN$5, rng_out_GB_Medispan, O$1,rng_out_sel_sp_ind,$D371,rng_out_sel_excl_ind,$E371)* _xlfn.XLOOKUP([1]Tables!$HN$5,'[1]RA Output'!$AY$4:$AY$5,'[1]RA Output'!BA$4:BA$5,0))/[1]Tables!$AT$4,
(SUMIFS(rng_out_awp_post_yr2,rng_out_sel_excl_yr_ind, "", rng_out_GB_Medispan, O$1,rng_out_sel_sp_ind,$D371,rng_out_sel_excl_ind,$E371)+
SUMIFS(rng_out_awp_post_yr2,rng_out_sel_excl_yr_ind, [1]Tables!$HN$4, rng_out_GB_Medispan, O$1,rng_out_sel_sp_ind,$D371,rng_out_sel_excl_ind,$E371)* _xlfn.XLOOKUP([1]Tables!$HN$4,'[1]RA Output'!$AY$4:$AY$5,'[1]RA Output'!BA$4:BA$5,0)  +
SUMIFS(rng_out_awp_post_yr2,rng_out_sel_excl_yr_ind, [1]Tables!$HN$5, rng_out_GB_Medispan, O$1,rng_out_sel_sp_ind,$D371,rng_out_sel_excl_ind,$E371)* _xlfn.XLOOKUP([1]Tables!$HN$5,'[1]RA Output'!$AY$4:$AY$5,'[1]RA Output'!BA$4:BA$5,0))/[1]Tables!$AT$4 +
SUMIFS(rng_out_awp_post_yr2, rng_out_GB_Medispan, O$1, rng_out_sel_sp_ind, $D371, rng_out_sel_excl_ind,"N", rng_out_post_reb_ind_yr2, 0)/[1]Tables!$AT$4), 0)</f>
        <v>0</v>
      </c>
      <c r="AS371" s="134" cm="1">
        <f t="array" aca="1" ref="AS371" ca="1">IFERROR(IF($E$354="N", (SUMIFS(rng_out_awp_post_yr3,rng_out_sel_excl_yr_ind, "", rng_out_GB_Medispan, P$1,rng_out_sel_sp_ind,$D371,rng_out_sel_excl_ind,$E371)+
SUMIFS(rng_out_awp_post_yr3,rng_out_sel_excl_yr_ind, [1]Tables!$HN$4, rng_out_GB_Medispan, P$1,rng_out_sel_sp_ind,$D371,rng_out_sel_excl_ind,$E371)* _xlfn.XLOOKUP([1]Tables!$HN$4,'[1]RA Output'!$AY$4:$AY$5,'[1]RA Output'!BB$4:BB$5,0)  +
SUMIFS(rng_out_awp_post_yr3,rng_out_sel_excl_yr_ind, [1]Tables!$HN$5, rng_out_GB_Medispan, P$1,rng_out_sel_sp_ind,$D371,rng_out_sel_excl_ind,$E371)* _xlfn.XLOOKUP([1]Tables!$HN$5,'[1]RA Output'!$AY$4:$AY$5,'[1]RA Output'!BB$4:BB$5,0))/[1]Tables!$AT$4,
(SUMIFS(rng_out_awp_post_yr3,rng_out_sel_excl_yr_ind, "", rng_out_GB_Medispan, P$1,rng_out_sel_sp_ind,$D371,rng_out_sel_excl_ind,$E371)+
SUMIFS(rng_out_awp_post_yr3,rng_out_sel_excl_yr_ind, [1]Tables!$HN$4, rng_out_GB_Medispan, P$1,rng_out_sel_sp_ind,$D371,rng_out_sel_excl_ind,$E371)* _xlfn.XLOOKUP([1]Tables!$HN$4,'[1]RA Output'!$AY$4:$AY$5,'[1]RA Output'!BB$4:BB$5,0)  +
SUMIFS(rng_out_awp_post_yr3,rng_out_sel_excl_yr_ind, [1]Tables!$HN$5, rng_out_GB_Medispan, P$1,rng_out_sel_sp_ind,$D371,rng_out_sel_excl_ind,$E371)* _xlfn.XLOOKUP([1]Tables!$HN$5,'[1]RA Output'!$AY$4:$AY$5,'[1]RA Output'!BB$4:BB$5,0))/[1]Tables!$AT$4 +
SUMIFS(rng_out_awp_post_yr3, rng_out_GB_Medispan, P$1, rng_out_sel_sp_ind, $D371, rng_out_sel_excl_ind,"N", rng_out_post_reb_ind_yr3, 0)/[1]Tables!$AT$4), 0)</f>
        <v>0</v>
      </c>
      <c r="AT371" s="134" cm="1">
        <f t="array" aca="1" ref="AT371" ca="1">IFERROR(IF($E$354="N", (SUMIFS(rng_out_awp_post_yr4,rng_out_sel_excl_yr_ind, "", rng_out_GB_Medispan, Q$1,rng_out_sel_sp_ind,$D371,rng_out_sel_excl_ind,$E371)+
SUMIFS(rng_out_awp_post_yr4,rng_out_sel_excl_yr_ind, [1]Tables!$HN$4, rng_out_GB_Medispan, Q$1,rng_out_sel_sp_ind,$D371,rng_out_sel_excl_ind,$E371)* _xlfn.XLOOKUP([1]Tables!$HN$4,'[1]RA Output'!$AY$4:$AY$5,'[1]RA Output'!BC$4:BC$5,0)  +
SUMIFS(rng_out_awp_post_yr4,rng_out_sel_excl_yr_ind, [1]Tables!$HN$5, rng_out_GB_Medispan, Q$1,rng_out_sel_sp_ind,$D371,rng_out_sel_excl_ind,$E371)* _xlfn.XLOOKUP([1]Tables!$HN$5,'[1]RA Output'!$AY$4:$AY$5,'[1]RA Output'!BC$4:BC$5,0))/[1]Tables!$AT$4,
(SUMIFS(rng_out_awp_post_yr4,rng_out_sel_excl_yr_ind, "", rng_out_GB_Medispan, Q$1,rng_out_sel_sp_ind,$D371,rng_out_sel_excl_ind,$E371)+
SUMIFS(rng_out_awp_post_yr4,rng_out_sel_excl_yr_ind, [1]Tables!$HN$4, rng_out_GB_Medispan, Q$1,rng_out_sel_sp_ind,$D371,rng_out_sel_excl_ind,$E371)* _xlfn.XLOOKUP([1]Tables!$HN$4,'[1]RA Output'!$AY$4:$AY$5,'[1]RA Output'!BC$4:BC$5,0)  +
SUMIFS(rng_out_awp_post_yr4,rng_out_sel_excl_yr_ind, [1]Tables!$HN$5, rng_out_GB_Medispan, Q$1,rng_out_sel_sp_ind,$D371,rng_out_sel_excl_ind,$E371)* _xlfn.XLOOKUP([1]Tables!$HN$5,'[1]RA Output'!$AY$4:$AY$5,'[1]RA Output'!BC$4:BC$5,0))/[1]Tables!$AT$4 +
SUMIFS(rng_out_awp_post_yr4, rng_out_GB_Medispan, Q$1, rng_out_sel_sp_ind, $D371, rng_out_sel_excl_ind,"N", rng_out_post_reb_ind_yr4, 0)/[1]Tables!$AT$4), 0)</f>
        <v>0</v>
      </c>
      <c r="AU371" s="135" cm="1">
        <f t="array" aca="1" ref="AU371" ca="1">IFERROR(IF($E$354="N", (SUMIFS(rng_out_awp_post_yr5,rng_out_sel_excl_yr_ind, "", rng_out_GB_Medispan, R$1,rng_out_sel_sp_ind,$D371,rng_out_sel_excl_ind,$E371)+
SUMIFS(rng_out_awp_post_yr5,rng_out_sel_excl_yr_ind, [1]Tables!$HN$4, rng_out_GB_Medispan, R$1,rng_out_sel_sp_ind,$D371,rng_out_sel_excl_ind,$E371)* _xlfn.XLOOKUP([1]Tables!$HN$4,'[1]RA Output'!$AY$4:$AY$5,'[1]RA Output'!BD$4:BD$5,0)  +
SUMIFS(rng_out_awp_post_yr5,rng_out_sel_excl_yr_ind, [1]Tables!$HN$5, rng_out_GB_Medispan, R$1,rng_out_sel_sp_ind,$D371,rng_out_sel_excl_ind,$E371)* _xlfn.XLOOKUP([1]Tables!$HN$5,'[1]RA Output'!$AY$4:$AY$5,'[1]RA Output'!BD$4:BD$5,0))/[1]Tables!$AT$4,
(SUMIFS(rng_out_awp_post_yr5,rng_out_sel_excl_yr_ind, "", rng_out_GB_Medispan, R$1,rng_out_sel_sp_ind,$D371,rng_out_sel_excl_ind,$E371)+
SUMIFS(rng_out_awp_post_yr5,rng_out_sel_excl_yr_ind, [1]Tables!$HN$4, rng_out_GB_Medispan, R$1,rng_out_sel_sp_ind,$D371,rng_out_sel_excl_ind,$E371)* _xlfn.XLOOKUP([1]Tables!$HN$4,'[1]RA Output'!$AY$4:$AY$5,'[1]RA Output'!BD$4:BD$5,0)  +
SUMIFS(rng_out_awp_post_yr5,rng_out_sel_excl_yr_ind, [1]Tables!$HN$5, rng_out_GB_Medispan, R$1,rng_out_sel_sp_ind,$D371,rng_out_sel_excl_ind,$E371)* _xlfn.XLOOKUP([1]Tables!$HN$5,'[1]RA Output'!$AY$4:$AY$5,'[1]RA Output'!BD$4:BD$5,0))/[1]Tables!$AT$4 +
SUMIFS(rng_out_awp_post_yr5, rng_out_GB_Medispan, R$1, rng_out_sel_sp_ind, $D371, rng_out_sel_excl_ind,"N", rng_out_post_reb_ind_yr5, 0)/[1]Tables!$AT$4), 0)</f>
        <v>0</v>
      </c>
      <c r="AV371" s="136">
        <f t="shared" ca="1" si="387"/>
        <v>0</v>
      </c>
      <c r="AW371" s="137">
        <f t="shared" ca="1" si="387"/>
        <v>0</v>
      </c>
      <c r="AX371" s="137">
        <f t="shared" ca="1" si="387"/>
        <v>0</v>
      </c>
      <c r="AY371" s="137">
        <f t="shared" ca="1" si="387"/>
        <v>0</v>
      </c>
      <c r="AZ371" s="138">
        <f t="shared" ca="1" si="387"/>
        <v>0</v>
      </c>
      <c r="BG371" s="121" t="s">
        <v>17</v>
      </c>
      <c r="BH371" s="145">
        <f t="shared" ca="1" si="388"/>
        <v>0</v>
      </c>
      <c r="BI371" s="146">
        <f t="shared" ca="1" si="388"/>
        <v>0</v>
      </c>
      <c r="BJ371" s="146">
        <f t="shared" ca="1" si="388"/>
        <v>0</v>
      </c>
      <c r="BK371" s="146">
        <f t="shared" ca="1" si="388"/>
        <v>0</v>
      </c>
      <c r="BL371" s="147">
        <f t="shared" ca="1" si="388"/>
        <v>0</v>
      </c>
      <c r="BM371" s="142">
        <f t="shared" ca="1" si="389"/>
        <v>0</v>
      </c>
      <c r="BN371" s="143">
        <f t="shared" ca="1" si="389"/>
        <v>0</v>
      </c>
      <c r="BO371" s="143">
        <f t="shared" ca="1" si="389"/>
        <v>0</v>
      </c>
      <c r="BP371" s="143">
        <f t="shared" ca="1" si="389"/>
        <v>0</v>
      </c>
      <c r="BQ371" s="144">
        <f t="shared" ca="1" si="389"/>
        <v>0</v>
      </c>
      <c r="BX371" s="121" t="s">
        <v>17</v>
      </c>
      <c r="BY371" s="145">
        <f t="shared" ca="1" si="390"/>
        <v>0</v>
      </c>
      <c r="BZ371" s="146">
        <f t="shared" ca="1" si="390"/>
        <v>0</v>
      </c>
      <c r="CA371" s="146">
        <f t="shared" ca="1" si="390"/>
        <v>0</v>
      </c>
      <c r="CB371" s="146">
        <f t="shared" ca="1" si="390"/>
        <v>0</v>
      </c>
      <c r="CC371" s="147">
        <f t="shared" ca="1" si="390"/>
        <v>0</v>
      </c>
      <c r="CD371" s="142">
        <f t="shared" ca="1" si="392"/>
        <v>0</v>
      </c>
      <c r="CE371" s="143">
        <f t="shared" ca="1" si="392"/>
        <v>0</v>
      </c>
      <c r="CF371" s="143">
        <f t="shared" ca="1" si="392"/>
        <v>0</v>
      </c>
      <c r="CG371" s="143">
        <f t="shared" ca="1" si="392"/>
        <v>0</v>
      </c>
      <c r="CH371" s="144">
        <f t="shared" ca="1" si="392"/>
        <v>0</v>
      </c>
      <c r="DC371" s="145" t="e">
        <f t="shared" ca="1" si="391"/>
        <v>#VALUE!</v>
      </c>
      <c r="DD371" s="146" t="e">
        <f t="shared" ca="1" si="391"/>
        <v>#VALUE!</v>
      </c>
      <c r="DE371" s="146" t="e">
        <f t="shared" ca="1" si="391"/>
        <v>#VALUE!</v>
      </c>
      <c r="DF371" s="146" t="e">
        <f t="shared" ca="1" si="391"/>
        <v>#VALUE!</v>
      </c>
      <c r="DG371" s="147" t="e">
        <f t="shared" ca="1" si="391"/>
        <v>#VALUE!</v>
      </c>
    </row>
    <row r="372" spans="2:111" ht="15" thickBot="1" x14ac:dyDescent="0.4">
      <c r="B372" s="106"/>
      <c r="C372" s="236"/>
      <c r="D372" s="236" t="s">
        <v>29</v>
      </c>
      <c r="E372" s="237" t="str">
        <f>IF(sel_excl_nonRebatable=1, "Y", "N")</f>
        <v>N</v>
      </c>
      <c r="H372" s="154" t="s">
        <v>18</v>
      </c>
      <c r="I372" s="155" t="e">
        <f ca="1">SUM(I368:I371)</f>
        <v>#VALUE!</v>
      </c>
      <c r="J372" s="155" t="e">
        <f ca="1">SUM(J368:J371)</f>
        <v>#VALUE!</v>
      </c>
      <c r="K372" s="155" t="e">
        <f ca="1">SUM(K368:K371)</f>
        <v>#VALUE!</v>
      </c>
      <c r="L372" s="155" t="e">
        <f ca="1">SUM(L368:L371)</f>
        <v>#VALUE!</v>
      </c>
      <c r="M372" s="156" t="e">
        <f ca="1">SUM(M368:M371)</f>
        <v>#VALUE!</v>
      </c>
      <c r="N372" s="157">
        <f t="shared" ca="1" si="385"/>
        <v>0</v>
      </c>
      <c r="O372" s="157">
        <f t="shared" ca="1" si="385"/>
        <v>0</v>
      </c>
      <c r="P372" s="157">
        <f t="shared" ca="1" si="385"/>
        <v>0</v>
      </c>
      <c r="Q372" s="157">
        <f t="shared" ca="1" si="385"/>
        <v>0</v>
      </c>
      <c r="R372" s="158">
        <f t="shared" ca="1" si="385"/>
        <v>0</v>
      </c>
      <c r="Y372" s="159" t="s">
        <v>18</v>
      </c>
      <c r="Z372" s="160">
        <f ca="1">SUM(Z368:Z371)</f>
        <v>0</v>
      </c>
      <c r="AA372" s="161">
        <f ca="1">SUM(AA368:AA371)</f>
        <v>0</v>
      </c>
      <c r="AB372" s="161">
        <f ca="1">SUM(AB368:AB371)</f>
        <v>0</v>
      </c>
      <c r="AC372" s="161">
        <f ca="1">SUM(AC368:AC371)</f>
        <v>0</v>
      </c>
      <c r="AD372" s="162">
        <f ca="1">SUM(AD368:AD371)</f>
        <v>0</v>
      </c>
      <c r="AE372" s="163">
        <f t="shared" ca="1" si="386"/>
        <v>0</v>
      </c>
      <c r="AF372" s="164">
        <f t="shared" ca="1" si="386"/>
        <v>0</v>
      </c>
      <c r="AG372" s="164">
        <f t="shared" ca="1" si="386"/>
        <v>0</v>
      </c>
      <c r="AH372" s="164">
        <f t="shared" ca="1" si="386"/>
        <v>0</v>
      </c>
      <c r="AI372" s="165">
        <f t="shared" ca="1" si="386"/>
        <v>0</v>
      </c>
      <c r="AP372" s="166" t="s">
        <v>18</v>
      </c>
      <c r="AQ372" s="167">
        <f ca="1">SUM(AQ368:AQ371)</f>
        <v>0</v>
      </c>
      <c r="AR372" s="134">
        <f ca="1">SUM(AR368:AR371)</f>
        <v>0</v>
      </c>
      <c r="AS372" s="134">
        <f ca="1">SUM(AS368:AS371)</f>
        <v>0</v>
      </c>
      <c r="AT372" s="134">
        <f ca="1">SUM(AT368:AT371)</f>
        <v>0</v>
      </c>
      <c r="AU372" s="135">
        <f ca="1">SUM(AU368:AU371)</f>
        <v>0</v>
      </c>
      <c r="AV372" s="168">
        <f t="shared" ca="1" si="387"/>
        <v>0</v>
      </c>
      <c r="AW372" s="169">
        <f t="shared" ca="1" si="387"/>
        <v>0</v>
      </c>
      <c r="AX372" s="169">
        <f t="shared" ca="1" si="387"/>
        <v>0</v>
      </c>
      <c r="AY372" s="169">
        <f t="shared" ca="1" si="387"/>
        <v>0</v>
      </c>
      <c r="AZ372" s="170">
        <f t="shared" ca="1" si="387"/>
        <v>0</v>
      </c>
      <c r="BG372" s="171" t="s">
        <v>18</v>
      </c>
      <c r="BH372" s="172">
        <f ca="1">SUM(BH368:BH371)</f>
        <v>0</v>
      </c>
      <c r="BI372" s="173">
        <f ca="1">SUM(BI368:BI371)</f>
        <v>0</v>
      </c>
      <c r="BJ372" s="173">
        <f ca="1">SUM(BJ368:BJ371)</f>
        <v>0</v>
      </c>
      <c r="BK372" s="173">
        <f ca="1">SUM(BK368:BK371)</f>
        <v>0</v>
      </c>
      <c r="BL372" s="174">
        <f ca="1">SUM(BL368:BL371)</f>
        <v>0</v>
      </c>
      <c r="BM372" s="175">
        <f t="shared" ca="1" si="389"/>
        <v>0</v>
      </c>
      <c r="BN372" s="176">
        <f t="shared" ca="1" si="389"/>
        <v>0</v>
      </c>
      <c r="BO372" s="176">
        <f t="shared" ca="1" si="389"/>
        <v>0</v>
      </c>
      <c r="BP372" s="176">
        <f t="shared" ca="1" si="389"/>
        <v>0</v>
      </c>
      <c r="BQ372" s="177">
        <f t="shared" ca="1" si="389"/>
        <v>0</v>
      </c>
      <c r="BX372" s="171" t="s">
        <v>18</v>
      </c>
      <c r="BY372" s="172">
        <f ca="1">SUM(BY368:BY371)</f>
        <v>0</v>
      </c>
      <c r="BZ372" s="173">
        <f ca="1">SUM(BZ368:BZ371)</f>
        <v>0</v>
      </c>
      <c r="CA372" s="173">
        <f ca="1">SUM(CA368:CA371)</f>
        <v>0</v>
      </c>
      <c r="CB372" s="173">
        <f ca="1">SUM(CB368:CB371)</f>
        <v>0</v>
      </c>
      <c r="CC372" s="174">
        <f ca="1">SUM(CC368:CC371)</f>
        <v>0</v>
      </c>
      <c r="CD372" s="175">
        <f ca="1">IFERROR(BY372/CD298, 0)</f>
        <v>0</v>
      </c>
      <c r="CE372" s="176">
        <f ca="1">IFERROR(BZ372/CE298, 0)</f>
        <v>0</v>
      </c>
      <c r="CF372" s="176">
        <f ca="1">IFERROR(CA372/CF298, 0)</f>
        <v>0</v>
      </c>
      <c r="CG372" s="176">
        <f ca="1">IFERROR(CB372/CG298, 0)</f>
        <v>0</v>
      </c>
      <c r="CH372" s="177">
        <f ca="1">IFERROR(CC372/CH298, 0)</f>
        <v>0</v>
      </c>
      <c r="DC372" s="145" t="e">
        <f ca="1">SUM(DC368:DC371)</f>
        <v>#VALUE!</v>
      </c>
      <c r="DD372" s="146" t="e">
        <f ca="1">SUM(DD368:DD371)</f>
        <v>#VALUE!</v>
      </c>
      <c r="DE372" s="146" t="e">
        <f ca="1">SUM(DE368:DE371)</f>
        <v>#VALUE!</v>
      </c>
      <c r="DF372" s="146" t="e">
        <f ca="1">SUM(DF368:DF371)</f>
        <v>#VALUE!</v>
      </c>
      <c r="DG372" s="147" t="e">
        <f ca="1">SUM(DG368:DG371)</f>
        <v>#VALUE!</v>
      </c>
    </row>
    <row r="375" spans="2:111" x14ac:dyDescent="0.35">
      <c r="BY375" s="5"/>
      <c r="BZ375" s="193"/>
    </row>
    <row r="376" spans="2:111" x14ac:dyDescent="0.35">
      <c r="BY376" s="5"/>
      <c r="BZ376" s="5"/>
      <c r="CA376" s="5"/>
      <c r="CB376" s="5"/>
      <c r="CC376" s="5"/>
    </row>
    <row r="377" spans="2:111" x14ac:dyDescent="0.35">
      <c r="BY377" s="5"/>
      <c r="BZ377" s="193"/>
    </row>
    <row r="378" spans="2:111" x14ac:dyDescent="0.35">
      <c r="BY378" s="5"/>
      <c r="BZ378" s="19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18AB3-63B7-4593-A353-F7E5CDC69907}">
  <dimension ref="A1:EN368"/>
  <sheetViews>
    <sheetView topLeftCell="CM1" workbookViewId="0">
      <selection activeCell="A5" sqref="A5:XFD5"/>
    </sheetView>
  </sheetViews>
  <sheetFormatPr defaultRowHeight="14.5" x14ac:dyDescent="0.35"/>
  <cols>
    <col min="1" max="1" width="10.54296875" bestFit="1" customWidth="1"/>
    <col min="2" max="2" width="49.08984375" bestFit="1" customWidth="1"/>
    <col min="3" max="6" width="12" bestFit="1" customWidth="1"/>
    <col min="7" max="7" width="22.453125" bestFit="1" customWidth="1"/>
    <col min="8" max="11" width="12" bestFit="1" customWidth="1"/>
    <col min="12" max="12" width="24.7265625" bestFit="1" customWidth="1"/>
    <col min="13" max="16" width="12" bestFit="1" customWidth="1"/>
    <col min="17" max="18" width="11.54296875" bestFit="1" customWidth="1"/>
    <col min="19" max="19" width="49.08984375" bestFit="1" customWidth="1"/>
    <col min="20" max="23" width="12" bestFit="1" customWidth="1"/>
    <col min="24" max="24" width="22.453125" bestFit="1" customWidth="1"/>
    <col min="25" max="28" width="12" bestFit="1" customWidth="1"/>
    <col min="29" max="29" width="24.7265625" bestFit="1" customWidth="1"/>
    <col min="30" max="33" width="12" bestFit="1" customWidth="1"/>
    <col min="34" max="35" width="11.54296875" bestFit="1" customWidth="1"/>
    <col min="36" max="36" width="49.08984375" bestFit="1" customWidth="1"/>
    <col min="37" max="40" width="12" bestFit="1" customWidth="1"/>
    <col min="41" max="41" width="22.453125" bestFit="1" customWidth="1"/>
    <col min="42" max="45" width="12" bestFit="1" customWidth="1"/>
    <col min="46" max="46" width="24.7265625" bestFit="1" customWidth="1"/>
    <col min="47" max="50" width="12" bestFit="1" customWidth="1"/>
    <col min="51" max="52" width="11.54296875" bestFit="1" customWidth="1"/>
    <col min="53" max="53" width="49.08984375" bestFit="1" customWidth="1"/>
    <col min="54" max="57" width="12" bestFit="1" customWidth="1"/>
    <col min="58" max="58" width="22.453125" bestFit="1" customWidth="1"/>
    <col min="59" max="62" width="12" bestFit="1" customWidth="1"/>
    <col min="63" max="63" width="24.7265625" bestFit="1" customWidth="1"/>
    <col min="64" max="67" width="12" bestFit="1" customWidth="1"/>
    <col min="68" max="69" width="11.54296875" bestFit="1" customWidth="1"/>
    <col min="70" max="70" width="56.81640625" bestFit="1" customWidth="1"/>
    <col min="71" max="74" width="12" bestFit="1" customWidth="1"/>
    <col min="75" max="75" width="19.08984375" bestFit="1" customWidth="1"/>
    <col min="76" max="79" width="12" bestFit="1" customWidth="1"/>
    <col min="80" max="80" width="24.7265625" bestFit="1" customWidth="1"/>
    <col min="81" max="84" width="12" bestFit="1" customWidth="1"/>
    <col min="85" max="85" width="11.54296875" bestFit="1" customWidth="1"/>
    <col min="86" max="86" width="50.36328125" bestFit="1" customWidth="1"/>
    <col min="87" max="87" width="13.26953125" bestFit="1" customWidth="1"/>
    <col min="88" max="88" width="12" bestFit="1" customWidth="1"/>
    <col min="89" max="89" width="19.08984375" bestFit="1" customWidth="1"/>
    <col min="90" max="90" width="17.6328125" bestFit="1" customWidth="1"/>
    <col min="91" max="91" width="12" bestFit="1" customWidth="1"/>
    <col min="92" max="92" width="13.26953125" bestFit="1" customWidth="1"/>
    <col min="93" max="95" width="12" bestFit="1" customWidth="1"/>
    <col min="96" max="96" width="11.54296875" bestFit="1" customWidth="1"/>
    <col min="97" max="97" width="39.7265625" bestFit="1" customWidth="1"/>
    <col min="98" max="99" width="12" bestFit="1" customWidth="1"/>
    <col min="100" max="100" width="39.7265625" bestFit="1" customWidth="1"/>
    <col min="101" max="105" width="12.54296875" bestFit="1" customWidth="1"/>
    <col min="106" max="106" width="48.7265625" bestFit="1" customWidth="1"/>
    <col min="107" max="107" width="12.54296875" bestFit="1" customWidth="1"/>
    <col min="108" max="108" width="15.90625" bestFit="1" customWidth="1"/>
    <col min="109" max="144" width="12.54296875" bestFit="1" customWidth="1"/>
  </cols>
  <sheetData>
    <row r="1" spans="1:144" x14ac:dyDescent="0.35">
      <c r="A1" t="s">
        <v>230</v>
      </c>
      <c r="B1" t="s">
        <v>229</v>
      </c>
      <c r="C1" t="s">
        <v>228</v>
      </c>
      <c r="D1" t="s">
        <v>227</v>
      </c>
      <c r="E1" t="s">
        <v>226</v>
      </c>
      <c r="F1" t="s">
        <v>225</v>
      </c>
      <c r="G1" t="s">
        <v>224</v>
      </c>
      <c r="H1" t="s">
        <v>223</v>
      </c>
      <c r="I1" t="s">
        <v>222</v>
      </c>
      <c r="J1" t="s">
        <v>221</v>
      </c>
      <c r="K1" t="s">
        <v>220</v>
      </c>
      <c r="L1" t="s">
        <v>219</v>
      </c>
      <c r="M1" t="s">
        <v>218</v>
      </c>
      <c r="N1" t="s">
        <v>217</v>
      </c>
      <c r="O1" t="s">
        <v>216</v>
      </c>
      <c r="P1" t="s">
        <v>215</v>
      </c>
      <c r="Q1" t="s">
        <v>214</v>
      </c>
      <c r="R1" t="s">
        <v>213</v>
      </c>
      <c r="S1" t="s">
        <v>212</v>
      </c>
      <c r="T1" t="s">
        <v>211</v>
      </c>
      <c r="U1" t="s">
        <v>210</v>
      </c>
      <c r="V1" t="s">
        <v>209</v>
      </c>
      <c r="W1" t="s">
        <v>208</v>
      </c>
      <c r="X1" t="s">
        <v>207</v>
      </c>
      <c r="Y1" t="s">
        <v>206</v>
      </c>
      <c r="Z1" t="s">
        <v>205</v>
      </c>
      <c r="AA1" t="s">
        <v>204</v>
      </c>
      <c r="AB1" t="s">
        <v>203</v>
      </c>
      <c r="AC1" t="s">
        <v>202</v>
      </c>
      <c r="AD1" t="s">
        <v>201</v>
      </c>
      <c r="AE1" t="s">
        <v>200</v>
      </c>
      <c r="AF1" t="s">
        <v>199</v>
      </c>
      <c r="AG1" t="s">
        <v>198</v>
      </c>
      <c r="AH1" t="s">
        <v>197</v>
      </c>
      <c r="AI1" t="s">
        <v>196</v>
      </c>
      <c r="AJ1" t="s">
        <v>195</v>
      </c>
      <c r="AK1" t="s">
        <v>194</v>
      </c>
      <c r="AL1" t="s">
        <v>193</v>
      </c>
      <c r="AM1" t="s">
        <v>192</v>
      </c>
      <c r="AN1" t="s">
        <v>191</v>
      </c>
      <c r="AO1" t="s">
        <v>190</v>
      </c>
      <c r="AP1" t="s">
        <v>189</v>
      </c>
      <c r="AQ1" t="s">
        <v>188</v>
      </c>
      <c r="AR1" t="s">
        <v>187</v>
      </c>
      <c r="AS1" t="s">
        <v>186</v>
      </c>
      <c r="AT1" t="s">
        <v>185</v>
      </c>
      <c r="AU1" t="s">
        <v>184</v>
      </c>
      <c r="AV1" t="s">
        <v>183</v>
      </c>
      <c r="AW1" t="s">
        <v>182</v>
      </c>
      <c r="AX1" t="s">
        <v>181</v>
      </c>
      <c r="AY1" t="s">
        <v>180</v>
      </c>
      <c r="AZ1" t="s">
        <v>179</v>
      </c>
      <c r="BA1" t="s">
        <v>178</v>
      </c>
      <c r="BB1" t="s">
        <v>177</v>
      </c>
      <c r="BC1" t="s">
        <v>176</v>
      </c>
      <c r="BD1" t="s">
        <v>175</v>
      </c>
      <c r="BE1" t="s">
        <v>174</v>
      </c>
      <c r="BF1" t="s">
        <v>173</v>
      </c>
      <c r="BG1" t="s">
        <v>172</v>
      </c>
      <c r="BH1" t="s">
        <v>171</v>
      </c>
      <c r="BI1" t="s">
        <v>170</v>
      </c>
      <c r="BJ1" t="s">
        <v>169</v>
      </c>
      <c r="BK1" t="s">
        <v>168</v>
      </c>
      <c r="BL1" t="s">
        <v>167</v>
      </c>
      <c r="BM1" t="s">
        <v>166</v>
      </c>
      <c r="BN1" t="s">
        <v>165</v>
      </c>
      <c r="BO1" t="s">
        <v>164</v>
      </c>
      <c r="BP1" t="s">
        <v>163</v>
      </c>
      <c r="BQ1" t="s">
        <v>162</v>
      </c>
      <c r="BR1" t="s">
        <v>161</v>
      </c>
      <c r="BS1" t="s">
        <v>160</v>
      </c>
      <c r="BT1" t="s">
        <v>159</v>
      </c>
      <c r="BU1" t="s">
        <v>158</v>
      </c>
      <c r="BV1" t="s">
        <v>157</v>
      </c>
      <c r="BW1" t="s">
        <v>156</v>
      </c>
      <c r="BX1" t="s">
        <v>155</v>
      </c>
      <c r="BY1" t="s">
        <v>154</v>
      </c>
      <c r="BZ1" t="s">
        <v>153</v>
      </c>
      <c r="CA1" t="s">
        <v>152</v>
      </c>
      <c r="CB1" t="s">
        <v>151</v>
      </c>
      <c r="CC1" t="s">
        <v>150</v>
      </c>
      <c r="CD1" t="s">
        <v>149</v>
      </c>
      <c r="CE1" t="s">
        <v>148</v>
      </c>
      <c r="CF1" t="s">
        <v>147</v>
      </c>
      <c r="CG1" t="s">
        <v>146</v>
      </c>
      <c r="CH1" t="s">
        <v>145</v>
      </c>
      <c r="CI1" t="s">
        <v>144</v>
      </c>
      <c r="CJ1" t="s">
        <v>143</v>
      </c>
      <c r="CK1" t="s">
        <v>142</v>
      </c>
      <c r="CL1" t="s">
        <v>141</v>
      </c>
      <c r="CM1" t="s">
        <v>140</v>
      </c>
      <c r="CN1" t="s">
        <v>139</v>
      </c>
      <c r="CO1" t="s">
        <v>138</v>
      </c>
      <c r="CP1" t="s">
        <v>137</v>
      </c>
      <c r="CQ1" t="s">
        <v>136</v>
      </c>
      <c r="CR1" t="s">
        <v>135</v>
      </c>
      <c r="CS1" t="s">
        <v>134</v>
      </c>
      <c r="CT1" t="s">
        <v>133</v>
      </c>
      <c r="CU1" t="s">
        <v>132</v>
      </c>
      <c r="CV1" t="s">
        <v>131</v>
      </c>
      <c r="CW1" t="s">
        <v>130</v>
      </c>
      <c r="CX1" t="s">
        <v>129</v>
      </c>
      <c r="CY1" t="s">
        <v>128</v>
      </c>
      <c r="CZ1" t="s">
        <v>127</v>
      </c>
      <c r="DA1" t="s">
        <v>126</v>
      </c>
      <c r="DB1" t="s">
        <v>125</v>
      </c>
      <c r="DC1" t="s">
        <v>124</v>
      </c>
      <c r="DD1" t="s">
        <v>123</v>
      </c>
      <c r="DE1" t="s">
        <v>122</v>
      </c>
      <c r="DF1" t="s">
        <v>121</v>
      </c>
      <c r="DG1" t="s">
        <v>120</v>
      </c>
      <c r="DH1" t="s">
        <v>119</v>
      </c>
      <c r="DI1" t="s">
        <v>118</v>
      </c>
      <c r="DJ1" t="s">
        <v>117</v>
      </c>
      <c r="DK1" t="s">
        <v>116</v>
      </c>
      <c r="DL1" t="s">
        <v>115</v>
      </c>
      <c r="DM1" t="s">
        <v>114</v>
      </c>
      <c r="DN1" t="s">
        <v>113</v>
      </c>
      <c r="DO1" t="s">
        <v>112</v>
      </c>
      <c r="DP1" t="s">
        <v>111</v>
      </c>
      <c r="DQ1" t="s">
        <v>110</v>
      </c>
      <c r="DR1" t="s">
        <v>109</v>
      </c>
      <c r="DS1" t="s">
        <v>108</v>
      </c>
      <c r="DT1" t="s">
        <v>107</v>
      </c>
      <c r="DU1" t="s">
        <v>106</v>
      </c>
      <c r="DV1" t="s">
        <v>105</v>
      </c>
      <c r="DW1" t="s">
        <v>104</v>
      </c>
      <c r="DX1" t="s">
        <v>103</v>
      </c>
      <c r="DY1" t="s">
        <v>102</v>
      </c>
      <c r="DZ1" t="s">
        <v>101</v>
      </c>
      <c r="EA1" t="s">
        <v>100</v>
      </c>
      <c r="EB1" t="s">
        <v>99</v>
      </c>
      <c r="EC1" t="s">
        <v>98</v>
      </c>
      <c r="ED1" t="s">
        <v>97</v>
      </c>
      <c r="EE1" t="s">
        <v>96</v>
      </c>
      <c r="EF1" t="s">
        <v>95</v>
      </c>
      <c r="EG1" t="s">
        <v>94</v>
      </c>
      <c r="EH1" t="s">
        <v>93</v>
      </c>
      <c r="EI1" t="s">
        <v>92</v>
      </c>
      <c r="EJ1" t="s">
        <v>91</v>
      </c>
      <c r="EK1" t="s">
        <v>90</v>
      </c>
      <c r="EL1" t="s">
        <v>89</v>
      </c>
      <c r="EM1" t="s">
        <v>88</v>
      </c>
      <c r="EN1" t="s">
        <v>87</v>
      </c>
    </row>
    <row r="2" spans="1:144" x14ac:dyDescent="0.35">
      <c r="B2" t="s">
        <v>0</v>
      </c>
      <c r="S2" t="s">
        <v>86</v>
      </c>
      <c r="AJ2" t="s">
        <v>85</v>
      </c>
      <c r="BA2" t="s">
        <v>84</v>
      </c>
      <c r="BR2" t="s">
        <v>83</v>
      </c>
    </row>
    <row r="4" spans="1:144" x14ac:dyDescent="0.35">
      <c r="B4" t="s">
        <v>1</v>
      </c>
      <c r="S4" t="s">
        <v>1</v>
      </c>
      <c r="AJ4" t="s">
        <v>1</v>
      </c>
      <c r="BA4" t="s">
        <v>1</v>
      </c>
      <c r="BR4" t="s">
        <v>1</v>
      </c>
      <c r="CV4" t="s">
        <v>1</v>
      </c>
      <c r="DB4" t="s">
        <v>1</v>
      </c>
    </row>
    <row r="5" spans="1:144" x14ac:dyDescent="0.35">
      <c r="B5" t="s">
        <v>2</v>
      </c>
      <c r="G5" t="s">
        <v>3</v>
      </c>
      <c r="L5" t="s">
        <v>4</v>
      </c>
      <c r="S5" t="s">
        <v>2</v>
      </c>
      <c r="X5" t="s">
        <v>3</v>
      </c>
      <c r="AC5" t="s">
        <v>4</v>
      </c>
      <c r="AJ5" t="s">
        <v>2</v>
      </c>
      <c r="AO5" t="s">
        <v>3</v>
      </c>
      <c r="AT5" t="s">
        <v>4</v>
      </c>
      <c r="BA5" t="s">
        <v>2</v>
      </c>
      <c r="BF5" t="s">
        <v>3</v>
      </c>
      <c r="BK5" t="s">
        <v>4</v>
      </c>
      <c r="BR5" t="s">
        <v>2</v>
      </c>
      <c r="BW5" t="s">
        <v>3</v>
      </c>
      <c r="CB5" t="s">
        <v>4</v>
      </c>
      <c r="CV5" t="s">
        <v>5</v>
      </c>
      <c r="DB5" t="s">
        <v>6</v>
      </c>
    </row>
    <row r="6" spans="1:144" x14ac:dyDescent="0.35">
      <c r="B6" t="s">
        <v>80</v>
      </c>
      <c r="C6" t="s">
        <v>79</v>
      </c>
      <c r="D6" t="s">
        <v>78</v>
      </c>
      <c r="E6" t="s">
        <v>77</v>
      </c>
      <c r="F6" t="s">
        <v>76</v>
      </c>
      <c r="G6" t="s">
        <v>80</v>
      </c>
      <c r="H6" t="s">
        <v>79</v>
      </c>
      <c r="I6" t="s">
        <v>78</v>
      </c>
      <c r="J6" t="s">
        <v>77</v>
      </c>
      <c r="K6" t="s">
        <v>76</v>
      </c>
      <c r="L6" t="s">
        <v>80</v>
      </c>
      <c r="M6" t="s">
        <v>79</v>
      </c>
      <c r="N6" t="s">
        <v>78</v>
      </c>
      <c r="O6" t="s">
        <v>77</v>
      </c>
      <c r="P6" t="s">
        <v>76</v>
      </c>
      <c r="S6" t="s">
        <v>80</v>
      </c>
      <c r="T6" t="s">
        <v>79</v>
      </c>
      <c r="U6" t="s">
        <v>78</v>
      </c>
      <c r="V6" t="s">
        <v>77</v>
      </c>
      <c r="W6" t="s">
        <v>76</v>
      </c>
      <c r="X6" t="s">
        <v>80</v>
      </c>
      <c r="Y6" t="s">
        <v>79</v>
      </c>
      <c r="Z6" t="s">
        <v>78</v>
      </c>
      <c r="AA6" t="s">
        <v>77</v>
      </c>
      <c r="AB6" t="s">
        <v>76</v>
      </c>
      <c r="AC6" t="s">
        <v>80</v>
      </c>
      <c r="AD6" t="s">
        <v>79</v>
      </c>
      <c r="AE6" t="s">
        <v>78</v>
      </c>
      <c r="AF6" t="s">
        <v>77</v>
      </c>
      <c r="AG6" t="s">
        <v>76</v>
      </c>
      <c r="AJ6" t="s">
        <v>80</v>
      </c>
      <c r="AK6" t="s">
        <v>79</v>
      </c>
      <c r="AL6" t="s">
        <v>78</v>
      </c>
      <c r="AM6" t="s">
        <v>77</v>
      </c>
      <c r="AN6" t="s">
        <v>76</v>
      </c>
      <c r="AO6" t="s">
        <v>80</v>
      </c>
      <c r="AP6" t="s">
        <v>79</v>
      </c>
      <c r="AQ6" t="s">
        <v>78</v>
      </c>
      <c r="AR6" t="s">
        <v>77</v>
      </c>
      <c r="AS6" t="s">
        <v>76</v>
      </c>
      <c r="AT6" t="s">
        <v>80</v>
      </c>
      <c r="AU6" t="s">
        <v>79</v>
      </c>
      <c r="AV6" t="s">
        <v>78</v>
      </c>
      <c r="AW6" t="s">
        <v>77</v>
      </c>
      <c r="AX6" t="s">
        <v>76</v>
      </c>
      <c r="BA6" t="s">
        <v>80</v>
      </c>
      <c r="BB6" t="s">
        <v>79</v>
      </c>
      <c r="BC6" t="s">
        <v>78</v>
      </c>
      <c r="BD6" t="s">
        <v>77</v>
      </c>
      <c r="BE6" t="s">
        <v>76</v>
      </c>
      <c r="BF6" t="s">
        <v>80</v>
      </c>
      <c r="BG6" t="s">
        <v>79</v>
      </c>
      <c r="BH6" t="s">
        <v>78</v>
      </c>
      <c r="BI6" t="s">
        <v>77</v>
      </c>
      <c r="BJ6" t="s">
        <v>76</v>
      </c>
      <c r="BK6" t="s">
        <v>80</v>
      </c>
      <c r="BL6" t="s">
        <v>79</v>
      </c>
      <c r="BM6" t="s">
        <v>78</v>
      </c>
      <c r="BN6" t="s">
        <v>77</v>
      </c>
      <c r="BO6" t="s">
        <v>76</v>
      </c>
      <c r="BR6" t="s">
        <v>80</v>
      </c>
      <c r="BS6" t="s">
        <v>79</v>
      </c>
      <c r="BT6" t="s">
        <v>78</v>
      </c>
      <c r="BU6" t="s">
        <v>77</v>
      </c>
      <c r="BV6" t="s">
        <v>76</v>
      </c>
      <c r="BW6" t="s">
        <v>80</v>
      </c>
      <c r="BX6" t="s">
        <v>79</v>
      </c>
      <c r="BY6" t="s">
        <v>78</v>
      </c>
      <c r="BZ6" t="s">
        <v>77</v>
      </c>
      <c r="CA6" t="s">
        <v>76</v>
      </c>
      <c r="CB6" t="s">
        <v>80</v>
      </c>
      <c r="CC6" t="s">
        <v>79</v>
      </c>
      <c r="CD6" t="s">
        <v>78</v>
      </c>
      <c r="CE6" t="s">
        <v>77</v>
      </c>
      <c r="CF6" t="s">
        <v>76</v>
      </c>
      <c r="CV6" t="s">
        <v>80</v>
      </c>
      <c r="CW6" t="s">
        <v>79</v>
      </c>
      <c r="CX6" t="s">
        <v>78</v>
      </c>
      <c r="CY6" t="s">
        <v>77</v>
      </c>
      <c r="CZ6" t="s">
        <v>76</v>
      </c>
      <c r="DB6" t="s">
        <v>80</v>
      </c>
      <c r="DC6" t="s">
        <v>79</v>
      </c>
      <c r="DD6" t="s">
        <v>78</v>
      </c>
      <c r="DE6" t="s">
        <v>77</v>
      </c>
      <c r="DF6" t="s">
        <v>76</v>
      </c>
    </row>
    <row r="7" spans="1:144" x14ac:dyDescent="0.35">
      <c r="A7" t="s">
        <v>14</v>
      </c>
      <c r="B7">
        <v>199752439.36090001</v>
      </c>
      <c r="C7">
        <v>283352520.61089998</v>
      </c>
      <c r="D7">
        <v>327292130.53869998</v>
      </c>
      <c r="E7">
        <v>370136362.80089998</v>
      </c>
      <c r="F7">
        <v>414258335.14300001</v>
      </c>
      <c r="G7">
        <v>320.03469999999999</v>
      </c>
      <c r="H7">
        <v>401.5204</v>
      </c>
      <c r="I7">
        <v>424.27420000000001</v>
      </c>
      <c r="J7">
        <v>442.84649999999999</v>
      </c>
      <c r="K7">
        <v>457.44299999999998</v>
      </c>
      <c r="L7">
        <v>62.1066</v>
      </c>
      <c r="M7">
        <v>84.491</v>
      </c>
      <c r="N7">
        <v>94.120400000000004</v>
      </c>
      <c r="O7">
        <v>102.9221</v>
      </c>
      <c r="P7">
        <v>111.6027</v>
      </c>
      <c r="R7" t="s">
        <v>14</v>
      </c>
      <c r="S7">
        <v>199752439.36090001</v>
      </c>
      <c r="T7">
        <v>283352520.61089998</v>
      </c>
      <c r="U7">
        <v>327292130.53869998</v>
      </c>
      <c r="V7">
        <v>370136362.80089998</v>
      </c>
      <c r="W7">
        <v>414258335.14300001</v>
      </c>
      <c r="X7">
        <v>320.03469999999999</v>
      </c>
      <c r="Y7">
        <v>401.5204</v>
      </c>
      <c r="Z7">
        <v>424.27420000000001</v>
      </c>
      <c r="AA7">
        <v>442.84649999999999</v>
      </c>
      <c r="AB7">
        <v>457.44299999999998</v>
      </c>
      <c r="AC7">
        <v>62.1066</v>
      </c>
      <c r="AD7">
        <v>84.491</v>
      </c>
      <c r="AE7">
        <v>94.120400000000004</v>
      </c>
      <c r="AF7">
        <v>102.9221</v>
      </c>
      <c r="AG7">
        <v>111.6027</v>
      </c>
      <c r="AI7" t="s">
        <v>14</v>
      </c>
      <c r="AJ7">
        <v>183670759.1778</v>
      </c>
      <c r="AK7">
        <v>243505479.10299999</v>
      </c>
      <c r="AL7">
        <v>273498624.50300002</v>
      </c>
      <c r="AM7">
        <v>302894480.25639999</v>
      </c>
      <c r="AN7">
        <v>333568076.08950001</v>
      </c>
      <c r="AO7">
        <v>314.4674</v>
      </c>
      <c r="AP7">
        <v>380.74419999999998</v>
      </c>
      <c r="AQ7">
        <v>400.95549999999997</v>
      </c>
      <c r="AR7">
        <v>418.25400000000002</v>
      </c>
      <c r="AS7">
        <v>432.2808</v>
      </c>
      <c r="AT7">
        <v>57.827300000000001</v>
      </c>
      <c r="AU7">
        <v>74.070300000000003</v>
      </c>
      <c r="AV7">
        <v>80.723799999999997</v>
      </c>
      <c r="AW7">
        <v>86.922399999999996</v>
      </c>
      <c r="AX7">
        <v>93.228800000000007</v>
      </c>
      <c r="AZ7" t="s">
        <v>14</v>
      </c>
      <c r="BA7">
        <v>196929001.75999999</v>
      </c>
      <c r="BB7">
        <v>269137700.17900002</v>
      </c>
      <c r="BC7">
        <v>311719376.90240002</v>
      </c>
      <c r="BD7">
        <v>359372797.19099998</v>
      </c>
      <c r="BE7">
        <v>414015834.01569998</v>
      </c>
      <c r="BF7">
        <v>337.16719999999998</v>
      </c>
      <c r="BG7">
        <v>420.8227</v>
      </c>
      <c r="BH7">
        <v>456.988</v>
      </c>
      <c r="BI7">
        <v>496.24250000000001</v>
      </c>
      <c r="BJ7">
        <v>536.53549999999996</v>
      </c>
      <c r="BK7">
        <v>62.0015</v>
      </c>
      <c r="BL7">
        <v>81.867199999999997</v>
      </c>
      <c r="BM7">
        <v>92.004800000000003</v>
      </c>
      <c r="BN7">
        <v>103.1301</v>
      </c>
      <c r="BO7">
        <v>115.7131</v>
      </c>
      <c r="BQ7" t="s">
        <v>14</v>
      </c>
      <c r="BR7">
        <v>199654166.40619999</v>
      </c>
      <c r="BS7">
        <v>274003170.3973</v>
      </c>
      <c r="BT7">
        <v>318665919.74680001</v>
      </c>
      <c r="BU7">
        <v>368800186.8405</v>
      </c>
      <c r="BV7">
        <v>426320108.85540003</v>
      </c>
      <c r="BW7">
        <v>336.81389999999999</v>
      </c>
      <c r="BX7">
        <v>420.45260000000002</v>
      </c>
      <c r="BY7">
        <v>456.59930000000003</v>
      </c>
      <c r="BZ7">
        <v>495.82510000000002</v>
      </c>
      <c r="CA7">
        <v>536.09550000000002</v>
      </c>
      <c r="CB7">
        <v>62.907299999999999</v>
      </c>
      <c r="CC7">
        <v>83.414599999999993</v>
      </c>
      <c r="CD7">
        <v>94.134</v>
      </c>
      <c r="CE7">
        <v>105.92749999999999</v>
      </c>
      <c r="CF7">
        <v>119.2603</v>
      </c>
      <c r="CV7">
        <v>0.35330848448069219</v>
      </c>
      <c r="CW7">
        <v>0.37011840532551332</v>
      </c>
      <c r="CX7">
        <v>0.38871378263229417</v>
      </c>
      <c r="CY7">
        <v>0.41746415529109981</v>
      </c>
      <c r="CZ7">
        <v>0.44001693568804967</v>
      </c>
      <c r="DB7">
        <v>1.0295322591792168E-3</v>
      </c>
      <c r="DC7">
        <v>8.7021684918667285E-4</v>
      </c>
      <c r="DD7">
        <v>8.3094669923554983E-4</v>
      </c>
      <c r="DE7">
        <v>8.2175995098531256E-4</v>
      </c>
      <c r="DF7">
        <v>8.1739598623543333E-4</v>
      </c>
    </row>
    <row r="8" spans="1:144" x14ac:dyDescent="0.35">
      <c r="A8" t="s">
        <v>15</v>
      </c>
      <c r="B8">
        <v>25253234.8706</v>
      </c>
      <c r="C8">
        <v>37803655.313500002</v>
      </c>
      <c r="D8">
        <v>44687718.968999997</v>
      </c>
      <c r="E8">
        <v>51783047.230400003</v>
      </c>
      <c r="F8">
        <v>57141623.799900003</v>
      </c>
      <c r="G8">
        <v>371.42610000000002</v>
      </c>
      <c r="H8">
        <v>549.30690000000004</v>
      </c>
      <c r="I8">
        <v>637.66420000000005</v>
      </c>
      <c r="J8">
        <v>718.10680000000002</v>
      </c>
      <c r="K8">
        <v>785.4307</v>
      </c>
      <c r="L8">
        <v>29.5961</v>
      </c>
      <c r="M8">
        <v>44.333599999999997</v>
      </c>
      <c r="N8">
        <v>52.383000000000003</v>
      </c>
      <c r="O8">
        <v>60.683100000000003</v>
      </c>
      <c r="P8">
        <v>66.969200000000001</v>
      </c>
      <c r="R8" t="s">
        <v>15</v>
      </c>
      <c r="S8">
        <v>25253234.8706</v>
      </c>
      <c r="T8">
        <v>37803655.313500002</v>
      </c>
      <c r="U8">
        <v>44687718.968999997</v>
      </c>
      <c r="V8">
        <v>51783047.230400003</v>
      </c>
      <c r="W8">
        <v>57141623.799900003</v>
      </c>
      <c r="X8">
        <v>371.42610000000002</v>
      </c>
      <c r="Y8">
        <v>549.30690000000004</v>
      </c>
      <c r="Z8">
        <v>637.66420000000005</v>
      </c>
      <c r="AA8">
        <v>718.10680000000002</v>
      </c>
      <c r="AB8">
        <v>785.4307</v>
      </c>
      <c r="AC8">
        <v>29.5961</v>
      </c>
      <c r="AD8">
        <v>44.333599999999997</v>
      </c>
      <c r="AE8">
        <v>52.383000000000003</v>
      </c>
      <c r="AF8">
        <v>60.683100000000003</v>
      </c>
      <c r="AG8">
        <v>66.969200000000001</v>
      </c>
      <c r="AI8" t="s">
        <v>15</v>
      </c>
      <c r="AJ8">
        <v>22755484.6635</v>
      </c>
      <c r="AK8">
        <v>31523847.467599999</v>
      </c>
      <c r="AL8">
        <v>36186672.707999997</v>
      </c>
      <c r="AM8">
        <v>41128688.220200002</v>
      </c>
      <c r="AN8">
        <v>44323926.007299997</v>
      </c>
      <c r="AO8">
        <v>345.45240000000001</v>
      </c>
      <c r="AP8">
        <v>482.56709999999998</v>
      </c>
      <c r="AQ8">
        <v>553.63779999999997</v>
      </c>
      <c r="AR8">
        <v>621.1653</v>
      </c>
      <c r="AS8">
        <v>674.90909999999997</v>
      </c>
      <c r="AT8">
        <v>26.735199999999999</v>
      </c>
      <c r="AU8">
        <v>37.121200000000002</v>
      </c>
      <c r="AV8">
        <v>42.654000000000003</v>
      </c>
      <c r="AW8">
        <v>48.533099999999997</v>
      </c>
      <c r="AX8">
        <v>52.381599999999999</v>
      </c>
      <c r="AZ8" t="s">
        <v>15</v>
      </c>
      <c r="BA8">
        <v>24324012.6741</v>
      </c>
      <c r="BB8">
        <v>34777272.211199999</v>
      </c>
      <c r="BC8">
        <v>41165930.104500003</v>
      </c>
      <c r="BD8">
        <v>48318886.494900003</v>
      </c>
      <c r="BE8">
        <v>53889800.0902</v>
      </c>
      <c r="BF8">
        <v>369.26429999999999</v>
      </c>
      <c r="BG8">
        <v>532.37049999999999</v>
      </c>
      <c r="BH8">
        <v>629.81790000000001</v>
      </c>
      <c r="BI8">
        <v>729.7586</v>
      </c>
      <c r="BJ8">
        <v>820.56619999999998</v>
      </c>
      <c r="BK8">
        <v>28.578099999999999</v>
      </c>
      <c r="BL8">
        <v>40.952300000000001</v>
      </c>
      <c r="BM8">
        <v>48.523099999999999</v>
      </c>
      <c r="BN8">
        <v>57.017699999999998</v>
      </c>
      <c r="BO8">
        <v>63.686399999999999</v>
      </c>
      <c r="BQ8" t="s">
        <v>15</v>
      </c>
      <c r="BR8">
        <v>25343943.130100001</v>
      </c>
      <c r="BS8">
        <v>36697985.193300001</v>
      </c>
      <c r="BT8">
        <v>43982838.161799997</v>
      </c>
      <c r="BU8">
        <v>52207952.185999997</v>
      </c>
      <c r="BV8">
        <v>58950158.427000001</v>
      </c>
      <c r="BW8">
        <v>368.98309999999998</v>
      </c>
      <c r="BX8">
        <v>532.00160000000005</v>
      </c>
      <c r="BY8">
        <v>629.51549999999997</v>
      </c>
      <c r="BZ8">
        <v>729.47040000000004</v>
      </c>
      <c r="CA8">
        <v>820.24360000000001</v>
      </c>
      <c r="CB8">
        <v>29.7821</v>
      </c>
      <c r="CC8">
        <v>43.222499999999997</v>
      </c>
      <c r="CD8">
        <v>51.853200000000001</v>
      </c>
      <c r="CE8">
        <v>61.617899999999999</v>
      </c>
      <c r="CF8">
        <v>69.679100000000005</v>
      </c>
      <c r="CV8">
        <v>0.28117651351527684</v>
      </c>
      <c r="CW8">
        <v>0.36896640711267992</v>
      </c>
      <c r="CX8">
        <v>0.30241781406630253</v>
      </c>
      <c r="CY8">
        <v>0.28823805474678466</v>
      </c>
      <c r="CZ8">
        <v>0.32262677415860708</v>
      </c>
      <c r="DB8">
        <v>8.7906235219121424E-4</v>
      </c>
      <c r="DC8">
        <v>8.1730972794941939E-4</v>
      </c>
      <c r="DD8">
        <v>4.9050934656634092E-4</v>
      </c>
      <c r="DE8">
        <v>2.2372801375761524E-4</v>
      </c>
      <c r="DF8">
        <v>2.1760915804994654E-4</v>
      </c>
    </row>
    <row r="9" spans="1:144" x14ac:dyDescent="0.35">
      <c r="A9" t="s">
        <v>7</v>
      </c>
      <c r="B9">
        <v>10651567.8562</v>
      </c>
      <c r="C9">
        <v>10304402.157600001</v>
      </c>
      <c r="D9">
        <v>9023792.5732000005</v>
      </c>
      <c r="E9">
        <v>8562537.3993999995</v>
      </c>
      <c r="F9">
        <v>8882976.3021000009</v>
      </c>
      <c r="G9">
        <v>463.06659999999999</v>
      </c>
      <c r="H9">
        <v>532.32899999999995</v>
      </c>
      <c r="I9">
        <v>568.4597</v>
      </c>
      <c r="J9">
        <v>584.56780000000003</v>
      </c>
      <c r="K9">
        <v>592.94839999999999</v>
      </c>
      <c r="L9">
        <v>51.003900000000002</v>
      </c>
      <c r="M9">
        <v>49.452300000000001</v>
      </c>
      <c r="N9">
        <v>43.305999999999997</v>
      </c>
      <c r="O9">
        <v>41.050699999999999</v>
      </c>
      <c r="P9">
        <v>42.515300000000003</v>
      </c>
      <c r="R9" t="s">
        <v>7</v>
      </c>
      <c r="S9">
        <v>10651567.8562</v>
      </c>
      <c r="T9">
        <v>10304402.157600001</v>
      </c>
      <c r="U9">
        <v>9023792.5732000005</v>
      </c>
      <c r="V9">
        <v>8562537.3993999995</v>
      </c>
      <c r="W9">
        <v>8882976.3021000009</v>
      </c>
      <c r="X9">
        <v>463.06659999999999</v>
      </c>
      <c r="Y9">
        <v>532.32899999999995</v>
      </c>
      <c r="Z9">
        <v>568.4597</v>
      </c>
      <c r="AA9">
        <v>584.56780000000003</v>
      </c>
      <c r="AB9">
        <v>592.94839999999999</v>
      </c>
      <c r="AC9">
        <v>51.003900000000002</v>
      </c>
      <c r="AD9">
        <v>49.452300000000001</v>
      </c>
      <c r="AE9">
        <v>43.305999999999997</v>
      </c>
      <c r="AF9">
        <v>41.050699999999999</v>
      </c>
      <c r="AG9">
        <v>42.515300000000003</v>
      </c>
      <c r="AI9" t="s">
        <v>7</v>
      </c>
      <c r="AJ9">
        <v>10651567.8562</v>
      </c>
      <c r="AK9">
        <v>10304402.157600001</v>
      </c>
      <c r="AL9">
        <v>9023792.5732000005</v>
      </c>
      <c r="AM9">
        <v>8562537.3993999995</v>
      </c>
      <c r="AN9">
        <v>8882976.3021000009</v>
      </c>
      <c r="AO9">
        <v>463.06659999999999</v>
      </c>
      <c r="AP9">
        <v>532.32899999999995</v>
      </c>
      <c r="AQ9">
        <v>568.4597</v>
      </c>
      <c r="AR9">
        <v>584.56780000000003</v>
      </c>
      <c r="AS9">
        <v>592.94839999999999</v>
      </c>
      <c r="AT9">
        <v>51.003900000000002</v>
      </c>
      <c r="AU9">
        <v>49.452300000000001</v>
      </c>
      <c r="AV9">
        <v>43.305999999999997</v>
      </c>
      <c r="AW9">
        <v>41.050699999999999</v>
      </c>
      <c r="AX9">
        <v>42.515300000000003</v>
      </c>
      <c r="AZ9" t="s">
        <v>7</v>
      </c>
      <c r="BA9">
        <v>11209676.782199999</v>
      </c>
      <c r="BB9">
        <v>11170210.280200001</v>
      </c>
      <c r="BC9">
        <v>10098359.476600001</v>
      </c>
      <c r="BD9">
        <v>9922201.2971999999</v>
      </c>
      <c r="BE9">
        <v>10687999.172599999</v>
      </c>
      <c r="BF9">
        <v>487.32990000000001</v>
      </c>
      <c r="BG9">
        <v>577.05700000000002</v>
      </c>
      <c r="BH9">
        <v>636.15279999999996</v>
      </c>
      <c r="BI9">
        <v>677.39260000000002</v>
      </c>
      <c r="BJ9">
        <v>713.43560000000002</v>
      </c>
      <c r="BK9">
        <v>53.676400000000001</v>
      </c>
      <c r="BL9">
        <v>53.607399999999998</v>
      </c>
      <c r="BM9">
        <v>48.462899999999998</v>
      </c>
      <c r="BN9">
        <v>47.569200000000002</v>
      </c>
      <c r="BO9">
        <v>51.154400000000003</v>
      </c>
      <c r="BQ9" t="s">
        <v>7</v>
      </c>
      <c r="BR9">
        <v>11474028.787799999</v>
      </c>
      <c r="BS9">
        <v>11588421.199100001</v>
      </c>
      <c r="BT9">
        <v>10686226.1633</v>
      </c>
      <c r="BU9">
        <v>10675683.192500001</v>
      </c>
      <c r="BV9">
        <v>11607307.405300001</v>
      </c>
      <c r="BW9">
        <v>485.10410000000002</v>
      </c>
      <c r="BX9">
        <v>573.40099999999995</v>
      </c>
      <c r="BY9">
        <v>631.07960000000003</v>
      </c>
      <c r="BZ9">
        <v>670.88019999999995</v>
      </c>
      <c r="CA9">
        <v>705.7473</v>
      </c>
      <c r="CB9">
        <v>54.9634</v>
      </c>
      <c r="CC9">
        <v>55.6372</v>
      </c>
      <c r="CD9">
        <v>51.305500000000002</v>
      </c>
      <c r="CE9">
        <v>51.203800000000001</v>
      </c>
      <c r="CF9">
        <v>55.581299999999999</v>
      </c>
      <c r="CV9">
        <v>2.225770932329965</v>
      </c>
      <c r="CW9">
        <v>3.6560238340402975</v>
      </c>
      <c r="CX9">
        <v>5.0731789154590388</v>
      </c>
      <c r="CY9">
        <v>6.5124081852145537</v>
      </c>
      <c r="CZ9">
        <v>7.6882932072720678</v>
      </c>
      <c r="DB9">
        <v>7.3052643212833425E-3</v>
      </c>
      <c r="DC9">
        <v>9.8572423436171803E-3</v>
      </c>
      <c r="DD9">
        <v>1.2407432388116084E-2</v>
      </c>
      <c r="DE9">
        <v>1.4581856879663135E-2</v>
      </c>
      <c r="DF9">
        <v>1.6196207188753826E-2</v>
      </c>
    </row>
    <row r="10" spans="1:144" x14ac:dyDescent="0.35">
      <c r="A10" t="s">
        <v>17</v>
      </c>
      <c r="B10">
        <v>77018019.043599993</v>
      </c>
      <c r="C10">
        <v>81747590.400900006</v>
      </c>
      <c r="D10">
        <v>82174205.319100007</v>
      </c>
      <c r="E10">
        <v>84364797.775000006</v>
      </c>
      <c r="F10">
        <v>87342356.239099994</v>
      </c>
      <c r="G10">
        <v>3822.9158000000002</v>
      </c>
      <c r="H10">
        <v>3946.4765000000002</v>
      </c>
      <c r="I10">
        <v>3913.3189000000002</v>
      </c>
      <c r="J10">
        <v>3915.9119000000001</v>
      </c>
      <c r="K10">
        <v>3920.8353999999999</v>
      </c>
      <c r="L10">
        <v>3582.1304</v>
      </c>
      <c r="M10">
        <v>3666.5064000000002</v>
      </c>
      <c r="N10">
        <v>3587.0807</v>
      </c>
      <c r="O10">
        <v>3585.4711000000002</v>
      </c>
      <c r="P10">
        <v>3583.3910000000001</v>
      </c>
      <c r="R10" t="s">
        <v>17</v>
      </c>
      <c r="S10">
        <v>77018019.043599993</v>
      </c>
      <c r="T10">
        <v>81747590.400900006</v>
      </c>
      <c r="U10">
        <v>82174205.319100007</v>
      </c>
      <c r="V10">
        <v>84364797.775000006</v>
      </c>
      <c r="W10">
        <v>87342356.239099994</v>
      </c>
      <c r="X10">
        <v>3822.9158000000002</v>
      </c>
      <c r="Y10">
        <v>3946.4765000000002</v>
      </c>
      <c r="Z10">
        <v>3913.3189000000002</v>
      </c>
      <c r="AA10">
        <v>3915.9119000000001</v>
      </c>
      <c r="AB10">
        <v>3920.8353999999999</v>
      </c>
      <c r="AC10">
        <v>3582.1304</v>
      </c>
      <c r="AD10">
        <v>3666.5064000000002</v>
      </c>
      <c r="AE10">
        <v>3587.0807</v>
      </c>
      <c r="AF10">
        <v>3585.4711000000002</v>
      </c>
      <c r="AG10">
        <v>3583.3910000000001</v>
      </c>
      <c r="AI10" t="s">
        <v>17</v>
      </c>
      <c r="AJ10">
        <v>77018019.043599993</v>
      </c>
      <c r="AK10">
        <v>81747590.400900006</v>
      </c>
      <c r="AL10">
        <v>82174205.319100007</v>
      </c>
      <c r="AM10">
        <v>84364797.775000006</v>
      </c>
      <c r="AN10">
        <v>87342356.239099994</v>
      </c>
      <c r="AO10">
        <v>3822.9158000000002</v>
      </c>
      <c r="AP10">
        <v>3946.4765000000002</v>
      </c>
      <c r="AQ10">
        <v>3913.3189000000002</v>
      </c>
      <c r="AR10">
        <v>3915.9119000000001</v>
      </c>
      <c r="AS10">
        <v>3920.8353999999999</v>
      </c>
      <c r="AT10">
        <v>3582.1304</v>
      </c>
      <c r="AU10">
        <v>3666.5064000000002</v>
      </c>
      <c r="AV10">
        <v>3587.0807</v>
      </c>
      <c r="AW10">
        <v>3585.4711000000002</v>
      </c>
      <c r="AX10">
        <v>3583.3910000000001</v>
      </c>
      <c r="AZ10" t="s">
        <v>17</v>
      </c>
      <c r="BA10">
        <v>82516848.227599993</v>
      </c>
      <c r="BB10">
        <v>90050882.283600003</v>
      </c>
      <c r="BC10">
        <v>93470738.973000005</v>
      </c>
      <c r="BD10">
        <v>101814293.63410001</v>
      </c>
      <c r="BE10">
        <v>114006300.2052</v>
      </c>
      <c r="BF10">
        <v>4095.8591999999999</v>
      </c>
      <c r="BG10">
        <v>4347.3293000000003</v>
      </c>
      <c r="BH10">
        <v>4451.2851000000001</v>
      </c>
      <c r="BI10">
        <v>4725.8549999999996</v>
      </c>
      <c r="BJ10">
        <v>5117.7911000000004</v>
      </c>
      <c r="BK10">
        <v>3837.8825999999999</v>
      </c>
      <c r="BL10">
        <v>4038.922</v>
      </c>
      <c r="BM10">
        <v>4080.1986999999999</v>
      </c>
      <c r="BN10">
        <v>4327.0679</v>
      </c>
      <c r="BO10">
        <v>4677.3315000000002</v>
      </c>
      <c r="BQ10" t="s">
        <v>17</v>
      </c>
      <c r="BR10">
        <v>82747019.801200002</v>
      </c>
      <c r="BS10">
        <v>90400213.867300004</v>
      </c>
      <c r="BT10">
        <v>93939949.717299998</v>
      </c>
      <c r="BU10">
        <v>102435974.0786</v>
      </c>
      <c r="BV10">
        <v>114827113.8827</v>
      </c>
      <c r="BW10">
        <v>4094.5749000000001</v>
      </c>
      <c r="BX10">
        <v>4346.6864999999998</v>
      </c>
      <c r="BY10">
        <v>4450.4772999999996</v>
      </c>
      <c r="BZ10">
        <v>4724.8878999999997</v>
      </c>
      <c r="CA10">
        <v>5116.6415999999999</v>
      </c>
      <c r="CB10">
        <v>3850.866</v>
      </c>
      <c r="CC10">
        <v>4057.6658000000002</v>
      </c>
      <c r="CD10">
        <v>4103.6822000000002</v>
      </c>
      <c r="CE10">
        <v>4356.6288000000004</v>
      </c>
      <c r="CF10">
        <v>4714.3688000000002</v>
      </c>
      <c r="CV10">
        <v>1.2842778664612524</v>
      </c>
      <c r="CW10">
        <v>0.64282323430597899</v>
      </c>
      <c r="CX10">
        <v>0.80775756107323105</v>
      </c>
      <c r="CY10">
        <v>0.96708895385472715</v>
      </c>
      <c r="CZ10">
        <v>1.1495371719302057</v>
      </c>
      <c r="DB10">
        <v>1.624672661206091E-4</v>
      </c>
      <c r="DC10">
        <v>1.7982233171328149E-4</v>
      </c>
      <c r="DD10">
        <v>1.9463616033018775E-4</v>
      </c>
      <c r="DE10">
        <v>2.0616914762026643E-4</v>
      </c>
      <c r="DF10">
        <v>2.185078463596917E-4</v>
      </c>
    </row>
    <row r="11" spans="1:144" x14ac:dyDescent="0.35">
      <c r="A11" t="s">
        <v>18</v>
      </c>
      <c r="B11">
        <v>312675261.13139999</v>
      </c>
      <c r="C11">
        <v>413208168.48290002</v>
      </c>
      <c r="D11">
        <v>463177847.39999998</v>
      </c>
      <c r="E11">
        <v>514846745.20569998</v>
      </c>
      <c r="F11">
        <v>567625291.48409998</v>
      </c>
      <c r="G11">
        <v>425.23649999999998</v>
      </c>
      <c r="H11">
        <v>507.2586</v>
      </c>
      <c r="I11">
        <v>527.31550000000004</v>
      </c>
      <c r="J11">
        <v>545.32259999999997</v>
      </c>
      <c r="K11">
        <v>558.90359999999998</v>
      </c>
      <c r="L11">
        <v>72.717100000000002</v>
      </c>
      <c r="M11">
        <v>93.127499999999998</v>
      </c>
      <c r="N11">
        <v>101.535</v>
      </c>
      <c r="O11">
        <v>109.96939999999999</v>
      </c>
      <c r="P11">
        <v>118.2931</v>
      </c>
      <c r="R11" t="s">
        <v>18</v>
      </c>
      <c r="S11">
        <v>312675261.13139999</v>
      </c>
      <c r="T11">
        <v>413208168.48290002</v>
      </c>
      <c r="U11">
        <v>463177847.39999998</v>
      </c>
      <c r="V11">
        <v>514846745.20569998</v>
      </c>
      <c r="W11">
        <v>567625291.48409998</v>
      </c>
      <c r="X11">
        <v>425.23649999999998</v>
      </c>
      <c r="Y11">
        <v>507.2586</v>
      </c>
      <c r="Z11">
        <v>527.31550000000004</v>
      </c>
      <c r="AA11">
        <v>545.32259999999997</v>
      </c>
      <c r="AB11">
        <v>558.90359999999998</v>
      </c>
      <c r="AC11">
        <v>72.717100000000002</v>
      </c>
      <c r="AD11">
        <v>93.127499999999998</v>
      </c>
      <c r="AE11">
        <v>101.535</v>
      </c>
      <c r="AF11">
        <v>109.96939999999999</v>
      </c>
      <c r="AG11">
        <v>118.2931</v>
      </c>
      <c r="AI11" t="s">
        <v>18</v>
      </c>
      <c r="AJ11">
        <v>294095830.74119997</v>
      </c>
      <c r="AK11">
        <v>367081319.12910002</v>
      </c>
      <c r="AL11">
        <v>400883295.10329998</v>
      </c>
      <c r="AM11">
        <v>436950503.65100002</v>
      </c>
      <c r="AN11">
        <v>474117334.63800001</v>
      </c>
      <c r="AO11">
        <v>424.32589999999999</v>
      </c>
      <c r="AP11">
        <v>492.7611</v>
      </c>
      <c r="AQ11">
        <v>511.10149999999999</v>
      </c>
      <c r="AR11">
        <v>528.61710000000005</v>
      </c>
      <c r="AS11">
        <v>542.10979999999995</v>
      </c>
      <c r="AT11">
        <v>69.074200000000005</v>
      </c>
      <c r="AU11">
        <v>84.050799999999995</v>
      </c>
      <c r="AV11">
        <v>89.728499999999997</v>
      </c>
      <c r="AW11">
        <v>95.734200000000001</v>
      </c>
      <c r="AX11">
        <v>101.7979</v>
      </c>
      <c r="AZ11" t="s">
        <v>18</v>
      </c>
      <c r="BA11">
        <v>314979539.44400001</v>
      </c>
      <c r="BB11">
        <v>405136064.95389998</v>
      </c>
      <c r="BC11">
        <v>456454405.45649999</v>
      </c>
      <c r="BD11">
        <v>519428178.61720002</v>
      </c>
      <c r="BE11">
        <v>592599933.48370004</v>
      </c>
      <c r="BF11">
        <v>454.4572</v>
      </c>
      <c r="BG11">
        <v>543.84479999999996</v>
      </c>
      <c r="BH11">
        <v>581.95129999999995</v>
      </c>
      <c r="BI11">
        <v>628.39750000000004</v>
      </c>
      <c r="BJ11">
        <v>677.5838</v>
      </c>
      <c r="BK11">
        <v>73.979200000000006</v>
      </c>
      <c r="BL11">
        <v>92.764200000000002</v>
      </c>
      <c r="BM11">
        <v>102.16679999999999</v>
      </c>
      <c r="BN11">
        <v>113.8047</v>
      </c>
      <c r="BO11">
        <v>127.2373</v>
      </c>
      <c r="BQ11" t="s">
        <v>18</v>
      </c>
      <c r="BR11">
        <v>319219158.12529999</v>
      </c>
      <c r="BS11">
        <v>412689790.65700001</v>
      </c>
      <c r="BT11">
        <v>467274933.78920001</v>
      </c>
      <c r="BU11">
        <v>534119796.29759997</v>
      </c>
      <c r="BV11">
        <v>611704688.57050002</v>
      </c>
      <c r="BW11">
        <v>452.58730000000003</v>
      </c>
      <c r="BX11">
        <v>541.81889999999999</v>
      </c>
      <c r="BY11">
        <v>579.87480000000005</v>
      </c>
      <c r="BZ11">
        <v>626.18550000000005</v>
      </c>
      <c r="CA11">
        <v>675.17859999999996</v>
      </c>
      <c r="CB11">
        <v>75.022000000000006</v>
      </c>
      <c r="CC11">
        <v>94.557199999999995</v>
      </c>
      <c r="CD11">
        <v>104.6614</v>
      </c>
      <c r="CE11">
        <v>117.1079</v>
      </c>
      <c r="CF11">
        <v>131.43870000000001</v>
      </c>
    </row>
    <row r="13" spans="1:144" x14ac:dyDescent="0.35">
      <c r="B13" t="s">
        <v>19</v>
      </c>
      <c r="S13" t="s">
        <v>19</v>
      </c>
      <c r="AJ13" t="s">
        <v>19</v>
      </c>
      <c r="BA13" t="s">
        <v>19</v>
      </c>
      <c r="BR13" t="s">
        <v>19</v>
      </c>
      <c r="CV13" t="s">
        <v>19</v>
      </c>
      <c r="DB13" t="s">
        <v>19</v>
      </c>
    </row>
    <row r="14" spans="1:144" x14ac:dyDescent="0.35">
      <c r="B14" t="s">
        <v>2</v>
      </c>
      <c r="G14" t="s">
        <v>3</v>
      </c>
      <c r="L14" t="s">
        <v>4</v>
      </c>
      <c r="S14" t="s">
        <v>2</v>
      </c>
      <c r="X14" t="s">
        <v>3</v>
      </c>
      <c r="AC14" t="s">
        <v>4</v>
      </c>
      <c r="AJ14" t="s">
        <v>2</v>
      </c>
      <c r="AO14" t="s">
        <v>3</v>
      </c>
      <c r="AT14" t="s">
        <v>4</v>
      </c>
      <c r="BA14" t="s">
        <v>2</v>
      </c>
      <c r="BF14" t="s">
        <v>3</v>
      </c>
      <c r="BK14" t="s">
        <v>4</v>
      </c>
      <c r="BR14" t="s">
        <v>2</v>
      </c>
      <c r="BW14" t="s">
        <v>3</v>
      </c>
      <c r="CB14" t="s">
        <v>4</v>
      </c>
      <c r="CV14" t="s">
        <v>5</v>
      </c>
      <c r="DB14" t="s">
        <v>6</v>
      </c>
    </row>
    <row r="15" spans="1:144" x14ac:dyDescent="0.35">
      <c r="B15" t="s">
        <v>80</v>
      </c>
      <c r="C15" t="s">
        <v>79</v>
      </c>
      <c r="D15" t="s">
        <v>78</v>
      </c>
      <c r="E15" t="s">
        <v>77</v>
      </c>
      <c r="F15" t="s">
        <v>76</v>
      </c>
      <c r="G15" t="s">
        <v>80</v>
      </c>
      <c r="H15" t="s">
        <v>79</v>
      </c>
      <c r="I15" t="s">
        <v>78</v>
      </c>
      <c r="J15" t="s">
        <v>77</v>
      </c>
      <c r="K15" t="s">
        <v>76</v>
      </c>
      <c r="L15" t="s">
        <v>80</v>
      </c>
      <c r="M15" t="s">
        <v>79</v>
      </c>
      <c r="N15" t="s">
        <v>78</v>
      </c>
      <c r="O15" t="s">
        <v>77</v>
      </c>
      <c r="P15" t="s">
        <v>76</v>
      </c>
      <c r="S15" t="s">
        <v>80</v>
      </c>
      <c r="T15" t="s">
        <v>79</v>
      </c>
      <c r="U15" t="s">
        <v>78</v>
      </c>
      <c r="V15" t="s">
        <v>77</v>
      </c>
      <c r="W15" t="s">
        <v>76</v>
      </c>
      <c r="X15" t="s">
        <v>80</v>
      </c>
      <c r="Y15" t="s">
        <v>79</v>
      </c>
      <c r="Z15" t="s">
        <v>78</v>
      </c>
      <c r="AA15" t="s">
        <v>77</v>
      </c>
      <c r="AB15" t="s">
        <v>76</v>
      </c>
      <c r="AC15" t="s">
        <v>80</v>
      </c>
      <c r="AD15" t="s">
        <v>79</v>
      </c>
      <c r="AE15" t="s">
        <v>78</v>
      </c>
      <c r="AF15" t="s">
        <v>77</v>
      </c>
      <c r="AG15" t="s">
        <v>76</v>
      </c>
      <c r="AJ15" t="s">
        <v>80</v>
      </c>
      <c r="AK15" t="s">
        <v>79</v>
      </c>
      <c r="AL15" t="s">
        <v>78</v>
      </c>
      <c r="AM15" t="s">
        <v>77</v>
      </c>
      <c r="AN15" t="s">
        <v>76</v>
      </c>
      <c r="AO15" t="s">
        <v>80</v>
      </c>
      <c r="AP15" t="s">
        <v>79</v>
      </c>
      <c r="AQ15" t="s">
        <v>78</v>
      </c>
      <c r="AR15" t="s">
        <v>77</v>
      </c>
      <c r="AS15" t="s">
        <v>76</v>
      </c>
      <c r="AT15" t="s">
        <v>80</v>
      </c>
      <c r="AU15" t="s">
        <v>79</v>
      </c>
      <c r="AV15" t="s">
        <v>78</v>
      </c>
      <c r="AW15" t="s">
        <v>77</v>
      </c>
      <c r="AX15" t="s">
        <v>76</v>
      </c>
      <c r="BA15" t="s">
        <v>80</v>
      </c>
      <c r="BB15" t="s">
        <v>79</v>
      </c>
      <c r="BC15" t="s">
        <v>78</v>
      </c>
      <c r="BD15" t="s">
        <v>77</v>
      </c>
      <c r="BE15" t="s">
        <v>76</v>
      </c>
      <c r="BF15" t="s">
        <v>80</v>
      </c>
      <c r="BG15" t="s">
        <v>79</v>
      </c>
      <c r="BH15" t="s">
        <v>78</v>
      </c>
      <c r="BI15" t="s">
        <v>77</v>
      </c>
      <c r="BJ15" t="s">
        <v>76</v>
      </c>
      <c r="BK15" t="s">
        <v>80</v>
      </c>
      <c r="BL15" t="s">
        <v>79</v>
      </c>
      <c r="BM15" t="s">
        <v>78</v>
      </c>
      <c r="BN15" t="s">
        <v>77</v>
      </c>
      <c r="BO15" t="s">
        <v>76</v>
      </c>
      <c r="BR15" t="s">
        <v>80</v>
      </c>
      <c r="BS15" t="s">
        <v>79</v>
      </c>
      <c r="BT15" t="s">
        <v>78</v>
      </c>
      <c r="BU15" t="s">
        <v>77</v>
      </c>
      <c r="BV15" t="s">
        <v>76</v>
      </c>
      <c r="BW15" t="s">
        <v>80</v>
      </c>
      <c r="BX15" t="s">
        <v>79</v>
      </c>
      <c r="BY15" t="s">
        <v>78</v>
      </c>
      <c r="BZ15" t="s">
        <v>77</v>
      </c>
      <c r="CA15" t="s">
        <v>76</v>
      </c>
      <c r="CB15" t="s">
        <v>80</v>
      </c>
      <c r="CC15" t="s">
        <v>79</v>
      </c>
      <c r="CD15" t="s">
        <v>78</v>
      </c>
      <c r="CE15" t="s">
        <v>77</v>
      </c>
      <c r="CF15" t="s">
        <v>76</v>
      </c>
      <c r="CV15" t="s">
        <v>80</v>
      </c>
      <c r="CW15" t="s">
        <v>79</v>
      </c>
      <c r="CX15" t="s">
        <v>78</v>
      </c>
      <c r="CY15" t="s">
        <v>77</v>
      </c>
      <c r="CZ15" t="s">
        <v>76</v>
      </c>
      <c r="DB15" t="s">
        <v>80</v>
      </c>
      <c r="DC15" t="s">
        <v>79</v>
      </c>
      <c r="DD15" t="s">
        <v>78</v>
      </c>
      <c r="DE15" t="s">
        <v>77</v>
      </c>
      <c r="DF15" t="s">
        <v>76</v>
      </c>
    </row>
    <row r="16" spans="1:144" x14ac:dyDescent="0.3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R16" t="s">
        <v>14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I16" t="s">
        <v>14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Z16" t="s">
        <v>14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Q16" t="s">
        <v>14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B16">
        <v>0</v>
      </c>
      <c r="DC16">
        <v>0</v>
      </c>
      <c r="DD16">
        <v>0</v>
      </c>
      <c r="DE16">
        <v>0</v>
      </c>
      <c r="DF16">
        <v>0</v>
      </c>
    </row>
    <row r="17" spans="1:110" x14ac:dyDescent="0.3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R17" t="s">
        <v>15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I17" t="s">
        <v>15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Z17" t="s">
        <v>15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Q17" t="s">
        <v>15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B17">
        <v>0</v>
      </c>
      <c r="DC17">
        <v>0</v>
      </c>
      <c r="DD17">
        <v>0</v>
      </c>
      <c r="DE17">
        <v>0</v>
      </c>
      <c r="DF17">
        <v>0</v>
      </c>
    </row>
    <row r="18" spans="1:110" x14ac:dyDescent="0.35">
      <c r="A18" t="s">
        <v>7</v>
      </c>
      <c r="B18">
        <v>270.6035</v>
      </c>
      <c r="C18">
        <v>276.60550000000001</v>
      </c>
      <c r="D18">
        <v>285.34070000000003</v>
      </c>
      <c r="E18">
        <v>295.23340000000002</v>
      </c>
      <c r="F18">
        <v>306.29880000000003</v>
      </c>
      <c r="G18">
        <v>1.18E-2</v>
      </c>
      <c r="H18">
        <v>1.43E-2</v>
      </c>
      <c r="I18">
        <v>1.7999999999999999E-2</v>
      </c>
      <c r="J18">
        <v>2.0199999999999999E-2</v>
      </c>
      <c r="K18">
        <v>2.0400000000000001E-2</v>
      </c>
      <c r="L18">
        <v>1.2999999999999999E-3</v>
      </c>
      <c r="M18">
        <v>1.2999999999999999E-3</v>
      </c>
      <c r="N18">
        <v>1.4E-3</v>
      </c>
      <c r="O18">
        <v>1.4E-3</v>
      </c>
      <c r="P18">
        <v>1.5E-3</v>
      </c>
      <c r="R18" t="s">
        <v>7</v>
      </c>
      <c r="S18">
        <v>270.6035</v>
      </c>
      <c r="T18">
        <v>276.60550000000001</v>
      </c>
      <c r="U18">
        <v>285.34070000000003</v>
      </c>
      <c r="V18">
        <v>295.23340000000002</v>
      </c>
      <c r="W18">
        <v>306.29880000000003</v>
      </c>
      <c r="X18">
        <v>1.18E-2</v>
      </c>
      <c r="Y18">
        <v>1.43E-2</v>
      </c>
      <c r="Z18">
        <v>1.7999999999999999E-2</v>
      </c>
      <c r="AA18">
        <v>2.0199999999999999E-2</v>
      </c>
      <c r="AB18">
        <v>2.0400000000000001E-2</v>
      </c>
      <c r="AC18">
        <v>1.2999999999999999E-3</v>
      </c>
      <c r="AD18">
        <v>1.2999999999999999E-3</v>
      </c>
      <c r="AE18">
        <v>1.4E-3</v>
      </c>
      <c r="AF18">
        <v>1.4E-3</v>
      </c>
      <c r="AG18">
        <v>1.5E-3</v>
      </c>
      <c r="AI18" t="s">
        <v>7</v>
      </c>
      <c r="AJ18">
        <v>270.6035</v>
      </c>
      <c r="AK18">
        <v>276.60550000000001</v>
      </c>
      <c r="AL18">
        <v>285.34070000000003</v>
      </c>
      <c r="AM18">
        <v>295.23340000000002</v>
      </c>
      <c r="AN18">
        <v>306.29880000000003</v>
      </c>
      <c r="AO18">
        <v>1.18E-2</v>
      </c>
      <c r="AP18">
        <v>1.43E-2</v>
      </c>
      <c r="AQ18">
        <v>1.7999999999999999E-2</v>
      </c>
      <c r="AR18">
        <v>2.0199999999999999E-2</v>
      </c>
      <c r="AS18">
        <v>2.0400000000000001E-2</v>
      </c>
      <c r="AT18">
        <v>1.2999999999999999E-3</v>
      </c>
      <c r="AU18">
        <v>1.2999999999999999E-3</v>
      </c>
      <c r="AV18">
        <v>1.4E-3</v>
      </c>
      <c r="AW18">
        <v>1.4E-3</v>
      </c>
      <c r="AX18">
        <v>1.5E-3</v>
      </c>
      <c r="AZ18" t="s">
        <v>7</v>
      </c>
      <c r="BA18">
        <v>270.6035</v>
      </c>
      <c r="BB18">
        <v>276.60550000000001</v>
      </c>
      <c r="BC18">
        <v>285.34070000000003</v>
      </c>
      <c r="BD18">
        <v>295.23340000000002</v>
      </c>
      <c r="BE18">
        <v>306.29880000000003</v>
      </c>
      <c r="BF18">
        <v>1.18E-2</v>
      </c>
      <c r="BG18">
        <v>1.43E-2</v>
      </c>
      <c r="BH18">
        <v>1.7999999999999999E-2</v>
      </c>
      <c r="BI18">
        <v>2.0199999999999999E-2</v>
      </c>
      <c r="BJ18">
        <v>2.0400000000000001E-2</v>
      </c>
      <c r="BK18">
        <v>1.2999999999999999E-3</v>
      </c>
      <c r="BL18">
        <v>1.2999999999999999E-3</v>
      </c>
      <c r="BM18">
        <v>1.4E-3</v>
      </c>
      <c r="BN18">
        <v>1.4E-3</v>
      </c>
      <c r="BO18">
        <v>1.5E-3</v>
      </c>
      <c r="BQ18" t="s">
        <v>7</v>
      </c>
      <c r="BR18">
        <v>279.02330000000001</v>
      </c>
      <c r="BS18">
        <v>289.8184</v>
      </c>
      <c r="BT18">
        <v>305.745</v>
      </c>
      <c r="BU18">
        <v>322.3537</v>
      </c>
      <c r="BV18">
        <v>338.12079999999997</v>
      </c>
      <c r="BW18">
        <v>1.18E-2</v>
      </c>
      <c r="BX18">
        <v>1.43E-2</v>
      </c>
      <c r="BY18">
        <v>1.8100000000000002E-2</v>
      </c>
      <c r="BZ18">
        <v>2.0299999999999999E-2</v>
      </c>
      <c r="CA18">
        <v>2.06E-2</v>
      </c>
      <c r="CB18">
        <v>1.2999999999999999E-3</v>
      </c>
      <c r="CC18">
        <v>1.4E-3</v>
      </c>
      <c r="CD18">
        <v>1.5E-3</v>
      </c>
      <c r="CE18">
        <v>1.5E-3</v>
      </c>
      <c r="CF18">
        <v>1.6000000000000001E-3</v>
      </c>
      <c r="CV18">
        <v>-3.2447329017007767E-5</v>
      </c>
      <c r="CW18">
        <v>-5.082308056003973E-5</v>
      </c>
      <c r="CX18">
        <v>-8.0678915906129411E-5</v>
      </c>
      <c r="CY18">
        <v>-1.0161366976820657E-4</v>
      </c>
      <c r="CZ18">
        <v>-1.1263572549198922E-4</v>
      </c>
      <c r="DB18">
        <v>0</v>
      </c>
      <c r="DC18">
        <v>0</v>
      </c>
      <c r="DD18">
        <v>0</v>
      </c>
      <c r="DE18">
        <v>0</v>
      </c>
      <c r="DF18">
        <v>0</v>
      </c>
    </row>
    <row r="19" spans="1:110" x14ac:dyDescent="0.3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R19" t="s">
        <v>17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I19" t="s">
        <v>17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Z19" t="s">
        <v>17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Q19" t="s">
        <v>17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B19">
        <v>0</v>
      </c>
      <c r="DC19">
        <v>0</v>
      </c>
      <c r="DD19">
        <v>0</v>
      </c>
      <c r="DE19">
        <v>0</v>
      </c>
      <c r="DF19">
        <v>0</v>
      </c>
    </row>
    <row r="20" spans="1:110" x14ac:dyDescent="0.35">
      <c r="A20" t="s">
        <v>18</v>
      </c>
      <c r="B20">
        <v>270.6035</v>
      </c>
      <c r="C20">
        <v>276.60550000000001</v>
      </c>
      <c r="D20">
        <v>285.34070000000003</v>
      </c>
      <c r="E20">
        <v>295.23340000000002</v>
      </c>
      <c r="F20">
        <v>306.29880000000003</v>
      </c>
      <c r="G20">
        <v>4.0000000000000002E-4</v>
      </c>
      <c r="H20">
        <v>2.9999999999999997E-4</v>
      </c>
      <c r="I20">
        <v>2.9999999999999997E-4</v>
      </c>
      <c r="J20">
        <v>2.9999999999999997E-4</v>
      </c>
      <c r="K20">
        <v>2.9999999999999997E-4</v>
      </c>
      <c r="L20">
        <v>1E-4</v>
      </c>
      <c r="M20">
        <v>1E-4</v>
      </c>
      <c r="N20">
        <v>1E-4</v>
      </c>
      <c r="O20">
        <v>1E-4</v>
      </c>
      <c r="P20">
        <v>1E-4</v>
      </c>
      <c r="R20" t="s">
        <v>18</v>
      </c>
      <c r="S20">
        <v>270.6035</v>
      </c>
      <c r="T20">
        <v>276.60550000000001</v>
      </c>
      <c r="U20">
        <v>285.34070000000003</v>
      </c>
      <c r="V20">
        <v>295.23340000000002</v>
      </c>
      <c r="W20">
        <v>306.29880000000003</v>
      </c>
      <c r="X20">
        <v>4.0000000000000002E-4</v>
      </c>
      <c r="Y20">
        <v>2.9999999999999997E-4</v>
      </c>
      <c r="Z20">
        <v>2.9999999999999997E-4</v>
      </c>
      <c r="AA20">
        <v>2.9999999999999997E-4</v>
      </c>
      <c r="AB20">
        <v>2.9999999999999997E-4</v>
      </c>
      <c r="AC20">
        <v>1E-4</v>
      </c>
      <c r="AD20">
        <v>1E-4</v>
      </c>
      <c r="AE20">
        <v>1E-4</v>
      </c>
      <c r="AF20">
        <v>1E-4</v>
      </c>
      <c r="AG20">
        <v>1E-4</v>
      </c>
      <c r="AI20" t="s">
        <v>18</v>
      </c>
      <c r="AJ20">
        <v>270.6035</v>
      </c>
      <c r="AK20">
        <v>276.60550000000001</v>
      </c>
      <c r="AL20">
        <v>285.34070000000003</v>
      </c>
      <c r="AM20">
        <v>295.23340000000002</v>
      </c>
      <c r="AN20">
        <v>306.29880000000003</v>
      </c>
      <c r="AO20">
        <v>4.0000000000000002E-4</v>
      </c>
      <c r="AP20">
        <v>4.0000000000000002E-4</v>
      </c>
      <c r="AQ20">
        <v>4.0000000000000002E-4</v>
      </c>
      <c r="AR20">
        <v>4.0000000000000002E-4</v>
      </c>
      <c r="AS20">
        <v>4.0000000000000002E-4</v>
      </c>
      <c r="AT20">
        <v>1E-4</v>
      </c>
      <c r="AU20">
        <v>1E-4</v>
      </c>
      <c r="AV20">
        <v>1E-4</v>
      </c>
      <c r="AW20">
        <v>1E-4</v>
      </c>
      <c r="AX20">
        <v>1E-4</v>
      </c>
      <c r="AZ20" t="s">
        <v>18</v>
      </c>
      <c r="BA20">
        <v>270.6035</v>
      </c>
      <c r="BB20">
        <v>276.60550000000001</v>
      </c>
      <c r="BC20">
        <v>285.34070000000003</v>
      </c>
      <c r="BD20">
        <v>295.23340000000002</v>
      </c>
      <c r="BE20">
        <v>306.29880000000003</v>
      </c>
      <c r="BF20">
        <v>4.0000000000000002E-4</v>
      </c>
      <c r="BG20">
        <v>4.0000000000000002E-4</v>
      </c>
      <c r="BH20">
        <v>4.0000000000000002E-4</v>
      </c>
      <c r="BI20">
        <v>4.0000000000000002E-4</v>
      </c>
      <c r="BJ20">
        <v>4.0000000000000002E-4</v>
      </c>
      <c r="BK20">
        <v>1E-4</v>
      </c>
      <c r="BL20">
        <v>1E-4</v>
      </c>
      <c r="BM20">
        <v>1E-4</v>
      </c>
      <c r="BN20">
        <v>1E-4</v>
      </c>
      <c r="BO20">
        <v>1E-4</v>
      </c>
      <c r="BQ20" t="s">
        <v>18</v>
      </c>
      <c r="BR20">
        <v>279.02330000000001</v>
      </c>
      <c r="BS20">
        <v>289.8184</v>
      </c>
      <c r="BT20">
        <v>305.745</v>
      </c>
      <c r="BU20">
        <v>322.3537</v>
      </c>
      <c r="BV20">
        <v>338.12079999999997</v>
      </c>
      <c r="BW20">
        <v>4.0000000000000002E-4</v>
      </c>
      <c r="BX20">
        <v>4.0000000000000002E-4</v>
      </c>
      <c r="BY20">
        <v>4.0000000000000002E-4</v>
      </c>
      <c r="BZ20">
        <v>4.0000000000000002E-4</v>
      </c>
      <c r="CA20">
        <v>4.0000000000000002E-4</v>
      </c>
      <c r="CB20">
        <v>1E-4</v>
      </c>
      <c r="CC20">
        <v>1E-4</v>
      </c>
      <c r="CD20">
        <v>1E-4</v>
      </c>
      <c r="CE20">
        <v>1E-4</v>
      </c>
      <c r="CF20">
        <v>1E-4</v>
      </c>
    </row>
    <row r="22" spans="1:110" x14ac:dyDescent="0.35">
      <c r="B22" t="s">
        <v>20</v>
      </c>
      <c r="S22" t="s">
        <v>20</v>
      </c>
      <c r="AJ22" t="s">
        <v>20</v>
      </c>
      <c r="BA22" t="s">
        <v>20</v>
      </c>
      <c r="BR22" t="s">
        <v>20</v>
      </c>
      <c r="CV22" t="s">
        <v>20</v>
      </c>
      <c r="DB22" t="s">
        <v>20</v>
      </c>
    </row>
    <row r="23" spans="1:110" x14ac:dyDescent="0.35">
      <c r="B23" t="s">
        <v>2</v>
      </c>
      <c r="G23" t="s">
        <v>3</v>
      </c>
      <c r="L23" t="s">
        <v>4</v>
      </c>
      <c r="S23" t="s">
        <v>2</v>
      </c>
      <c r="X23" t="s">
        <v>3</v>
      </c>
      <c r="AC23" t="s">
        <v>4</v>
      </c>
      <c r="AJ23" t="s">
        <v>2</v>
      </c>
      <c r="AO23" t="s">
        <v>3</v>
      </c>
      <c r="AT23" t="s">
        <v>4</v>
      </c>
      <c r="BA23" t="s">
        <v>2</v>
      </c>
      <c r="BF23" t="s">
        <v>3</v>
      </c>
      <c r="BK23" t="s">
        <v>4</v>
      </c>
      <c r="BR23" t="s">
        <v>2</v>
      </c>
      <c r="BW23" t="s">
        <v>3</v>
      </c>
      <c r="CB23" t="s">
        <v>4</v>
      </c>
      <c r="CV23" t="s">
        <v>5</v>
      </c>
      <c r="DB23" t="s">
        <v>6</v>
      </c>
    </row>
    <row r="24" spans="1:110" x14ac:dyDescent="0.35">
      <c r="B24" t="s">
        <v>80</v>
      </c>
      <c r="C24" t="s">
        <v>79</v>
      </c>
      <c r="D24" t="s">
        <v>78</v>
      </c>
      <c r="E24" t="s">
        <v>77</v>
      </c>
      <c r="F24" t="s">
        <v>76</v>
      </c>
      <c r="G24" t="s">
        <v>80</v>
      </c>
      <c r="H24" t="s">
        <v>79</v>
      </c>
      <c r="I24" t="s">
        <v>78</v>
      </c>
      <c r="J24" t="s">
        <v>77</v>
      </c>
      <c r="K24" t="s">
        <v>76</v>
      </c>
      <c r="L24" t="s">
        <v>80</v>
      </c>
      <c r="M24" t="s">
        <v>79</v>
      </c>
      <c r="N24" t="s">
        <v>78</v>
      </c>
      <c r="O24" t="s">
        <v>77</v>
      </c>
      <c r="P24" t="s">
        <v>76</v>
      </c>
      <c r="S24" t="s">
        <v>80</v>
      </c>
      <c r="T24" t="s">
        <v>79</v>
      </c>
      <c r="U24" t="s">
        <v>78</v>
      </c>
      <c r="V24" t="s">
        <v>77</v>
      </c>
      <c r="W24" t="s">
        <v>76</v>
      </c>
      <c r="X24" t="s">
        <v>80</v>
      </c>
      <c r="Y24" t="s">
        <v>79</v>
      </c>
      <c r="Z24" t="s">
        <v>78</v>
      </c>
      <c r="AA24" t="s">
        <v>77</v>
      </c>
      <c r="AB24" t="s">
        <v>76</v>
      </c>
      <c r="AC24" t="s">
        <v>80</v>
      </c>
      <c r="AD24" t="s">
        <v>79</v>
      </c>
      <c r="AE24" t="s">
        <v>78</v>
      </c>
      <c r="AF24" t="s">
        <v>77</v>
      </c>
      <c r="AG24" t="s">
        <v>76</v>
      </c>
      <c r="AJ24" t="s">
        <v>80</v>
      </c>
      <c r="AK24" t="s">
        <v>79</v>
      </c>
      <c r="AL24" t="s">
        <v>78</v>
      </c>
      <c r="AM24" t="s">
        <v>77</v>
      </c>
      <c r="AN24" t="s">
        <v>76</v>
      </c>
      <c r="AO24" t="s">
        <v>80</v>
      </c>
      <c r="AP24" t="s">
        <v>79</v>
      </c>
      <c r="AQ24" t="s">
        <v>78</v>
      </c>
      <c r="AR24" t="s">
        <v>77</v>
      </c>
      <c r="AS24" t="s">
        <v>76</v>
      </c>
      <c r="AT24" t="s">
        <v>80</v>
      </c>
      <c r="AU24" t="s">
        <v>79</v>
      </c>
      <c r="AV24" t="s">
        <v>78</v>
      </c>
      <c r="AW24" t="s">
        <v>77</v>
      </c>
      <c r="AX24" t="s">
        <v>76</v>
      </c>
      <c r="BA24" t="s">
        <v>80</v>
      </c>
      <c r="BB24" t="s">
        <v>79</v>
      </c>
      <c r="BC24" t="s">
        <v>78</v>
      </c>
      <c r="BD24" t="s">
        <v>77</v>
      </c>
      <c r="BE24" t="s">
        <v>76</v>
      </c>
      <c r="BF24" t="s">
        <v>80</v>
      </c>
      <c r="BG24" t="s">
        <v>79</v>
      </c>
      <c r="BH24" t="s">
        <v>78</v>
      </c>
      <c r="BI24" t="s">
        <v>77</v>
      </c>
      <c r="BJ24" t="s">
        <v>76</v>
      </c>
      <c r="BK24" t="s">
        <v>80</v>
      </c>
      <c r="BL24" t="s">
        <v>79</v>
      </c>
      <c r="BM24" t="s">
        <v>78</v>
      </c>
      <c r="BN24" t="s">
        <v>77</v>
      </c>
      <c r="BO24" t="s">
        <v>76</v>
      </c>
      <c r="BR24" t="s">
        <v>80</v>
      </c>
      <c r="BS24" t="s">
        <v>79</v>
      </c>
      <c r="BT24" t="s">
        <v>78</v>
      </c>
      <c r="BU24" t="s">
        <v>77</v>
      </c>
      <c r="BV24" t="s">
        <v>76</v>
      </c>
      <c r="BW24" t="s">
        <v>80</v>
      </c>
      <c r="BX24" t="s">
        <v>79</v>
      </c>
      <c r="BY24" t="s">
        <v>78</v>
      </c>
      <c r="BZ24" t="s">
        <v>77</v>
      </c>
      <c r="CA24" t="s">
        <v>76</v>
      </c>
      <c r="CB24" t="s">
        <v>80</v>
      </c>
      <c r="CC24" t="s">
        <v>79</v>
      </c>
      <c r="CD24" t="s">
        <v>78</v>
      </c>
      <c r="CE24" t="s">
        <v>77</v>
      </c>
      <c r="CF24" t="s">
        <v>76</v>
      </c>
      <c r="CV24" t="s">
        <v>80</v>
      </c>
      <c r="CW24" t="s">
        <v>79</v>
      </c>
      <c r="CX24" t="s">
        <v>78</v>
      </c>
      <c r="CY24" t="s">
        <v>77</v>
      </c>
      <c r="CZ24" t="s">
        <v>76</v>
      </c>
      <c r="DB24" t="s">
        <v>80</v>
      </c>
      <c r="DC24" t="s">
        <v>79</v>
      </c>
      <c r="DD24" t="s">
        <v>78</v>
      </c>
      <c r="DE24" t="s">
        <v>77</v>
      </c>
      <c r="DF24" t="s">
        <v>76</v>
      </c>
    </row>
    <row r="25" spans="1:110" x14ac:dyDescent="0.35">
      <c r="A25" t="s">
        <v>14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R25" t="s">
        <v>14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I25" t="s">
        <v>14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Z25" t="s">
        <v>14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Q25" t="s">
        <v>14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B25">
        <v>0</v>
      </c>
      <c r="DC25">
        <v>0</v>
      </c>
      <c r="DD25">
        <v>0</v>
      </c>
      <c r="DE25">
        <v>0</v>
      </c>
      <c r="DF25">
        <v>0</v>
      </c>
    </row>
    <row r="26" spans="1:110" x14ac:dyDescent="0.35">
      <c r="A26" t="s">
        <v>15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R26" t="s">
        <v>15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I26" t="s">
        <v>15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Z26" t="s">
        <v>15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Q26" t="s">
        <v>15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B26">
        <v>0</v>
      </c>
      <c r="DC26">
        <v>0</v>
      </c>
      <c r="DD26">
        <v>0</v>
      </c>
      <c r="DE26">
        <v>0</v>
      </c>
      <c r="DF26">
        <v>0</v>
      </c>
    </row>
    <row r="27" spans="1:110" x14ac:dyDescent="0.35">
      <c r="A27" t="s">
        <v>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R27" t="s">
        <v>7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I27" t="s">
        <v>7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Z27" t="s">
        <v>7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Q27" t="s">
        <v>7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B27">
        <v>0</v>
      </c>
      <c r="DC27">
        <v>0</v>
      </c>
      <c r="DD27">
        <v>0</v>
      </c>
      <c r="DE27">
        <v>0</v>
      </c>
      <c r="DF27">
        <v>0</v>
      </c>
    </row>
    <row r="28" spans="1:110" x14ac:dyDescent="0.35">
      <c r="A28" t="s">
        <v>17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R28" t="s">
        <v>17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I28" t="s">
        <v>17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Z28" t="s">
        <v>17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Q28" t="s">
        <v>17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B28">
        <v>0</v>
      </c>
      <c r="DC28">
        <v>0</v>
      </c>
      <c r="DD28">
        <v>0</v>
      </c>
      <c r="DE28">
        <v>0</v>
      </c>
      <c r="DF28">
        <v>0</v>
      </c>
    </row>
    <row r="29" spans="1:110" x14ac:dyDescent="0.35">
      <c r="A29" t="s">
        <v>18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R29" t="s">
        <v>18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I29" t="s">
        <v>18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Z29" t="s">
        <v>18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Q29" t="s">
        <v>18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</row>
    <row r="31" spans="1:110" x14ac:dyDescent="0.35">
      <c r="B31" t="s">
        <v>21</v>
      </c>
      <c r="S31" t="s">
        <v>21</v>
      </c>
      <c r="AJ31" t="s">
        <v>21</v>
      </c>
      <c r="BA31" t="s">
        <v>21</v>
      </c>
      <c r="BR31" t="s">
        <v>21</v>
      </c>
      <c r="CV31" t="s">
        <v>21</v>
      </c>
      <c r="DB31" t="s">
        <v>21</v>
      </c>
    </row>
    <row r="32" spans="1:110" x14ac:dyDescent="0.35">
      <c r="B32" t="s">
        <v>2</v>
      </c>
      <c r="G32" t="s">
        <v>3</v>
      </c>
      <c r="L32" t="s">
        <v>4</v>
      </c>
      <c r="S32" t="s">
        <v>2</v>
      </c>
      <c r="X32" t="s">
        <v>3</v>
      </c>
      <c r="AC32" t="s">
        <v>4</v>
      </c>
      <c r="AJ32" t="s">
        <v>2</v>
      </c>
      <c r="AO32" t="s">
        <v>3</v>
      </c>
      <c r="AT32" t="s">
        <v>4</v>
      </c>
      <c r="BA32" t="s">
        <v>2</v>
      </c>
      <c r="BF32" t="s">
        <v>3</v>
      </c>
      <c r="BK32" t="s">
        <v>4</v>
      </c>
      <c r="BR32" t="s">
        <v>2</v>
      </c>
      <c r="BW32" t="s">
        <v>3</v>
      </c>
      <c r="CB32" t="s">
        <v>4</v>
      </c>
      <c r="CV32" t="s">
        <v>5</v>
      </c>
      <c r="DB32" t="s">
        <v>6</v>
      </c>
    </row>
    <row r="33" spans="1:110" x14ac:dyDescent="0.35">
      <c r="B33" t="s">
        <v>80</v>
      </c>
      <c r="C33" t="s">
        <v>79</v>
      </c>
      <c r="D33" t="s">
        <v>78</v>
      </c>
      <c r="E33" t="s">
        <v>77</v>
      </c>
      <c r="F33" t="s">
        <v>76</v>
      </c>
      <c r="G33" t="s">
        <v>80</v>
      </c>
      <c r="H33" t="s">
        <v>79</v>
      </c>
      <c r="I33" t="s">
        <v>78</v>
      </c>
      <c r="J33" t="s">
        <v>77</v>
      </c>
      <c r="K33" t="s">
        <v>76</v>
      </c>
      <c r="L33" t="s">
        <v>80</v>
      </c>
      <c r="M33" t="s">
        <v>79</v>
      </c>
      <c r="N33" t="s">
        <v>78</v>
      </c>
      <c r="O33" t="s">
        <v>77</v>
      </c>
      <c r="P33" t="s">
        <v>76</v>
      </c>
      <c r="S33" t="s">
        <v>80</v>
      </c>
      <c r="T33" t="s">
        <v>79</v>
      </c>
      <c r="U33" t="s">
        <v>78</v>
      </c>
      <c r="V33" t="s">
        <v>77</v>
      </c>
      <c r="W33" t="s">
        <v>76</v>
      </c>
      <c r="X33" t="s">
        <v>80</v>
      </c>
      <c r="Y33" t="s">
        <v>79</v>
      </c>
      <c r="Z33" t="s">
        <v>78</v>
      </c>
      <c r="AA33" t="s">
        <v>77</v>
      </c>
      <c r="AB33" t="s">
        <v>76</v>
      </c>
      <c r="AC33" t="s">
        <v>80</v>
      </c>
      <c r="AD33" t="s">
        <v>79</v>
      </c>
      <c r="AE33" t="s">
        <v>78</v>
      </c>
      <c r="AF33" t="s">
        <v>77</v>
      </c>
      <c r="AG33" t="s">
        <v>76</v>
      </c>
      <c r="AJ33" t="s">
        <v>80</v>
      </c>
      <c r="AK33" t="s">
        <v>79</v>
      </c>
      <c r="AL33" t="s">
        <v>78</v>
      </c>
      <c r="AM33" t="s">
        <v>77</v>
      </c>
      <c r="AN33" t="s">
        <v>76</v>
      </c>
      <c r="AO33" t="s">
        <v>80</v>
      </c>
      <c r="AP33" t="s">
        <v>79</v>
      </c>
      <c r="AQ33" t="s">
        <v>78</v>
      </c>
      <c r="AR33" t="s">
        <v>77</v>
      </c>
      <c r="AS33" t="s">
        <v>76</v>
      </c>
      <c r="AT33" t="s">
        <v>80</v>
      </c>
      <c r="AU33" t="s">
        <v>79</v>
      </c>
      <c r="AV33" t="s">
        <v>78</v>
      </c>
      <c r="AW33" t="s">
        <v>77</v>
      </c>
      <c r="AX33" t="s">
        <v>76</v>
      </c>
      <c r="BA33" t="s">
        <v>80</v>
      </c>
      <c r="BB33" t="s">
        <v>79</v>
      </c>
      <c r="BC33" t="s">
        <v>78</v>
      </c>
      <c r="BD33" t="s">
        <v>77</v>
      </c>
      <c r="BE33" t="s">
        <v>76</v>
      </c>
      <c r="BF33" t="s">
        <v>80</v>
      </c>
      <c r="BG33" t="s">
        <v>79</v>
      </c>
      <c r="BH33" t="s">
        <v>78</v>
      </c>
      <c r="BI33" t="s">
        <v>77</v>
      </c>
      <c r="BJ33" t="s">
        <v>76</v>
      </c>
      <c r="BK33" t="s">
        <v>80</v>
      </c>
      <c r="BL33" t="s">
        <v>79</v>
      </c>
      <c r="BM33" t="s">
        <v>78</v>
      </c>
      <c r="BN33" t="s">
        <v>77</v>
      </c>
      <c r="BO33" t="s">
        <v>76</v>
      </c>
      <c r="BR33" t="s">
        <v>80</v>
      </c>
      <c r="BS33" t="s">
        <v>79</v>
      </c>
      <c r="BT33" t="s">
        <v>78</v>
      </c>
      <c r="BU33" t="s">
        <v>77</v>
      </c>
      <c r="BV33" t="s">
        <v>76</v>
      </c>
      <c r="BW33" t="s">
        <v>80</v>
      </c>
      <c r="BX33" t="s">
        <v>79</v>
      </c>
      <c r="BY33" t="s">
        <v>78</v>
      </c>
      <c r="BZ33" t="s">
        <v>77</v>
      </c>
      <c r="CA33" t="s">
        <v>76</v>
      </c>
      <c r="CB33" t="s">
        <v>80</v>
      </c>
      <c r="CC33" t="s">
        <v>79</v>
      </c>
      <c r="CD33" t="s">
        <v>78</v>
      </c>
      <c r="CE33" t="s">
        <v>77</v>
      </c>
      <c r="CF33" t="s">
        <v>76</v>
      </c>
      <c r="CV33" t="s">
        <v>80</v>
      </c>
      <c r="CW33" t="s">
        <v>79</v>
      </c>
      <c r="CX33" t="s">
        <v>78</v>
      </c>
      <c r="CY33" t="s">
        <v>77</v>
      </c>
      <c r="CZ33" t="s">
        <v>76</v>
      </c>
      <c r="DB33" t="s">
        <v>80</v>
      </c>
      <c r="DC33" t="s">
        <v>79</v>
      </c>
      <c r="DD33" t="s">
        <v>78</v>
      </c>
      <c r="DE33" t="s">
        <v>77</v>
      </c>
      <c r="DF33" t="s">
        <v>76</v>
      </c>
    </row>
    <row r="34" spans="1:110" x14ac:dyDescent="0.35">
      <c r="A34" t="s">
        <v>14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R34" t="s">
        <v>14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I34" t="s">
        <v>14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Z34" t="s">
        <v>14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Q34" t="s">
        <v>14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B34">
        <v>0</v>
      </c>
      <c r="DC34">
        <v>0</v>
      </c>
      <c r="DD34">
        <v>0</v>
      </c>
      <c r="DE34">
        <v>0</v>
      </c>
      <c r="DF34">
        <v>0</v>
      </c>
    </row>
    <row r="35" spans="1:110" x14ac:dyDescent="0.35">
      <c r="A35" t="s">
        <v>15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R35" t="s">
        <v>15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I35" t="s">
        <v>15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Z35" t="s">
        <v>15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Q35" t="s">
        <v>15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B35">
        <v>0</v>
      </c>
      <c r="DC35">
        <v>0</v>
      </c>
      <c r="DD35">
        <v>0</v>
      </c>
      <c r="DE35">
        <v>0</v>
      </c>
      <c r="DF35">
        <v>0</v>
      </c>
    </row>
    <row r="36" spans="1:110" x14ac:dyDescent="0.35">
      <c r="A36" t="s">
        <v>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R36" t="s">
        <v>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I36" t="s">
        <v>7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Z36" t="s">
        <v>7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Q36" t="s">
        <v>7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B36">
        <v>0</v>
      </c>
      <c r="DC36">
        <v>0</v>
      </c>
      <c r="DD36">
        <v>0</v>
      </c>
      <c r="DE36">
        <v>0</v>
      </c>
      <c r="DF36">
        <v>0</v>
      </c>
    </row>
    <row r="37" spans="1:110" x14ac:dyDescent="0.35">
      <c r="A37" t="s">
        <v>17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R37" t="s">
        <v>17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I37" t="s">
        <v>17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Z37" t="s">
        <v>17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Q37" t="s">
        <v>17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B37">
        <v>0</v>
      </c>
      <c r="DC37">
        <v>0</v>
      </c>
      <c r="DD37">
        <v>0</v>
      </c>
      <c r="DE37">
        <v>0</v>
      </c>
      <c r="DF37">
        <v>0</v>
      </c>
    </row>
    <row r="38" spans="1:110" x14ac:dyDescent="0.35">
      <c r="A38" t="s">
        <v>18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R38" t="s">
        <v>18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I38" t="s">
        <v>18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Z38" t="s">
        <v>18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Q38" t="s">
        <v>18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</row>
    <row r="40" spans="1:110" x14ac:dyDescent="0.35">
      <c r="B40" t="s">
        <v>22</v>
      </c>
      <c r="S40" t="s">
        <v>22</v>
      </c>
      <c r="AJ40" t="s">
        <v>22</v>
      </c>
      <c r="BA40" t="s">
        <v>22</v>
      </c>
      <c r="BR40" t="s">
        <v>22</v>
      </c>
    </row>
    <row r="41" spans="1:110" x14ac:dyDescent="0.35">
      <c r="B41" t="s">
        <v>2</v>
      </c>
      <c r="G41" t="s">
        <v>3</v>
      </c>
      <c r="L41" t="s">
        <v>4</v>
      </c>
      <c r="S41" t="s">
        <v>2</v>
      </c>
      <c r="X41" t="s">
        <v>3</v>
      </c>
      <c r="AC41" t="s">
        <v>4</v>
      </c>
      <c r="AJ41" t="s">
        <v>2</v>
      </c>
      <c r="AO41" t="s">
        <v>3</v>
      </c>
      <c r="AT41" t="s">
        <v>4</v>
      </c>
      <c r="BA41" t="s">
        <v>2</v>
      </c>
      <c r="BF41" t="s">
        <v>3</v>
      </c>
      <c r="BK41" t="s">
        <v>4</v>
      </c>
      <c r="BR41" t="s">
        <v>2</v>
      </c>
      <c r="BW41" t="s">
        <v>3</v>
      </c>
      <c r="CB41" t="s">
        <v>4</v>
      </c>
    </row>
    <row r="42" spans="1:110" x14ac:dyDescent="0.35">
      <c r="B42" t="s">
        <v>80</v>
      </c>
      <c r="C42" t="s">
        <v>79</v>
      </c>
      <c r="D42" t="s">
        <v>78</v>
      </c>
      <c r="E42" t="s">
        <v>77</v>
      </c>
      <c r="F42" t="s">
        <v>76</v>
      </c>
      <c r="G42" t="s">
        <v>80</v>
      </c>
      <c r="H42" t="s">
        <v>79</v>
      </c>
      <c r="I42" t="s">
        <v>78</v>
      </c>
      <c r="J42" t="s">
        <v>77</v>
      </c>
      <c r="K42" t="s">
        <v>76</v>
      </c>
      <c r="L42" t="s">
        <v>80</v>
      </c>
      <c r="M42" t="s">
        <v>79</v>
      </c>
      <c r="N42" t="s">
        <v>78</v>
      </c>
      <c r="O42" t="s">
        <v>77</v>
      </c>
      <c r="P42" t="s">
        <v>76</v>
      </c>
      <c r="S42" t="s">
        <v>80</v>
      </c>
      <c r="T42" t="s">
        <v>79</v>
      </c>
      <c r="U42" t="s">
        <v>78</v>
      </c>
      <c r="V42" t="s">
        <v>77</v>
      </c>
      <c r="W42" t="s">
        <v>76</v>
      </c>
      <c r="X42" t="s">
        <v>80</v>
      </c>
      <c r="Y42" t="s">
        <v>79</v>
      </c>
      <c r="Z42" t="s">
        <v>78</v>
      </c>
      <c r="AA42" t="s">
        <v>77</v>
      </c>
      <c r="AB42" t="s">
        <v>76</v>
      </c>
      <c r="AC42" t="s">
        <v>80</v>
      </c>
      <c r="AD42" t="s">
        <v>79</v>
      </c>
      <c r="AE42" t="s">
        <v>78</v>
      </c>
      <c r="AF42" t="s">
        <v>77</v>
      </c>
      <c r="AG42" t="s">
        <v>76</v>
      </c>
      <c r="AJ42" t="s">
        <v>80</v>
      </c>
      <c r="AK42" t="s">
        <v>79</v>
      </c>
      <c r="AL42" t="s">
        <v>78</v>
      </c>
      <c r="AM42" t="s">
        <v>77</v>
      </c>
      <c r="AN42" t="s">
        <v>76</v>
      </c>
      <c r="AO42" t="s">
        <v>80</v>
      </c>
      <c r="AP42" t="s">
        <v>79</v>
      </c>
      <c r="AQ42" t="s">
        <v>78</v>
      </c>
      <c r="AR42" t="s">
        <v>77</v>
      </c>
      <c r="AS42" t="s">
        <v>76</v>
      </c>
      <c r="AT42" t="s">
        <v>80</v>
      </c>
      <c r="AU42" t="s">
        <v>79</v>
      </c>
      <c r="AV42" t="s">
        <v>78</v>
      </c>
      <c r="AW42" t="s">
        <v>77</v>
      </c>
      <c r="AX42" t="s">
        <v>76</v>
      </c>
      <c r="BA42" t="s">
        <v>80</v>
      </c>
      <c r="BB42" t="s">
        <v>79</v>
      </c>
      <c r="BC42" t="s">
        <v>78</v>
      </c>
      <c r="BD42" t="s">
        <v>77</v>
      </c>
      <c r="BE42" t="s">
        <v>76</v>
      </c>
      <c r="BF42" t="s">
        <v>80</v>
      </c>
      <c r="BG42" t="s">
        <v>79</v>
      </c>
      <c r="BH42" t="s">
        <v>78</v>
      </c>
      <c r="BI42" t="s">
        <v>77</v>
      </c>
      <c r="BJ42" t="s">
        <v>76</v>
      </c>
      <c r="BK42" t="s">
        <v>80</v>
      </c>
      <c r="BL42" t="s">
        <v>79</v>
      </c>
      <c r="BM42" t="s">
        <v>78</v>
      </c>
      <c r="BN42" t="s">
        <v>77</v>
      </c>
      <c r="BO42" t="s">
        <v>76</v>
      </c>
      <c r="BR42" t="s">
        <v>80</v>
      </c>
      <c r="BS42" t="s">
        <v>79</v>
      </c>
      <c r="BT42" t="s">
        <v>78</v>
      </c>
      <c r="BU42" t="s">
        <v>77</v>
      </c>
      <c r="BV42" t="s">
        <v>76</v>
      </c>
      <c r="BW42" t="s">
        <v>80</v>
      </c>
      <c r="BX42" t="s">
        <v>79</v>
      </c>
      <c r="BY42" t="s">
        <v>78</v>
      </c>
      <c r="BZ42" t="s">
        <v>77</v>
      </c>
      <c r="CA42" t="s">
        <v>76</v>
      </c>
      <c r="CB42" t="s">
        <v>80</v>
      </c>
      <c r="CC42" t="s">
        <v>79</v>
      </c>
      <c r="CD42" t="s">
        <v>78</v>
      </c>
      <c r="CE42" t="s">
        <v>77</v>
      </c>
      <c r="CF42" t="s">
        <v>76</v>
      </c>
    </row>
    <row r="43" spans="1:110" x14ac:dyDescent="0.35">
      <c r="A43" t="s">
        <v>14</v>
      </c>
      <c r="B43">
        <v>199752439.36090001</v>
      </c>
      <c r="C43">
        <v>283352520.61089998</v>
      </c>
      <c r="D43">
        <v>327292130.53869998</v>
      </c>
      <c r="E43">
        <v>370136362.80089998</v>
      </c>
      <c r="F43">
        <v>414258335.14300001</v>
      </c>
      <c r="G43">
        <v>320.03469999999999</v>
      </c>
      <c r="H43">
        <v>401.5204</v>
      </c>
      <c r="I43">
        <v>424.27420000000001</v>
      </c>
      <c r="J43">
        <v>442.84649999999999</v>
      </c>
      <c r="K43">
        <v>457.44299999999998</v>
      </c>
      <c r="L43">
        <v>62.1066</v>
      </c>
      <c r="M43">
        <v>84.491</v>
      </c>
      <c r="N43">
        <v>94.120400000000004</v>
      </c>
      <c r="O43">
        <v>102.9221</v>
      </c>
      <c r="P43">
        <v>111.6027</v>
      </c>
      <c r="R43" t="s">
        <v>14</v>
      </c>
      <c r="S43">
        <v>199752439.36090001</v>
      </c>
      <c r="T43">
        <v>283352520.61089998</v>
      </c>
      <c r="U43">
        <v>327292130.53869998</v>
      </c>
      <c r="V43">
        <v>370136362.80089998</v>
      </c>
      <c r="W43">
        <v>414258335.14300001</v>
      </c>
      <c r="X43">
        <v>320.03469999999999</v>
      </c>
      <c r="Y43">
        <v>401.5204</v>
      </c>
      <c r="Z43">
        <v>424.27420000000001</v>
      </c>
      <c r="AA43">
        <v>442.84649999999999</v>
      </c>
      <c r="AB43">
        <v>457.44299999999998</v>
      </c>
      <c r="AC43">
        <v>62.1066</v>
      </c>
      <c r="AD43">
        <v>84.491</v>
      </c>
      <c r="AE43">
        <v>94.120400000000004</v>
      </c>
      <c r="AF43">
        <v>102.9221</v>
      </c>
      <c r="AG43">
        <v>111.6027</v>
      </c>
      <c r="AI43" t="s">
        <v>14</v>
      </c>
      <c r="AJ43">
        <v>183670759.1778</v>
      </c>
      <c r="AK43">
        <v>243505479.10299999</v>
      </c>
      <c r="AL43">
        <v>273498624.50300002</v>
      </c>
      <c r="AM43">
        <v>302894480.25639999</v>
      </c>
      <c r="AN43">
        <v>333568076.08950001</v>
      </c>
      <c r="AO43">
        <v>314.4674</v>
      </c>
      <c r="AP43">
        <v>380.74419999999998</v>
      </c>
      <c r="AQ43">
        <v>400.95549999999997</v>
      </c>
      <c r="AR43">
        <v>418.25400000000002</v>
      </c>
      <c r="AS43">
        <v>432.2808</v>
      </c>
      <c r="AT43">
        <v>57.827300000000001</v>
      </c>
      <c r="AU43">
        <v>74.070300000000003</v>
      </c>
      <c r="AV43">
        <v>80.723799999999997</v>
      </c>
      <c r="AW43">
        <v>86.922399999999996</v>
      </c>
      <c r="AX43">
        <v>93.228800000000007</v>
      </c>
      <c r="AZ43" t="s">
        <v>14</v>
      </c>
      <c r="BA43">
        <v>196929001.75999999</v>
      </c>
      <c r="BB43">
        <v>269137700.17900002</v>
      </c>
      <c r="BC43">
        <v>311719376.90240002</v>
      </c>
      <c r="BD43">
        <v>359372797.19099998</v>
      </c>
      <c r="BE43">
        <v>414015834.01569998</v>
      </c>
      <c r="BF43">
        <v>337.16719999999998</v>
      </c>
      <c r="BG43">
        <v>420.8227</v>
      </c>
      <c r="BH43">
        <v>456.988</v>
      </c>
      <c r="BI43">
        <v>496.24250000000001</v>
      </c>
      <c r="BJ43">
        <v>536.53549999999996</v>
      </c>
      <c r="BK43">
        <v>62.0015</v>
      </c>
      <c r="BL43">
        <v>81.867199999999997</v>
      </c>
      <c r="BM43">
        <v>92.004800000000003</v>
      </c>
      <c r="BN43">
        <v>103.1301</v>
      </c>
      <c r="BO43">
        <v>115.7131</v>
      </c>
      <c r="BQ43" t="s">
        <v>14</v>
      </c>
      <c r="BR43">
        <v>199654166.40619999</v>
      </c>
      <c r="BS43">
        <v>274003170.3973</v>
      </c>
      <c r="BT43">
        <v>318665919.74680001</v>
      </c>
      <c r="BU43">
        <v>368800186.8405</v>
      </c>
      <c r="BV43">
        <v>426320108.85540003</v>
      </c>
      <c r="BW43">
        <v>336.81389999999999</v>
      </c>
      <c r="BX43">
        <v>420.45260000000002</v>
      </c>
      <c r="BY43">
        <v>456.59930000000003</v>
      </c>
      <c r="BZ43">
        <v>495.82510000000002</v>
      </c>
      <c r="CA43">
        <v>536.09550000000002</v>
      </c>
      <c r="CB43">
        <v>62.907299999999999</v>
      </c>
      <c r="CC43">
        <v>83.414599999999993</v>
      </c>
      <c r="CD43">
        <v>94.134</v>
      </c>
      <c r="CE43">
        <v>105.92749999999999</v>
      </c>
      <c r="CF43">
        <v>119.2603</v>
      </c>
    </row>
    <row r="44" spans="1:110" x14ac:dyDescent="0.35">
      <c r="A44" t="s">
        <v>15</v>
      </c>
      <c r="B44">
        <v>25253234.8706</v>
      </c>
      <c r="C44">
        <v>37803655.313500002</v>
      </c>
      <c r="D44">
        <v>44687718.968999997</v>
      </c>
      <c r="E44">
        <v>51783047.230400003</v>
      </c>
      <c r="F44">
        <v>57141623.799900003</v>
      </c>
      <c r="G44">
        <v>371.42610000000002</v>
      </c>
      <c r="H44">
        <v>549.30690000000004</v>
      </c>
      <c r="I44">
        <v>637.66420000000005</v>
      </c>
      <c r="J44">
        <v>718.10680000000002</v>
      </c>
      <c r="K44">
        <v>785.4307</v>
      </c>
      <c r="L44">
        <v>29.5961</v>
      </c>
      <c r="M44">
        <v>44.333599999999997</v>
      </c>
      <c r="N44">
        <v>52.383000000000003</v>
      </c>
      <c r="O44">
        <v>60.683100000000003</v>
      </c>
      <c r="P44">
        <v>66.969200000000001</v>
      </c>
      <c r="R44" t="s">
        <v>15</v>
      </c>
      <c r="S44">
        <v>25253234.8706</v>
      </c>
      <c r="T44">
        <v>37803655.313500002</v>
      </c>
      <c r="U44">
        <v>44687718.968999997</v>
      </c>
      <c r="V44">
        <v>51783047.230400003</v>
      </c>
      <c r="W44">
        <v>57141623.799900003</v>
      </c>
      <c r="X44">
        <v>371.42610000000002</v>
      </c>
      <c r="Y44">
        <v>549.30690000000004</v>
      </c>
      <c r="Z44">
        <v>637.66420000000005</v>
      </c>
      <c r="AA44">
        <v>718.10680000000002</v>
      </c>
      <c r="AB44">
        <v>785.4307</v>
      </c>
      <c r="AC44">
        <v>29.5961</v>
      </c>
      <c r="AD44">
        <v>44.333599999999997</v>
      </c>
      <c r="AE44">
        <v>52.383000000000003</v>
      </c>
      <c r="AF44">
        <v>60.683100000000003</v>
      </c>
      <c r="AG44">
        <v>66.969200000000001</v>
      </c>
      <c r="AI44" t="s">
        <v>15</v>
      </c>
      <c r="AJ44">
        <v>22755484.6635</v>
      </c>
      <c r="AK44">
        <v>31523847.467599999</v>
      </c>
      <c r="AL44">
        <v>36186672.707999997</v>
      </c>
      <c r="AM44">
        <v>41128688.220200002</v>
      </c>
      <c r="AN44">
        <v>44323926.007299997</v>
      </c>
      <c r="AO44">
        <v>345.45240000000001</v>
      </c>
      <c r="AP44">
        <v>482.56709999999998</v>
      </c>
      <c r="AQ44">
        <v>553.63779999999997</v>
      </c>
      <c r="AR44">
        <v>621.1653</v>
      </c>
      <c r="AS44">
        <v>674.90909999999997</v>
      </c>
      <c r="AT44">
        <v>26.735199999999999</v>
      </c>
      <c r="AU44">
        <v>37.121200000000002</v>
      </c>
      <c r="AV44">
        <v>42.654000000000003</v>
      </c>
      <c r="AW44">
        <v>48.533099999999997</v>
      </c>
      <c r="AX44">
        <v>52.381599999999999</v>
      </c>
      <c r="AZ44" t="s">
        <v>15</v>
      </c>
      <c r="BA44">
        <v>24324012.6741</v>
      </c>
      <c r="BB44">
        <v>34777272.211199999</v>
      </c>
      <c r="BC44">
        <v>41165930.104500003</v>
      </c>
      <c r="BD44">
        <v>48318886.494900003</v>
      </c>
      <c r="BE44">
        <v>53889800.0902</v>
      </c>
      <c r="BF44">
        <v>369.26429999999999</v>
      </c>
      <c r="BG44">
        <v>532.37049999999999</v>
      </c>
      <c r="BH44">
        <v>629.81790000000001</v>
      </c>
      <c r="BI44">
        <v>729.7586</v>
      </c>
      <c r="BJ44">
        <v>820.56619999999998</v>
      </c>
      <c r="BK44">
        <v>28.578099999999999</v>
      </c>
      <c r="BL44">
        <v>40.952300000000001</v>
      </c>
      <c r="BM44">
        <v>48.523099999999999</v>
      </c>
      <c r="BN44">
        <v>57.017699999999998</v>
      </c>
      <c r="BO44">
        <v>63.686399999999999</v>
      </c>
      <c r="BQ44" t="s">
        <v>15</v>
      </c>
      <c r="BR44">
        <v>25343943.130100001</v>
      </c>
      <c r="BS44">
        <v>36697985.193300001</v>
      </c>
      <c r="BT44">
        <v>43982838.161799997</v>
      </c>
      <c r="BU44">
        <v>52207952.185999997</v>
      </c>
      <c r="BV44">
        <v>58950158.427000001</v>
      </c>
      <c r="BW44">
        <v>368.98309999999998</v>
      </c>
      <c r="BX44">
        <v>532.00160000000005</v>
      </c>
      <c r="BY44">
        <v>629.51549999999997</v>
      </c>
      <c r="BZ44">
        <v>729.47040000000004</v>
      </c>
      <c r="CA44">
        <v>820.24360000000001</v>
      </c>
      <c r="CB44">
        <v>29.7821</v>
      </c>
      <c r="CC44">
        <v>43.222499999999997</v>
      </c>
      <c r="CD44">
        <v>51.853200000000001</v>
      </c>
      <c r="CE44">
        <v>61.617899999999999</v>
      </c>
      <c r="CF44">
        <v>69.679100000000005</v>
      </c>
    </row>
    <row r="45" spans="1:110" x14ac:dyDescent="0.35">
      <c r="A45" t="s">
        <v>7</v>
      </c>
      <c r="B45">
        <v>10651838.4597</v>
      </c>
      <c r="C45">
        <v>10304678.7631</v>
      </c>
      <c r="D45">
        <v>9024077.9138999991</v>
      </c>
      <c r="E45">
        <v>8562832.6328999996</v>
      </c>
      <c r="F45">
        <v>8883282.6009</v>
      </c>
      <c r="G45">
        <v>463.07839999999999</v>
      </c>
      <c r="H45">
        <v>532.3433</v>
      </c>
      <c r="I45">
        <v>568.47770000000003</v>
      </c>
      <c r="J45">
        <v>584.58789999999999</v>
      </c>
      <c r="K45">
        <v>592.96879999999999</v>
      </c>
      <c r="L45">
        <v>51.005200000000002</v>
      </c>
      <c r="M45">
        <v>49.453600000000002</v>
      </c>
      <c r="N45">
        <v>43.307299999999998</v>
      </c>
      <c r="O45">
        <v>41.052100000000003</v>
      </c>
      <c r="P45">
        <v>42.516800000000003</v>
      </c>
      <c r="R45" t="s">
        <v>7</v>
      </c>
      <c r="S45">
        <v>10651838.4597</v>
      </c>
      <c r="T45">
        <v>10304678.7631</v>
      </c>
      <c r="U45">
        <v>9024077.9138999991</v>
      </c>
      <c r="V45">
        <v>8562832.6328999996</v>
      </c>
      <c r="W45">
        <v>8883282.6009</v>
      </c>
      <c r="X45">
        <v>463.07839999999999</v>
      </c>
      <c r="Y45">
        <v>532.3433</v>
      </c>
      <c r="Z45">
        <v>568.47770000000003</v>
      </c>
      <c r="AA45">
        <v>584.58789999999999</v>
      </c>
      <c r="AB45">
        <v>592.96879999999999</v>
      </c>
      <c r="AC45">
        <v>51.005200000000002</v>
      </c>
      <c r="AD45">
        <v>49.453600000000002</v>
      </c>
      <c r="AE45">
        <v>43.307299999999998</v>
      </c>
      <c r="AF45">
        <v>41.052100000000003</v>
      </c>
      <c r="AG45">
        <v>42.516800000000003</v>
      </c>
      <c r="AI45" t="s">
        <v>7</v>
      </c>
      <c r="AJ45">
        <v>10651838.4597</v>
      </c>
      <c r="AK45">
        <v>10304678.7631</v>
      </c>
      <c r="AL45">
        <v>9024077.9138999991</v>
      </c>
      <c r="AM45">
        <v>8562832.6328999996</v>
      </c>
      <c r="AN45">
        <v>8883282.6009</v>
      </c>
      <c r="AO45">
        <v>463.07839999999999</v>
      </c>
      <c r="AP45">
        <v>532.3433</v>
      </c>
      <c r="AQ45">
        <v>568.47770000000003</v>
      </c>
      <c r="AR45">
        <v>584.58789999999999</v>
      </c>
      <c r="AS45">
        <v>592.96879999999999</v>
      </c>
      <c r="AT45">
        <v>51.005200000000002</v>
      </c>
      <c r="AU45">
        <v>49.453600000000002</v>
      </c>
      <c r="AV45">
        <v>43.307299999999998</v>
      </c>
      <c r="AW45">
        <v>41.052100000000003</v>
      </c>
      <c r="AX45">
        <v>42.516800000000003</v>
      </c>
      <c r="AZ45" t="s">
        <v>7</v>
      </c>
      <c r="BA45">
        <v>11209947.3857</v>
      </c>
      <c r="BB45">
        <v>11170486.885600001</v>
      </c>
      <c r="BC45">
        <v>10098644.817299999</v>
      </c>
      <c r="BD45">
        <v>9922496.5306000002</v>
      </c>
      <c r="BE45">
        <v>10688305.4714</v>
      </c>
      <c r="BF45">
        <v>487.34160000000003</v>
      </c>
      <c r="BG45">
        <v>577.07129999999995</v>
      </c>
      <c r="BH45">
        <v>636.17070000000001</v>
      </c>
      <c r="BI45">
        <v>677.41269999999997</v>
      </c>
      <c r="BJ45">
        <v>713.45609999999999</v>
      </c>
      <c r="BK45">
        <v>53.677700000000002</v>
      </c>
      <c r="BL45">
        <v>53.608800000000002</v>
      </c>
      <c r="BM45">
        <v>48.464300000000001</v>
      </c>
      <c r="BN45">
        <v>47.570700000000002</v>
      </c>
      <c r="BO45">
        <v>51.155900000000003</v>
      </c>
      <c r="BQ45" t="s">
        <v>7</v>
      </c>
      <c r="BR45">
        <v>11474307.811100001</v>
      </c>
      <c r="BS45">
        <v>11588711.0175</v>
      </c>
      <c r="BT45">
        <v>10686531.908299999</v>
      </c>
      <c r="BU45">
        <v>10676005.5462</v>
      </c>
      <c r="BV45">
        <v>11607645.5261</v>
      </c>
      <c r="BW45">
        <v>485.11590000000001</v>
      </c>
      <c r="BX45">
        <v>573.4153</v>
      </c>
      <c r="BY45">
        <v>631.09760000000006</v>
      </c>
      <c r="BZ45">
        <v>670.90039999999999</v>
      </c>
      <c r="CA45">
        <v>705.76790000000005</v>
      </c>
      <c r="CB45">
        <v>54.964700000000001</v>
      </c>
      <c r="CC45">
        <v>55.638599999999997</v>
      </c>
      <c r="CD45">
        <v>51.307000000000002</v>
      </c>
      <c r="CE45">
        <v>51.205399999999997</v>
      </c>
      <c r="CF45">
        <v>55.582900000000002</v>
      </c>
    </row>
    <row r="46" spans="1:110" x14ac:dyDescent="0.35">
      <c r="A46" t="s">
        <v>17</v>
      </c>
      <c r="B46">
        <v>77018019.043599993</v>
      </c>
      <c r="C46">
        <v>81747590.400900006</v>
      </c>
      <c r="D46">
        <v>82174205.319100007</v>
      </c>
      <c r="E46">
        <v>84364797.775000006</v>
      </c>
      <c r="F46">
        <v>87342356.239099994</v>
      </c>
      <c r="G46">
        <v>3822.9158000000002</v>
      </c>
      <c r="H46">
        <v>3946.4765000000002</v>
      </c>
      <c r="I46">
        <v>3913.3189000000002</v>
      </c>
      <c r="J46">
        <v>3915.9119000000001</v>
      </c>
      <c r="K46">
        <v>3920.8353999999999</v>
      </c>
      <c r="L46">
        <v>3582.1304</v>
      </c>
      <c r="M46">
        <v>3666.5064000000002</v>
      </c>
      <c r="N46">
        <v>3587.0807</v>
      </c>
      <c r="O46">
        <v>3585.4711000000002</v>
      </c>
      <c r="P46">
        <v>3583.3910000000001</v>
      </c>
      <c r="R46" t="s">
        <v>17</v>
      </c>
      <c r="S46">
        <v>77018019.043599993</v>
      </c>
      <c r="T46">
        <v>81747590.400900006</v>
      </c>
      <c r="U46">
        <v>82174205.319100007</v>
      </c>
      <c r="V46">
        <v>84364797.775000006</v>
      </c>
      <c r="W46">
        <v>87342356.239099994</v>
      </c>
      <c r="X46">
        <v>3822.9158000000002</v>
      </c>
      <c r="Y46">
        <v>3946.4765000000002</v>
      </c>
      <c r="Z46">
        <v>3913.3189000000002</v>
      </c>
      <c r="AA46">
        <v>3915.9119000000001</v>
      </c>
      <c r="AB46">
        <v>3920.8353999999999</v>
      </c>
      <c r="AC46">
        <v>3582.1304</v>
      </c>
      <c r="AD46">
        <v>3666.5064000000002</v>
      </c>
      <c r="AE46">
        <v>3587.0807</v>
      </c>
      <c r="AF46">
        <v>3585.4711000000002</v>
      </c>
      <c r="AG46">
        <v>3583.3910000000001</v>
      </c>
      <c r="AI46" t="s">
        <v>17</v>
      </c>
      <c r="AJ46">
        <v>77018019.043599993</v>
      </c>
      <c r="AK46">
        <v>81747590.400900006</v>
      </c>
      <c r="AL46">
        <v>82174205.319100007</v>
      </c>
      <c r="AM46">
        <v>84364797.775000006</v>
      </c>
      <c r="AN46">
        <v>87342356.239099994</v>
      </c>
      <c r="AO46">
        <v>3822.9158000000002</v>
      </c>
      <c r="AP46">
        <v>3946.4765000000002</v>
      </c>
      <c r="AQ46">
        <v>3913.3189000000002</v>
      </c>
      <c r="AR46">
        <v>3915.9119000000001</v>
      </c>
      <c r="AS46">
        <v>3920.8353999999999</v>
      </c>
      <c r="AT46">
        <v>3582.1304</v>
      </c>
      <c r="AU46">
        <v>3666.5064000000002</v>
      </c>
      <c r="AV46">
        <v>3587.0807</v>
      </c>
      <c r="AW46">
        <v>3585.4711000000002</v>
      </c>
      <c r="AX46">
        <v>3583.3910000000001</v>
      </c>
      <c r="AZ46" t="s">
        <v>17</v>
      </c>
      <c r="BA46">
        <v>82516848.227599993</v>
      </c>
      <c r="BB46">
        <v>90050882.283600003</v>
      </c>
      <c r="BC46">
        <v>93470738.973000005</v>
      </c>
      <c r="BD46">
        <v>101814293.63410001</v>
      </c>
      <c r="BE46">
        <v>114006300.2052</v>
      </c>
      <c r="BF46">
        <v>4095.8591999999999</v>
      </c>
      <c r="BG46">
        <v>4347.3293000000003</v>
      </c>
      <c r="BH46">
        <v>4451.2851000000001</v>
      </c>
      <c r="BI46">
        <v>4725.8549999999996</v>
      </c>
      <c r="BJ46">
        <v>5117.7911000000004</v>
      </c>
      <c r="BK46">
        <v>3837.8825999999999</v>
      </c>
      <c r="BL46">
        <v>4038.922</v>
      </c>
      <c r="BM46">
        <v>4080.1986999999999</v>
      </c>
      <c r="BN46">
        <v>4327.0679</v>
      </c>
      <c r="BO46">
        <v>4677.3315000000002</v>
      </c>
      <c r="BQ46" t="s">
        <v>17</v>
      </c>
      <c r="BR46">
        <v>82747019.801200002</v>
      </c>
      <c r="BS46">
        <v>90400213.867300004</v>
      </c>
      <c r="BT46">
        <v>93939949.717299998</v>
      </c>
      <c r="BU46">
        <v>102435974.0786</v>
      </c>
      <c r="BV46">
        <v>114827113.8827</v>
      </c>
      <c r="BW46">
        <v>4094.5749000000001</v>
      </c>
      <c r="BX46">
        <v>4346.6864999999998</v>
      </c>
      <c r="BY46">
        <v>4450.4772999999996</v>
      </c>
      <c r="BZ46">
        <v>4724.8878999999997</v>
      </c>
      <c r="CA46">
        <v>5116.6415999999999</v>
      </c>
      <c r="CB46">
        <v>3850.866</v>
      </c>
      <c r="CC46">
        <v>4057.6658000000002</v>
      </c>
      <c r="CD46">
        <v>4103.6822000000002</v>
      </c>
      <c r="CE46">
        <v>4356.6288000000004</v>
      </c>
      <c r="CF46">
        <v>4714.3688000000002</v>
      </c>
    </row>
    <row r="47" spans="1:110" x14ac:dyDescent="0.35">
      <c r="A47" t="s">
        <v>18</v>
      </c>
      <c r="B47">
        <v>312675531.7349</v>
      </c>
      <c r="C47">
        <v>413208445.08840001</v>
      </c>
      <c r="D47">
        <v>463178132.74059999</v>
      </c>
      <c r="E47">
        <v>514847040.43910003</v>
      </c>
      <c r="F47">
        <v>567625597.78289998</v>
      </c>
      <c r="G47">
        <v>425.23689999999999</v>
      </c>
      <c r="H47">
        <v>507.25889999999998</v>
      </c>
      <c r="I47">
        <v>527.31579999999997</v>
      </c>
      <c r="J47">
        <v>545.3229</v>
      </c>
      <c r="K47">
        <v>558.90390000000002</v>
      </c>
      <c r="L47">
        <v>72.717200000000005</v>
      </c>
      <c r="M47">
        <v>93.127600000000001</v>
      </c>
      <c r="N47">
        <v>101.5351</v>
      </c>
      <c r="O47">
        <v>109.9695</v>
      </c>
      <c r="P47">
        <v>118.2932</v>
      </c>
      <c r="R47" t="s">
        <v>18</v>
      </c>
      <c r="S47">
        <v>312675531.7349</v>
      </c>
      <c r="T47">
        <v>413208445.08840001</v>
      </c>
      <c r="U47">
        <v>463178132.74059999</v>
      </c>
      <c r="V47">
        <v>514847040.43910003</v>
      </c>
      <c r="W47">
        <v>567625597.78289998</v>
      </c>
      <c r="X47">
        <v>425.23689999999999</v>
      </c>
      <c r="Y47">
        <v>507.25889999999998</v>
      </c>
      <c r="Z47">
        <v>527.31579999999997</v>
      </c>
      <c r="AA47">
        <v>545.3229</v>
      </c>
      <c r="AB47">
        <v>558.90390000000002</v>
      </c>
      <c r="AC47">
        <v>72.717200000000005</v>
      </c>
      <c r="AD47">
        <v>93.127600000000001</v>
      </c>
      <c r="AE47">
        <v>101.5351</v>
      </c>
      <c r="AF47">
        <v>109.9695</v>
      </c>
      <c r="AG47">
        <v>118.2932</v>
      </c>
      <c r="AI47" t="s">
        <v>18</v>
      </c>
      <c r="AJ47">
        <v>294096101.34469998</v>
      </c>
      <c r="AK47">
        <v>367081595.73460001</v>
      </c>
      <c r="AL47">
        <v>400883580.44400001</v>
      </c>
      <c r="AM47">
        <v>436950798.88440001</v>
      </c>
      <c r="AN47">
        <v>474117640.9368</v>
      </c>
      <c r="AO47">
        <v>424.3263</v>
      </c>
      <c r="AP47">
        <v>492.76139999999998</v>
      </c>
      <c r="AQ47">
        <v>511.1019</v>
      </c>
      <c r="AR47">
        <v>528.61749999999995</v>
      </c>
      <c r="AS47">
        <v>542.11009999999999</v>
      </c>
      <c r="AT47">
        <v>69.074299999999994</v>
      </c>
      <c r="AU47">
        <v>84.050899999999999</v>
      </c>
      <c r="AV47">
        <v>89.7286</v>
      </c>
      <c r="AW47">
        <v>95.734300000000005</v>
      </c>
      <c r="AX47">
        <v>101.798</v>
      </c>
      <c r="AZ47" t="s">
        <v>18</v>
      </c>
      <c r="BA47">
        <v>314979810.04750001</v>
      </c>
      <c r="BB47">
        <v>405136341.55940002</v>
      </c>
      <c r="BC47">
        <v>456454690.79720002</v>
      </c>
      <c r="BD47">
        <v>519428473.8506</v>
      </c>
      <c r="BE47">
        <v>592600239.78250003</v>
      </c>
      <c r="BF47">
        <v>454.45760000000001</v>
      </c>
      <c r="BG47">
        <v>543.84519999999998</v>
      </c>
      <c r="BH47">
        <v>581.95159999999998</v>
      </c>
      <c r="BI47">
        <v>628.39790000000005</v>
      </c>
      <c r="BJ47">
        <v>677.58410000000003</v>
      </c>
      <c r="BK47">
        <v>73.979299999999995</v>
      </c>
      <c r="BL47">
        <v>92.764300000000006</v>
      </c>
      <c r="BM47">
        <v>102.1669</v>
      </c>
      <c r="BN47">
        <v>113.8048</v>
      </c>
      <c r="BO47">
        <v>127.23739999999999</v>
      </c>
      <c r="BQ47" t="s">
        <v>18</v>
      </c>
      <c r="BR47">
        <v>319219437.14859998</v>
      </c>
      <c r="BS47">
        <v>412690080.47539997</v>
      </c>
      <c r="BT47">
        <v>467275239.53430003</v>
      </c>
      <c r="BU47">
        <v>534120118.65130001</v>
      </c>
      <c r="BV47">
        <v>611705026.69130003</v>
      </c>
      <c r="BW47">
        <v>452.58769999999998</v>
      </c>
      <c r="BX47">
        <v>541.8193</v>
      </c>
      <c r="BY47">
        <v>579.87509999999997</v>
      </c>
      <c r="BZ47">
        <v>626.18589999999995</v>
      </c>
      <c r="CA47">
        <v>675.1789</v>
      </c>
      <c r="CB47">
        <v>75.022099999999995</v>
      </c>
      <c r="CC47">
        <v>94.557199999999995</v>
      </c>
      <c r="CD47">
        <v>104.6615</v>
      </c>
      <c r="CE47">
        <v>117.108</v>
      </c>
      <c r="CF47">
        <v>131.43870000000001</v>
      </c>
    </row>
    <row r="51" spans="1:110" x14ac:dyDescent="0.35">
      <c r="B51" t="s">
        <v>23</v>
      </c>
      <c r="S51" t="s">
        <v>23</v>
      </c>
      <c r="AJ51" t="s">
        <v>23</v>
      </c>
      <c r="BA51" t="s">
        <v>23</v>
      </c>
      <c r="BR51" t="s">
        <v>23</v>
      </c>
      <c r="CH51" t="s">
        <v>82</v>
      </c>
      <c r="CV51" t="s">
        <v>23</v>
      </c>
      <c r="DB51" t="s">
        <v>24</v>
      </c>
    </row>
    <row r="52" spans="1:110" x14ac:dyDescent="0.35">
      <c r="B52" t="s">
        <v>25</v>
      </c>
      <c r="G52" t="s">
        <v>26</v>
      </c>
      <c r="L52" t="s">
        <v>18</v>
      </c>
      <c r="S52" t="s">
        <v>25</v>
      </c>
      <c r="X52" t="s">
        <v>26</v>
      </c>
      <c r="AC52" t="s">
        <v>18</v>
      </c>
      <c r="AJ52" t="s">
        <v>25</v>
      </c>
      <c r="AO52" t="s">
        <v>26</v>
      </c>
      <c r="AT52" t="s">
        <v>18</v>
      </c>
      <c r="BA52" t="s">
        <v>25</v>
      </c>
      <c r="BF52" t="s">
        <v>26</v>
      </c>
      <c r="BK52" t="s">
        <v>18</v>
      </c>
      <c r="BR52" t="s">
        <v>25</v>
      </c>
      <c r="BW52" t="s">
        <v>26</v>
      </c>
      <c r="CB52" t="s">
        <v>18</v>
      </c>
      <c r="CH52" t="s">
        <v>23</v>
      </c>
      <c r="CK52" t="s">
        <v>27</v>
      </c>
      <c r="CN52" t="s">
        <v>8</v>
      </c>
      <c r="CV52" t="s">
        <v>5</v>
      </c>
      <c r="DB52" t="s">
        <v>28</v>
      </c>
    </row>
    <row r="53" spans="1:110" x14ac:dyDescent="0.35">
      <c r="B53" t="s">
        <v>80</v>
      </c>
      <c r="C53" t="s">
        <v>79</v>
      </c>
      <c r="D53" t="s">
        <v>78</v>
      </c>
      <c r="E53" t="s">
        <v>77</v>
      </c>
      <c r="F53" t="s">
        <v>76</v>
      </c>
      <c r="G53" t="s">
        <v>80</v>
      </c>
      <c r="H53" t="s">
        <v>79</v>
      </c>
      <c r="I53" t="s">
        <v>78</v>
      </c>
      <c r="J53" t="s">
        <v>77</v>
      </c>
      <c r="K53" t="s">
        <v>76</v>
      </c>
      <c r="L53" t="s">
        <v>80</v>
      </c>
      <c r="M53" t="s">
        <v>79</v>
      </c>
      <c r="N53" t="s">
        <v>78</v>
      </c>
      <c r="O53" t="s">
        <v>77</v>
      </c>
      <c r="P53" t="s">
        <v>76</v>
      </c>
      <c r="S53" t="s">
        <v>80</v>
      </c>
      <c r="T53" t="s">
        <v>79</v>
      </c>
      <c r="U53" t="s">
        <v>78</v>
      </c>
      <c r="V53" t="s">
        <v>77</v>
      </c>
      <c r="W53" t="s">
        <v>76</v>
      </c>
      <c r="X53" t="s">
        <v>80</v>
      </c>
      <c r="Y53" t="s">
        <v>79</v>
      </c>
      <c r="Z53" t="s">
        <v>78</v>
      </c>
      <c r="AA53" t="s">
        <v>77</v>
      </c>
      <c r="AB53" t="s">
        <v>76</v>
      </c>
      <c r="AC53" t="s">
        <v>80</v>
      </c>
      <c r="AD53" t="s">
        <v>79</v>
      </c>
      <c r="AE53" t="s">
        <v>78</v>
      </c>
      <c r="AF53" t="s">
        <v>77</v>
      </c>
      <c r="AG53" t="s">
        <v>76</v>
      </c>
      <c r="AJ53" t="s">
        <v>80</v>
      </c>
      <c r="AK53" t="s">
        <v>79</v>
      </c>
      <c r="AL53" t="s">
        <v>78</v>
      </c>
      <c r="AM53" t="s">
        <v>77</v>
      </c>
      <c r="AN53" t="s">
        <v>76</v>
      </c>
      <c r="AO53" t="s">
        <v>80</v>
      </c>
      <c r="AP53" t="s">
        <v>79</v>
      </c>
      <c r="AQ53" t="s">
        <v>78</v>
      </c>
      <c r="AR53" t="s">
        <v>77</v>
      </c>
      <c r="AS53" t="s">
        <v>76</v>
      </c>
      <c r="AT53" t="s">
        <v>80</v>
      </c>
      <c r="AU53" t="s">
        <v>79</v>
      </c>
      <c r="AV53" t="s">
        <v>78</v>
      </c>
      <c r="AW53" t="s">
        <v>77</v>
      </c>
      <c r="AX53" t="s">
        <v>76</v>
      </c>
      <c r="BA53" t="s">
        <v>80</v>
      </c>
      <c r="BB53" t="s">
        <v>79</v>
      </c>
      <c r="BC53" t="s">
        <v>78</v>
      </c>
      <c r="BD53" t="s">
        <v>77</v>
      </c>
      <c r="BE53" t="s">
        <v>76</v>
      </c>
      <c r="BF53" t="s">
        <v>80</v>
      </c>
      <c r="BG53" t="s">
        <v>79</v>
      </c>
      <c r="BH53" t="s">
        <v>78</v>
      </c>
      <c r="BI53" t="s">
        <v>77</v>
      </c>
      <c r="BJ53" t="s">
        <v>76</v>
      </c>
      <c r="BK53" t="s">
        <v>80</v>
      </c>
      <c r="BL53" t="s">
        <v>79</v>
      </c>
      <c r="BM53" t="s">
        <v>78</v>
      </c>
      <c r="BN53" t="s">
        <v>77</v>
      </c>
      <c r="BO53" t="s">
        <v>76</v>
      </c>
      <c r="BR53" t="s">
        <v>80</v>
      </c>
      <c r="BS53" t="s">
        <v>79</v>
      </c>
      <c r="BT53" t="s">
        <v>78</v>
      </c>
      <c r="BU53" t="s">
        <v>77</v>
      </c>
      <c r="BV53" t="s">
        <v>76</v>
      </c>
      <c r="BW53" t="s">
        <v>80</v>
      </c>
      <c r="BX53" t="s">
        <v>79</v>
      </c>
      <c r="BY53" t="s">
        <v>78</v>
      </c>
      <c r="BZ53" t="s">
        <v>77</v>
      </c>
      <c r="CA53" t="s">
        <v>76</v>
      </c>
      <c r="CB53" t="s">
        <v>80</v>
      </c>
      <c r="CC53" t="s">
        <v>79</v>
      </c>
      <c r="CD53" t="s">
        <v>78</v>
      </c>
      <c r="CE53" t="s">
        <v>77</v>
      </c>
      <c r="CF53" t="s">
        <v>76</v>
      </c>
      <c r="CH53" t="s">
        <v>25</v>
      </c>
      <c r="CI53" t="s">
        <v>26</v>
      </c>
      <c r="CJ53" t="s">
        <v>18</v>
      </c>
      <c r="CK53" t="s">
        <v>25</v>
      </c>
      <c r="CL53" t="s">
        <v>26</v>
      </c>
      <c r="CM53" t="s">
        <v>18</v>
      </c>
      <c r="CN53" t="s">
        <v>25</v>
      </c>
      <c r="CO53" t="s">
        <v>26</v>
      </c>
      <c r="CP53" t="s">
        <v>18</v>
      </c>
      <c r="CV53" t="s">
        <v>80</v>
      </c>
      <c r="CW53" t="s">
        <v>79</v>
      </c>
      <c r="CX53" t="s">
        <v>78</v>
      </c>
      <c r="CY53" t="s">
        <v>77</v>
      </c>
      <c r="CZ53" t="s">
        <v>76</v>
      </c>
      <c r="DB53" t="s">
        <v>80</v>
      </c>
      <c r="DC53" t="s">
        <v>79</v>
      </c>
      <c r="DD53" t="s">
        <v>78</v>
      </c>
      <c r="DE53" t="s">
        <v>77</v>
      </c>
      <c r="DF53" t="s">
        <v>76</v>
      </c>
    </row>
    <row r="54" spans="1:110" x14ac:dyDescent="0.35">
      <c r="A54" t="s">
        <v>14</v>
      </c>
      <c r="B54">
        <v>2592126.4665512196</v>
      </c>
      <c r="C54">
        <v>2647941.654051003</v>
      </c>
      <c r="D54">
        <v>2705960.4917510212</v>
      </c>
      <c r="E54">
        <v>2760466.2958510672</v>
      </c>
      <c r="F54">
        <v>2806305.9704225394</v>
      </c>
      <c r="G54">
        <v>624158.77505391138</v>
      </c>
      <c r="H54">
        <v>705698.9124020614</v>
      </c>
      <c r="I54">
        <v>771416.47032181744</v>
      </c>
      <c r="J54">
        <v>835811.84669114847</v>
      </c>
      <c r="K54">
        <v>905595.55145069899</v>
      </c>
      <c r="L54">
        <v>3216285.241605131</v>
      </c>
      <c r="M54">
        <v>3353640.5664530643</v>
      </c>
      <c r="N54">
        <v>3477376.9620728386</v>
      </c>
      <c r="O54">
        <v>3596278.1425422155</v>
      </c>
      <c r="P54">
        <v>3711901.5218732385</v>
      </c>
      <c r="R54" t="s">
        <v>14</v>
      </c>
      <c r="S54">
        <v>2592126.4665512196</v>
      </c>
      <c r="T54">
        <v>2647941.654051003</v>
      </c>
      <c r="U54">
        <v>2705960.4917510212</v>
      </c>
      <c r="V54">
        <v>2760466.2958510672</v>
      </c>
      <c r="W54">
        <v>2806305.9704225394</v>
      </c>
      <c r="X54">
        <v>624158.77505391138</v>
      </c>
      <c r="Y54">
        <v>705698.9124020614</v>
      </c>
      <c r="Z54">
        <v>771416.47032181744</v>
      </c>
      <c r="AA54">
        <v>835811.84669114847</v>
      </c>
      <c r="AB54">
        <v>905595.55145069899</v>
      </c>
      <c r="AC54">
        <v>3216285.241605131</v>
      </c>
      <c r="AD54">
        <v>3353640.5664530643</v>
      </c>
      <c r="AE54">
        <v>3477376.9620728386</v>
      </c>
      <c r="AF54">
        <v>3596278.1425422155</v>
      </c>
      <c r="AG54">
        <v>3711901.5218732385</v>
      </c>
      <c r="AI54" t="s">
        <v>14</v>
      </c>
      <c r="AJ54">
        <v>2592126.4665512196</v>
      </c>
      <c r="AK54">
        <v>2647941.654051003</v>
      </c>
      <c r="AL54">
        <v>2705960.4917510212</v>
      </c>
      <c r="AM54">
        <v>2760466.2958510672</v>
      </c>
      <c r="AN54">
        <v>2806305.9704225394</v>
      </c>
      <c r="AO54">
        <v>584069.33203714178</v>
      </c>
      <c r="AP54">
        <v>639551.3314243916</v>
      </c>
      <c r="AQ54">
        <v>682117.23600196291</v>
      </c>
      <c r="AR54">
        <v>724187.80379133031</v>
      </c>
      <c r="AS54">
        <v>771646.69997091743</v>
      </c>
      <c r="AT54">
        <v>3176195.7985883616</v>
      </c>
      <c r="AU54">
        <v>3287492.9854753949</v>
      </c>
      <c r="AV54">
        <v>3388077.727752984</v>
      </c>
      <c r="AW54">
        <v>3484654.0996423974</v>
      </c>
      <c r="AX54">
        <v>3577952.6703934567</v>
      </c>
      <c r="AZ54" t="s">
        <v>14</v>
      </c>
      <c r="BA54">
        <v>2592126.4665512196</v>
      </c>
      <c r="BB54">
        <v>2647941.654051003</v>
      </c>
      <c r="BC54">
        <v>2705960.4917510212</v>
      </c>
      <c r="BD54">
        <v>2760466.2958510672</v>
      </c>
      <c r="BE54">
        <v>2806305.9704225394</v>
      </c>
      <c r="BF54">
        <v>584069.33203714178</v>
      </c>
      <c r="BG54">
        <v>639551.3314243916</v>
      </c>
      <c r="BH54">
        <v>682117.23600196291</v>
      </c>
      <c r="BI54">
        <v>724187.80379133031</v>
      </c>
      <c r="BJ54">
        <v>771646.69997091743</v>
      </c>
      <c r="BK54">
        <v>3176195.7985883616</v>
      </c>
      <c r="BL54">
        <v>3287492.9854753949</v>
      </c>
      <c r="BM54">
        <v>3388077.727752984</v>
      </c>
      <c r="BN54">
        <v>3484654.0996423974</v>
      </c>
      <c r="BO54">
        <v>3577952.6703934567</v>
      </c>
      <c r="BQ54" t="s">
        <v>14</v>
      </c>
      <c r="BR54">
        <v>2581009.7812561602</v>
      </c>
      <c r="BS54">
        <v>2633147.9356163638</v>
      </c>
      <c r="BT54">
        <v>2687326.0642483798</v>
      </c>
      <c r="BU54">
        <v>2737816.0442033918</v>
      </c>
      <c r="BV54">
        <v>2779471.3253945885</v>
      </c>
      <c r="BW54">
        <v>592773.01576726744</v>
      </c>
      <c r="BX54">
        <v>651686.30335755972</v>
      </c>
      <c r="BY54">
        <v>697911.59173103678</v>
      </c>
      <c r="BZ54">
        <v>743811.07925484551</v>
      </c>
      <c r="CA54">
        <v>795231.70167801995</v>
      </c>
      <c r="CB54">
        <v>3173782.7970234277</v>
      </c>
      <c r="CC54">
        <v>3284834.2389739235</v>
      </c>
      <c r="CD54">
        <v>3385237.6559794163</v>
      </c>
      <c r="CE54">
        <v>3481627.1234582374</v>
      </c>
      <c r="CF54">
        <v>3574703.0270726085</v>
      </c>
      <c r="CH54">
        <v>2526255</v>
      </c>
      <c r="CI54">
        <v>585383</v>
      </c>
      <c r="CJ54">
        <v>3111638</v>
      </c>
      <c r="CK54">
        <v>138377177.77000001</v>
      </c>
      <c r="CL54">
        <v>35650401.578000009</v>
      </c>
      <c r="CM54">
        <v>174027579.34800002</v>
      </c>
      <c r="CN54">
        <v>58214000</v>
      </c>
      <c r="CO54">
        <v>15490769</v>
      </c>
      <c r="CP54">
        <v>73704769</v>
      </c>
      <c r="CV54">
        <v>2413.0015649336033</v>
      </c>
      <c r="CW54">
        <v>2658.7465014710956</v>
      </c>
      <c r="CX54">
        <v>2840.0717735676226</v>
      </c>
      <c r="CY54">
        <v>3026.9761841603181</v>
      </c>
      <c r="CZ54">
        <v>3249.6433208483804</v>
      </c>
      <c r="DB54">
        <v>9.5547653699583931E-4</v>
      </c>
      <c r="DC54">
        <v>9.1724603132026814E-4</v>
      </c>
      <c r="DD54">
        <v>8.8233168038628885E-4</v>
      </c>
      <c r="DE54">
        <v>8.6818890409288063E-4</v>
      </c>
      <c r="DF54">
        <v>8.5912486564143924E-4</v>
      </c>
    </row>
    <row r="55" spans="1:110" x14ac:dyDescent="0.35">
      <c r="A55" t="s">
        <v>15</v>
      </c>
      <c r="B55">
        <v>785271.44253900682</v>
      </c>
      <c r="C55">
        <v>783888.6112271368</v>
      </c>
      <c r="D55">
        <v>783015.93236195843</v>
      </c>
      <c r="E55">
        <v>781224.46183043916</v>
      </c>
      <c r="F55">
        <v>780500.45897857298</v>
      </c>
      <c r="G55">
        <v>67989.931813416682</v>
      </c>
      <c r="H55">
        <v>68820.640485081487</v>
      </c>
      <c r="I55">
        <v>70080.330716107957</v>
      </c>
      <c r="J55">
        <v>72110.514056491797</v>
      </c>
      <c r="K55">
        <v>72751.958620568155</v>
      </c>
      <c r="L55">
        <v>853261.37435242347</v>
      </c>
      <c r="M55">
        <v>852709.25171221828</v>
      </c>
      <c r="N55">
        <v>853096.2630780664</v>
      </c>
      <c r="O55">
        <v>853334.97588693094</v>
      </c>
      <c r="P55">
        <v>853252.41759914113</v>
      </c>
      <c r="R55" t="s">
        <v>15</v>
      </c>
      <c r="S55">
        <v>785271.44253900682</v>
      </c>
      <c r="T55">
        <v>783888.6112271368</v>
      </c>
      <c r="U55">
        <v>783015.93236195843</v>
      </c>
      <c r="V55">
        <v>781224.46183043916</v>
      </c>
      <c r="W55">
        <v>780500.45897857298</v>
      </c>
      <c r="X55">
        <v>67989.931813416682</v>
      </c>
      <c r="Y55">
        <v>68820.640485081487</v>
      </c>
      <c r="Z55">
        <v>70080.330716107957</v>
      </c>
      <c r="AA55">
        <v>72110.514056491797</v>
      </c>
      <c r="AB55">
        <v>72751.958620568155</v>
      </c>
      <c r="AC55">
        <v>853261.37435242347</v>
      </c>
      <c r="AD55">
        <v>852709.25171221828</v>
      </c>
      <c r="AE55">
        <v>853096.2630780664</v>
      </c>
      <c r="AF55">
        <v>853334.97588693094</v>
      </c>
      <c r="AG55">
        <v>853252.41759914113</v>
      </c>
      <c r="AI55" t="s">
        <v>15</v>
      </c>
      <c r="AJ55">
        <v>785271.44253900682</v>
      </c>
      <c r="AK55">
        <v>783888.6112271368</v>
      </c>
      <c r="AL55">
        <v>783015.93236195843</v>
      </c>
      <c r="AM55">
        <v>781224.46183043916</v>
      </c>
      <c r="AN55">
        <v>780500.45897857298</v>
      </c>
      <c r="AO55">
        <v>65871.552059234935</v>
      </c>
      <c r="AP55">
        <v>65325.313890681631</v>
      </c>
      <c r="AQ55">
        <v>65361.639813668087</v>
      </c>
      <c r="AR55">
        <v>66212.150428442008</v>
      </c>
      <c r="AS55">
        <v>65673.922266908368</v>
      </c>
      <c r="AT55">
        <v>851142.99459824176</v>
      </c>
      <c r="AU55">
        <v>849213.92511781841</v>
      </c>
      <c r="AV55">
        <v>848377.57217562653</v>
      </c>
      <c r="AW55">
        <v>847436.61225888121</v>
      </c>
      <c r="AX55">
        <v>846174.38124548132</v>
      </c>
      <c r="AZ55" t="s">
        <v>15</v>
      </c>
      <c r="BA55">
        <v>785271.44253900682</v>
      </c>
      <c r="BB55">
        <v>783888.6112271368</v>
      </c>
      <c r="BC55">
        <v>783015.93236195843</v>
      </c>
      <c r="BD55">
        <v>781224.46183043916</v>
      </c>
      <c r="BE55">
        <v>780500.45897857298</v>
      </c>
      <c r="BF55">
        <v>65871.552059234935</v>
      </c>
      <c r="BG55">
        <v>65325.313890681631</v>
      </c>
      <c r="BH55">
        <v>65361.639813668087</v>
      </c>
      <c r="BI55">
        <v>66212.150428442008</v>
      </c>
      <c r="BJ55">
        <v>65673.922266908368</v>
      </c>
      <c r="BK55">
        <v>851142.99459824176</v>
      </c>
      <c r="BL55">
        <v>849213.92511781841</v>
      </c>
      <c r="BM55">
        <v>848377.57217562653</v>
      </c>
      <c r="BN55">
        <v>847436.61225888121</v>
      </c>
      <c r="BO55">
        <v>846174.38124548132</v>
      </c>
      <c r="BQ55" t="s">
        <v>15</v>
      </c>
      <c r="BR55">
        <v>782292.44205791294</v>
      </c>
      <c r="BS55">
        <v>780067.14856410667</v>
      </c>
      <c r="BT55">
        <v>778349.8557149925</v>
      </c>
      <c r="BU55">
        <v>775716.12385075644</v>
      </c>
      <c r="BV55">
        <v>774154.15111923183</v>
      </c>
      <c r="BW55">
        <v>68685.913796543609</v>
      </c>
      <c r="BX55">
        <v>68980.97197249638</v>
      </c>
      <c r="BY55">
        <v>69867.763498998218</v>
      </c>
      <c r="BZ55">
        <v>71569.668338129472</v>
      </c>
      <c r="CA55">
        <v>71869.090066495279</v>
      </c>
      <c r="CB55">
        <v>850978.35585445655</v>
      </c>
      <c r="CC55">
        <v>849048.12053660303</v>
      </c>
      <c r="CD55">
        <v>848217.61921399075</v>
      </c>
      <c r="CE55">
        <v>847285.79218888585</v>
      </c>
      <c r="CF55">
        <v>846023.24118572706</v>
      </c>
      <c r="CH55">
        <v>785274</v>
      </c>
      <c r="CI55">
        <v>68428</v>
      </c>
      <c r="CJ55">
        <v>853702</v>
      </c>
      <c r="CK55">
        <v>79998076.140000001</v>
      </c>
      <c r="CL55">
        <v>4913788.6000000006</v>
      </c>
      <c r="CM55">
        <v>84911864.739999995</v>
      </c>
      <c r="CN55">
        <v>70339442</v>
      </c>
      <c r="CO55">
        <v>6124983</v>
      </c>
      <c r="CP55">
        <v>76464425</v>
      </c>
      <c r="CV55">
        <v>164.63874378517062</v>
      </c>
      <c r="CW55">
        <v>165.80458121542372</v>
      </c>
      <c r="CX55">
        <v>159.95296163581264</v>
      </c>
      <c r="CY55">
        <v>150.82006999526652</v>
      </c>
      <c r="CZ55">
        <v>151.14005975420099</v>
      </c>
      <c r="DB55">
        <v>4.2977596908328305E-4</v>
      </c>
      <c r="DC55">
        <v>4.4136453218884743E-4</v>
      </c>
      <c r="DD55">
        <v>3.298593038874309E-4</v>
      </c>
      <c r="DE55">
        <v>1.3606241526006315E-4</v>
      </c>
      <c r="DF55">
        <v>1.4069427764030877E-4</v>
      </c>
    </row>
    <row r="56" spans="1:110" x14ac:dyDescent="0.35">
      <c r="A56" t="s">
        <v>7</v>
      </c>
      <c r="B56">
        <v>185835.97541271744</v>
      </c>
      <c r="C56">
        <v>189013.2892999879</v>
      </c>
      <c r="D56">
        <v>192498.86901643567</v>
      </c>
      <c r="E56">
        <v>193936.76128459294</v>
      </c>
      <c r="F56">
        <v>193954.92430134738</v>
      </c>
      <c r="G56">
        <v>23002.235653617859</v>
      </c>
      <c r="H56">
        <v>19357.20440946268</v>
      </c>
      <c r="I56">
        <v>15874.110985044681</v>
      </c>
      <c r="J56">
        <v>14647.63838715079</v>
      </c>
      <c r="K56">
        <v>14981.027983037857</v>
      </c>
      <c r="L56">
        <v>208838.21106633529</v>
      </c>
      <c r="M56">
        <v>208370.49370945059</v>
      </c>
      <c r="N56">
        <v>208372.98000148035</v>
      </c>
      <c r="O56">
        <v>208584.39967174374</v>
      </c>
      <c r="P56">
        <v>208935.95228438522</v>
      </c>
      <c r="R56" t="s">
        <v>7</v>
      </c>
      <c r="S56">
        <v>185835.97541271744</v>
      </c>
      <c r="T56">
        <v>189013.2892999879</v>
      </c>
      <c r="U56">
        <v>192498.86901643567</v>
      </c>
      <c r="V56">
        <v>193936.76128459294</v>
      </c>
      <c r="W56">
        <v>193954.92430134738</v>
      </c>
      <c r="X56">
        <v>23002.235653617859</v>
      </c>
      <c r="Y56">
        <v>19357.20440946268</v>
      </c>
      <c r="Z56">
        <v>15874.110985044681</v>
      </c>
      <c r="AA56">
        <v>14647.63838715079</v>
      </c>
      <c r="AB56">
        <v>14981.027983037857</v>
      </c>
      <c r="AC56">
        <v>208838.21106633529</v>
      </c>
      <c r="AD56">
        <v>208370.49370945059</v>
      </c>
      <c r="AE56">
        <v>208372.98000148035</v>
      </c>
      <c r="AF56">
        <v>208584.39967174374</v>
      </c>
      <c r="AG56">
        <v>208935.95228438522</v>
      </c>
      <c r="AI56" t="s">
        <v>7</v>
      </c>
      <c r="AJ56">
        <v>185835.97541271744</v>
      </c>
      <c r="AK56">
        <v>189013.2892999879</v>
      </c>
      <c r="AL56">
        <v>192498.86901643567</v>
      </c>
      <c r="AM56">
        <v>193936.76128459294</v>
      </c>
      <c r="AN56">
        <v>193954.92430134738</v>
      </c>
      <c r="AO56">
        <v>23002.235653617859</v>
      </c>
      <c r="AP56">
        <v>19357.20440946268</v>
      </c>
      <c r="AQ56">
        <v>15874.110985044681</v>
      </c>
      <c r="AR56">
        <v>14647.63838715079</v>
      </c>
      <c r="AS56">
        <v>14981.027983037857</v>
      </c>
      <c r="AT56">
        <v>208838.21106633529</v>
      </c>
      <c r="AU56">
        <v>208370.49370945059</v>
      </c>
      <c r="AV56">
        <v>208372.98000148035</v>
      </c>
      <c r="AW56">
        <v>208584.39967174374</v>
      </c>
      <c r="AX56">
        <v>208935.95228438522</v>
      </c>
      <c r="AZ56" t="s">
        <v>7</v>
      </c>
      <c r="BA56">
        <v>185835.97541271744</v>
      </c>
      <c r="BB56">
        <v>189013.2892999879</v>
      </c>
      <c r="BC56">
        <v>192498.86901643567</v>
      </c>
      <c r="BD56">
        <v>193936.76128459294</v>
      </c>
      <c r="BE56">
        <v>193954.92430134738</v>
      </c>
      <c r="BF56">
        <v>23002.235653617859</v>
      </c>
      <c r="BG56">
        <v>19357.20440946268</v>
      </c>
      <c r="BH56">
        <v>15874.110985044681</v>
      </c>
      <c r="BI56">
        <v>14647.63838715079</v>
      </c>
      <c r="BJ56">
        <v>14981.027983037857</v>
      </c>
      <c r="BK56">
        <v>208838.21106633529</v>
      </c>
      <c r="BL56">
        <v>208370.49370945059</v>
      </c>
      <c r="BM56">
        <v>208372.98000148035</v>
      </c>
      <c r="BN56">
        <v>208584.39967174374</v>
      </c>
      <c r="BO56">
        <v>208935.95228438522</v>
      </c>
      <c r="BQ56" t="s">
        <v>7</v>
      </c>
      <c r="BR56">
        <v>185105.04167398525</v>
      </c>
      <c r="BS56">
        <v>188075.62207829536</v>
      </c>
      <c r="BT56">
        <v>191352.81762642754</v>
      </c>
      <c r="BU56">
        <v>192580.96268672662</v>
      </c>
      <c r="BV56">
        <v>192387.90465921449</v>
      </c>
      <c r="BW56">
        <v>23652.713986141887</v>
      </c>
      <c r="BX56">
        <v>20209.978194411498</v>
      </c>
      <c r="BY56">
        <v>16933.246654270992</v>
      </c>
      <c r="BZ56">
        <v>15912.951260713815</v>
      </c>
      <c r="CA56">
        <v>16446.831268385544</v>
      </c>
      <c r="CB56">
        <v>208757.75566012715</v>
      </c>
      <c r="CC56">
        <v>208285.60027270686</v>
      </c>
      <c r="CD56">
        <v>208286.06428069854</v>
      </c>
      <c r="CE56">
        <v>208493.91394744042</v>
      </c>
      <c r="CF56">
        <v>208834.73592760004</v>
      </c>
      <c r="CH56">
        <v>185119</v>
      </c>
      <c r="CI56">
        <v>24183</v>
      </c>
      <c r="CJ56">
        <v>209302</v>
      </c>
      <c r="CK56">
        <v>19444728.709999997</v>
      </c>
      <c r="CL56">
        <v>1526392.2999999998</v>
      </c>
      <c r="CM56">
        <v>20971121.009999998</v>
      </c>
      <c r="CN56">
        <v>15242491</v>
      </c>
      <c r="CO56">
        <v>2066594</v>
      </c>
      <c r="CP56">
        <v>17309085</v>
      </c>
      <c r="CV56">
        <v>80.45540620814441</v>
      </c>
      <c r="CW56">
        <v>84.893436743710978</v>
      </c>
      <c r="CX56">
        <v>86.915720781830402</v>
      </c>
      <c r="CY56">
        <v>90.485724303309908</v>
      </c>
      <c r="CZ56">
        <v>101.21635678520035</v>
      </c>
      <c r="DB56">
        <v>3.1238241707171421E-3</v>
      </c>
      <c r="DC56">
        <v>3.9356589533475813E-3</v>
      </c>
      <c r="DD56">
        <v>4.8976828802109549E-3</v>
      </c>
      <c r="DE56">
        <v>5.4634455030067412E-3</v>
      </c>
      <c r="DF56">
        <v>5.926767006804853E-3</v>
      </c>
    </row>
    <row r="57" spans="1:110" x14ac:dyDescent="0.35">
      <c r="A57" t="s">
        <v>17</v>
      </c>
      <c r="B57">
        <v>1354.2108287270912</v>
      </c>
      <c r="C57">
        <v>1581.7019739440902</v>
      </c>
      <c r="D57">
        <v>1909.7827385408561</v>
      </c>
      <c r="E57">
        <v>1985.5267306445312</v>
      </c>
      <c r="F57">
        <v>2097.752844755998</v>
      </c>
      <c r="G57">
        <v>20146.407424491834</v>
      </c>
      <c r="H57">
        <v>20714.069800300698</v>
      </c>
      <c r="I57">
        <v>20998.596548477697</v>
      </c>
      <c r="J57">
        <v>21544.100021049715</v>
      </c>
      <c r="K57">
        <v>22276.465957338169</v>
      </c>
      <c r="L57">
        <v>21500.618253218927</v>
      </c>
      <c r="M57">
        <v>22295.771774244789</v>
      </c>
      <c r="N57">
        <v>22908.379287018553</v>
      </c>
      <c r="O57">
        <v>23529.626751694246</v>
      </c>
      <c r="P57">
        <v>24374.218802094168</v>
      </c>
      <c r="R57" t="s">
        <v>17</v>
      </c>
      <c r="S57">
        <v>1354.2108287270912</v>
      </c>
      <c r="T57">
        <v>1581.7019739440902</v>
      </c>
      <c r="U57">
        <v>1909.7827385408561</v>
      </c>
      <c r="V57">
        <v>1985.5267306445312</v>
      </c>
      <c r="W57">
        <v>2097.752844755998</v>
      </c>
      <c r="X57">
        <v>20146.407424491834</v>
      </c>
      <c r="Y57">
        <v>20714.069800300698</v>
      </c>
      <c r="Z57">
        <v>20998.596548477697</v>
      </c>
      <c r="AA57">
        <v>21544.100021049715</v>
      </c>
      <c r="AB57">
        <v>22276.465957338169</v>
      </c>
      <c r="AC57">
        <v>21500.618253218927</v>
      </c>
      <c r="AD57">
        <v>22295.771774244789</v>
      </c>
      <c r="AE57">
        <v>22908.379287018553</v>
      </c>
      <c r="AF57">
        <v>23529.626751694246</v>
      </c>
      <c r="AG57">
        <v>24374.218802094168</v>
      </c>
      <c r="AI57" t="s">
        <v>17</v>
      </c>
      <c r="AJ57">
        <v>1354.2108287270912</v>
      </c>
      <c r="AK57">
        <v>1581.7019739440902</v>
      </c>
      <c r="AL57">
        <v>1909.7827385408561</v>
      </c>
      <c r="AM57">
        <v>1985.5267306445312</v>
      </c>
      <c r="AN57">
        <v>2097.752844755998</v>
      </c>
      <c r="AO57">
        <v>20146.407424491834</v>
      </c>
      <c r="AP57">
        <v>20714.069800300698</v>
      </c>
      <c r="AQ57">
        <v>20998.596548477697</v>
      </c>
      <c r="AR57">
        <v>21544.100021049715</v>
      </c>
      <c r="AS57">
        <v>22276.465957338169</v>
      </c>
      <c r="AT57">
        <v>21500.618253218927</v>
      </c>
      <c r="AU57">
        <v>22295.771774244789</v>
      </c>
      <c r="AV57">
        <v>22908.379287018553</v>
      </c>
      <c r="AW57">
        <v>23529.626751694246</v>
      </c>
      <c r="AX57">
        <v>24374.218802094168</v>
      </c>
      <c r="AZ57" t="s">
        <v>17</v>
      </c>
      <c r="BA57">
        <v>1354.2108287270912</v>
      </c>
      <c r="BB57">
        <v>1581.7019739440902</v>
      </c>
      <c r="BC57">
        <v>1909.7827385408561</v>
      </c>
      <c r="BD57">
        <v>1985.5267306445312</v>
      </c>
      <c r="BE57">
        <v>2097.752844755998</v>
      </c>
      <c r="BF57">
        <v>20146.407424491834</v>
      </c>
      <c r="BG57">
        <v>20714.069800300698</v>
      </c>
      <c r="BH57">
        <v>20998.596548477697</v>
      </c>
      <c r="BI57">
        <v>21544.100021049715</v>
      </c>
      <c r="BJ57">
        <v>22276.465957338169</v>
      </c>
      <c r="BK57">
        <v>21500.618253218927</v>
      </c>
      <c r="BL57">
        <v>22295.771774244789</v>
      </c>
      <c r="BM57">
        <v>22908.379287018553</v>
      </c>
      <c r="BN57">
        <v>23529.626751694246</v>
      </c>
      <c r="BO57">
        <v>24374.218802094168</v>
      </c>
      <c r="BQ57" t="s">
        <v>17</v>
      </c>
      <c r="BR57">
        <v>1278.9586648408249</v>
      </c>
      <c r="BS57">
        <v>1481.3710009599886</v>
      </c>
      <c r="BT57">
        <v>1783.7866524622541</v>
      </c>
      <c r="BU57">
        <v>1832.5841567585185</v>
      </c>
      <c r="BV57">
        <v>1914.9462037402918</v>
      </c>
      <c r="BW57">
        <v>20208.940205926163</v>
      </c>
      <c r="BX57">
        <v>20797.500494478321</v>
      </c>
      <c r="BY57">
        <v>21107.837083152706</v>
      </c>
      <c r="BZ57">
        <v>21680.085363448379</v>
      </c>
      <c r="CA57">
        <v>22441.891126451268</v>
      </c>
      <c r="CB57">
        <v>21487.898870766989</v>
      </c>
      <c r="CC57">
        <v>22278.87149543831</v>
      </c>
      <c r="CD57">
        <v>22891.623735614961</v>
      </c>
      <c r="CE57">
        <v>23512.669520206899</v>
      </c>
      <c r="CF57">
        <v>24356.83733019156</v>
      </c>
      <c r="CH57">
        <v>1167</v>
      </c>
      <c r="CI57">
        <v>19400</v>
      </c>
      <c r="CJ57">
        <v>20567</v>
      </c>
      <c r="CK57">
        <v>129933.3</v>
      </c>
      <c r="CL57">
        <v>4290668.4800000004</v>
      </c>
      <c r="CM57">
        <v>4420601.78</v>
      </c>
      <c r="CN57">
        <v>36727</v>
      </c>
      <c r="CO57">
        <v>820597</v>
      </c>
      <c r="CP57">
        <v>857324</v>
      </c>
      <c r="CV57">
        <v>12.719382451937205</v>
      </c>
      <c r="CW57">
        <v>16.900278806477825</v>
      </c>
      <c r="CX57">
        <v>16.755551403591177</v>
      </c>
      <c r="CY57">
        <v>16.957231487347563</v>
      </c>
      <c r="CZ57">
        <v>17.381471902608318</v>
      </c>
      <c r="DB57">
        <v>2.8472359826254217E-4</v>
      </c>
      <c r="DC57">
        <v>4.7828527399982701E-4</v>
      </c>
      <c r="DD57">
        <v>4.7252935482929151E-4</v>
      </c>
      <c r="DE57">
        <v>4.6339785615944981E-4</v>
      </c>
      <c r="DF57">
        <v>4.5727332305226252E-4</v>
      </c>
    </row>
    <row r="58" spans="1:110" x14ac:dyDescent="0.35">
      <c r="A58" t="s">
        <v>18</v>
      </c>
      <c r="B58">
        <v>3564588.0953316712</v>
      </c>
      <c r="C58">
        <v>3622425.2565520718</v>
      </c>
      <c r="D58">
        <v>3683385.075867956</v>
      </c>
      <c r="E58">
        <v>3737613.0456967438</v>
      </c>
      <c r="F58">
        <v>3782859.1065472155</v>
      </c>
      <c r="G58">
        <v>735297.34994543775</v>
      </c>
      <c r="H58">
        <v>814590.82709690626</v>
      </c>
      <c r="I58">
        <v>878369.5085714478</v>
      </c>
      <c r="J58">
        <v>944114.09915584081</v>
      </c>
      <c r="K58">
        <v>1015605.0040116432</v>
      </c>
      <c r="L58">
        <v>4299885.4452771088</v>
      </c>
      <c r="M58">
        <v>4437016.0836489778</v>
      </c>
      <c r="N58">
        <v>4561754.5844394034</v>
      </c>
      <c r="O58">
        <v>4681727.1448525842</v>
      </c>
      <c r="P58">
        <v>4798464.1105588591</v>
      </c>
      <c r="R58" t="s">
        <v>18</v>
      </c>
      <c r="S58">
        <v>3564588.0953316712</v>
      </c>
      <c r="T58">
        <v>3622425.2565520718</v>
      </c>
      <c r="U58">
        <v>3683385.075867956</v>
      </c>
      <c r="V58">
        <v>3737613.0456967438</v>
      </c>
      <c r="W58">
        <v>3782859.1065472155</v>
      </c>
      <c r="X58">
        <v>735297.34994543775</v>
      </c>
      <c r="Y58">
        <v>814590.82709690626</v>
      </c>
      <c r="Z58">
        <v>878369.5085714478</v>
      </c>
      <c r="AA58">
        <v>944114.09915584081</v>
      </c>
      <c r="AB58">
        <v>1015605.0040116432</v>
      </c>
      <c r="AC58">
        <v>4299885.4452771088</v>
      </c>
      <c r="AD58">
        <v>4437016.0836489778</v>
      </c>
      <c r="AE58">
        <v>4561754.5844394034</v>
      </c>
      <c r="AF58">
        <v>4681727.1448525842</v>
      </c>
      <c r="AG58">
        <v>4798464.1105588591</v>
      </c>
      <c r="AI58" t="s">
        <v>18</v>
      </c>
      <c r="AJ58">
        <v>3564588.0953316712</v>
      </c>
      <c r="AK58">
        <v>3622425.2565520718</v>
      </c>
      <c r="AL58">
        <v>3683385.075867956</v>
      </c>
      <c r="AM58">
        <v>3737613.0456967438</v>
      </c>
      <c r="AN58">
        <v>3782859.1065472155</v>
      </c>
      <c r="AO58">
        <v>693089.52717448643</v>
      </c>
      <c r="AP58">
        <v>744947.91952483659</v>
      </c>
      <c r="AQ58">
        <v>784351.5833491534</v>
      </c>
      <c r="AR58">
        <v>826591.69262797292</v>
      </c>
      <c r="AS58">
        <v>874578.11617820186</v>
      </c>
      <c r="AT58">
        <v>4257677.6225061575</v>
      </c>
      <c r="AU58">
        <v>4367373.1760769086</v>
      </c>
      <c r="AV58">
        <v>4467736.659217109</v>
      </c>
      <c r="AW58">
        <v>4564204.7383247158</v>
      </c>
      <c r="AX58">
        <v>4657437.2227254184</v>
      </c>
      <c r="AZ58" t="s">
        <v>18</v>
      </c>
      <c r="BA58">
        <v>3564588.0953316712</v>
      </c>
      <c r="BB58">
        <v>3622425.2565520718</v>
      </c>
      <c r="BC58">
        <v>3683385.075867956</v>
      </c>
      <c r="BD58">
        <v>3737613.0456967438</v>
      </c>
      <c r="BE58">
        <v>3782859.1065472155</v>
      </c>
      <c r="BF58">
        <v>693089.52717448643</v>
      </c>
      <c r="BG58">
        <v>744947.91952483659</v>
      </c>
      <c r="BH58">
        <v>784351.5833491534</v>
      </c>
      <c r="BI58">
        <v>826591.69262797292</v>
      </c>
      <c r="BJ58">
        <v>874578.11617820186</v>
      </c>
      <c r="BK58">
        <v>4257677.6225061575</v>
      </c>
      <c r="BL58">
        <v>4367373.1760769086</v>
      </c>
      <c r="BM58">
        <v>4467736.659217109</v>
      </c>
      <c r="BN58">
        <v>4564204.7383247158</v>
      </c>
      <c r="BO58">
        <v>4657437.2227254184</v>
      </c>
      <c r="BQ58" t="s">
        <v>18</v>
      </c>
      <c r="BR58">
        <v>3549686.2236528993</v>
      </c>
      <c r="BS58">
        <v>3602772.0772597259</v>
      </c>
      <c r="BT58">
        <v>3658812.5242422619</v>
      </c>
      <c r="BU58">
        <v>3707945.7148976335</v>
      </c>
      <c r="BV58">
        <v>3747928.327376775</v>
      </c>
      <c r="BW58">
        <v>705320.58375587908</v>
      </c>
      <c r="BX58">
        <v>761674.75401894585</v>
      </c>
      <c r="BY58">
        <v>805820.43896745879</v>
      </c>
      <c r="BZ58">
        <v>852973.78421713714</v>
      </c>
      <c r="CA58">
        <v>905989.51413935202</v>
      </c>
      <c r="CB58">
        <v>4255006.807408778</v>
      </c>
      <c r="CC58">
        <v>4364446.8312786724</v>
      </c>
      <c r="CD58">
        <v>4464632.9632097213</v>
      </c>
      <c r="CE58">
        <v>4560919.4991147704</v>
      </c>
      <c r="CF58">
        <v>4653917.8415161269</v>
      </c>
      <c r="CH58">
        <v>3497815</v>
      </c>
      <c r="CI58">
        <v>697394</v>
      </c>
      <c r="CJ58">
        <v>4195209</v>
      </c>
      <c r="CK58">
        <v>237949915.92000005</v>
      </c>
      <c r="CL58">
        <v>46381250.958000004</v>
      </c>
      <c r="CM58">
        <v>284331166.87800002</v>
      </c>
      <c r="CN58">
        <v>143832660</v>
      </c>
      <c r="CO58">
        <v>24502943</v>
      </c>
      <c r="CP58">
        <v>168335603</v>
      </c>
      <c r="CV58">
        <v>2670.8150973788552</v>
      </c>
      <c r="CW58">
        <v>2926.3447982367079</v>
      </c>
      <c r="CX58">
        <v>3103.6960073888567</v>
      </c>
      <c r="CY58">
        <v>3285.2392099462418</v>
      </c>
      <c r="CZ58">
        <v>3519.38120929039</v>
      </c>
    </row>
    <row r="60" spans="1:110" x14ac:dyDescent="0.35">
      <c r="B60" t="s">
        <v>23</v>
      </c>
      <c r="S60" t="s">
        <v>23</v>
      </c>
      <c r="AJ60" t="s">
        <v>23</v>
      </c>
      <c r="BA60" t="s">
        <v>23</v>
      </c>
      <c r="BR60" t="s">
        <v>23</v>
      </c>
    </row>
    <row r="61" spans="1:110" x14ac:dyDescent="0.35">
      <c r="B61" t="s">
        <v>30</v>
      </c>
      <c r="G61" t="s">
        <v>31</v>
      </c>
      <c r="L61" t="s">
        <v>32</v>
      </c>
      <c r="S61" t="s">
        <v>30</v>
      </c>
      <c r="X61" t="s">
        <v>31</v>
      </c>
      <c r="AC61" t="s">
        <v>32</v>
      </c>
      <c r="AJ61" t="s">
        <v>30</v>
      </c>
      <c r="AO61" t="s">
        <v>31</v>
      </c>
      <c r="AT61" t="s">
        <v>32</v>
      </c>
      <c r="BA61" t="s">
        <v>30</v>
      </c>
      <c r="BF61" t="s">
        <v>31</v>
      </c>
      <c r="BK61" t="s">
        <v>32</v>
      </c>
      <c r="BR61" t="s">
        <v>30</v>
      </c>
      <c r="BW61" t="s">
        <v>33</v>
      </c>
      <c r="CB61" t="s">
        <v>34</v>
      </c>
    </row>
    <row r="62" spans="1:110" x14ac:dyDescent="0.35">
      <c r="B62" t="s">
        <v>80</v>
      </c>
      <c r="C62" t="s">
        <v>79</v>
      </c>
      <c r="D62" t="s">
        <v>78</v>
      </c>
      <c r="E62" t="s">
        <v>77</v>
      </c>
      <c r="F62" t="s">
        <v>76</v>
      </c>
      <c r="G62" t="s">
        <v>80</v>
      </c>
      <c r="H62" t="s">
        <v>79</v>
      </c>
      <c r="I62" t="s">
        <v>78</v>
      </c>
      <c r="J62" t="s">
        <v>77</v>
      </c>
      <c r="K62" t="s">
        <v>76</v>
      </c>
      <c r="L62" t="s">
        <v>80</v>
      </c>
      <c r="M62" t="s">
        <v>79</v>
      </c>
      <c r="N62" t="s">
        <v>78</v>
      </c>
      <c r="O62" t="s">
        <v>77</v>
      </c>
      <c r="P62" t="s">
        <v>76</v>
      </c>
      <c r="S62" t="s">
        <v>80</v>
      </c>
      <c r="T62" t="s">
        <v>79</v>
      </c>
      <c r="U62" t="s">
        <v>78</v>
      </c>
      <c r="V62" t="s">
        <v>77</v>
      </c>
      <c r="W62" t="s">
        <v>76</v>
      </c>
      <c r="X62" t="s">
        <v>80</v>
      </c>
      <c r="Y62" t="s">
        <v>79</v>
      </c>
      <c r="Z62" t="s">
        <v>78</v>
      </c>
      <c r="AA62" t="s">
        <v>77</v>
      </c>
      <c r="AB62" t="s">
        <v>76</v>
      </c>
      <c r="AC62" t="s">
        <v>80</v>
      </c>
      <c r="AD62" t="s">
        <v>79</v>
      </c>
      <c r="AE62" t="s">
        <v>78</v>
      </c>
      <c r="AF62" t="s">
        <v>77</v>
      </c>
      <c r="AG62" t="s">
        <v>76</v>
      </c>
      <c r="AJ62" t="s">
        <v>80</v>
      </c>
      <c r="AK62" t="s">
        <v>79</v>
      </c>
      <c r="AL62" t="s">
        <v>78</v>
      </c>
      <c r="AM62" t="s">
        <v>77</v>
      </c>
      <c r="AN62" t="s">
        <v>76</v>
      </c>
      <c r="AO62" t="s">
        <v>80</v>
      </c>
      <c r="AP62" t="s">
        <v>79</v>
      </c>
      <c r="AQ62" t="s">
        <v>78</v>
      </c>
      <c r="AR62" t="s">
        <v>77</v>
      </c>
      <c r="AS62" t="s">
        <v>76</v>
      </c>
      <c r="AT62" t="s">
        <v>80</v>
      </c>
      <c r="AU62" t="s">
        <v>79</v>
      </c>
      <c r="AV62" t="s">
        <v>78</v>
      </c>
      <c r="AW62" t="s">
        <v>77</v>
      </c>
      <c r="AX62" t="s">
        <v>76</v>
      </c>
      <c r="BA62" t="s">
        <v>80</v>
      </c>
      <c r="BB62" t="s">
        <v>79</v>
      </c>
      <c r="BC62" t="s">
        <v>78</v>
      </c>
      <c r="BD62" t="s">
        <v>77</v>
      </c>
      <c r="BE62" t="s">
        <v>76</v>
      </c>
      <c r="BF62" t="s">
        <v>80</v>
      </c>
      <c r="BG62" t="s">
        <v>79</v>
      </c>
      <c r="BH62" t="s">
        <v>78</v>
      </c>
      <c r="BI62" t="s">
        <v>77</v>
      </c>
      <c r="BJ62" t="s">
        <v>76</v>
      </c>
      <c r="BK62" t="s">
        <v>80</v>
      </c>
      <c r="BL62" t="s">
        <v>79</v>
      </c>
      <c r="BM62" t="s">
        <v>78</v>
      </c>
      <c r="BN62" t="s">
        <v>77</v>
      </c>
      <c r="BO62" t="s">
        <v>76</v>
      </c>
      <c r="BR62" t="s">
        <v>80</v>
      </c>
      <c r="BS62" t="s">
        <v>79</v>
      </c>
      <c r="BT62" t="s">
        <v>78</v>
      </c>
      <c r="BU62" t="s">
        <v>77</v>
      </c>
      <c r="BV62" t="s">
        <v>76</v>
      </c>
      <c r="BW62" t="s">
        <v>80</v>
      </c>
      <c r="BX62" t="s">
        <v>79</v>
      </c>
      <c r="BY62" t="s">
        <v>78</v>
      </c>
      <c r="BZ62" t="s">
        <v>77</v>
      </c>
      <c r="CA62" t="s">
        <v>76</v>
      </c>
      <c r="CB62" t="s">
        <v>80</v>
      </c>
      <c r="CC62" t="s">
        <v>79</v>
      </c>
      <c r="CD62" t="s">
        <v>78</v>
      </c>
      <c r="CE62" t="s">
        <v>77</v>
      </c>
      <c r="CF62" t="s">
        <v>76</v>
      </c>
    </row>
    <row r="63" spans="1:110" x14ac:dyDescent="0.35">
      <c r="A63" t="s">
        <v>14</v>
      </c>
      <c r="B63">
        <v>3.5000000000000001E-3</v>
      </c>
      <c r="C63">
        <v>4.5000000000000005E-3</v>
      </c>
      <c r="D63">
        <v>5.5000000000000005E-3</v>
      </c>
      <c r="E63">
        <v>6.5000000000000006E-3</v>
      </c>
      <c r="F63">
        <v>7.5000000000000006E-3</v>
      </c>
      <c r="G63">
        <v>11256.998345617958</v>
      </c>
      <c r="H63">
        <v>15091.382549038792</v>
      </c>
      <c r="I63">
        <v>19125.573291400615</v>
      </c>
      <c r="J63">
        <v>23375.807926524401</v>
      </c>
      <c r="K63">
        <v>27839.261414049291</v>
      </c>
      <c r="L63">
        <v>635415.77339952928</v>
      </c>
      <c r="M63">
        <v>720790.29495110014</v>
      </c>
      <c r="N63">
        <v>790542.043613218</v>
      </c>
      <c r="O63">
        <v>859187.6546176729</v>
      </c>
      <c r="P63">
        <v>933434.8128647483</v>
      </c>
      <c r="R63" t="s">
        <v>14</v>
      </c>
      <c r="S63">
        <v>3.5000000000000001E-3</v>
      </c>
      <c r="T63">
        <v>4.5000000000000005E-3</v>
      </c>
      <c r="U63">
        <v>5.5000000000000005E-3</v>
      </c>
      <c r="V63">
        <v>6.5000000000000006E-3</v>
      </c>
      <c r="W63">
        <v>7.5000000000000006E-3</v>
      </c>
      <c r="X63">
        <v>11256.998345617958</v>
      </c>
      <c r="Y63">
        <v>15091.382549038792</v>
      </c>
      <c r="Z63">
        <v>19125.573291400615</v>
      </c>
      <c r="AA63">
        <v>23375.807926524401</v>
      </c>
      <c r="AB63">
        <v>27839.261414049291</v>
      </c>
      <c r="AC63">
        <v>635415.77339952928</v>
      </c>
      <c r="AD63">
        <v>720790.29495110014</v>
      </c>
      <c r="AE63">
        <v>790542.043613218</v>
      </c>
      <c r="AF63">
        <v>859187.6546176729</v>
      </c>
      <c r="AG63">
        <v>933434.8128647483</v>
      </c>
      <c r="AI63" t="s">
        <v>14</v>
      </c>
      <c r="AJ63">
        <v>3.5000000000000001E-3</v>
      </c>
      <c r="AK63">
        <v>4.5000000000000005E-3</v>
      </c>
      <c r="AL63">
        <v>5.5000000000000005E-3</v>
      </c>
      <c r="AM63">
        <v>6.5000000000000006E-3</v>
      </c>
      <c r="AN63">
        <v>7.5000000000000006E-3</v>
      </c>
      <c r="AO63">
        <v>11116.685295059266</v>
      </c>
      <c r="AP63">
        <v>14793.718434639279</v>
      </c>
      <c r="AQ63">
        <v>18634.427502641414</v>
      </c>
      <c r="AR63">
        <v>22650.251647675585</v>
      </c>
      <c r="AS63">
        <v>26834.645027950926</v>
      </c>
      <c r="AT63">
        <v>595186.01733220101</v>
      </c>
      <c r="AU63">
        <v>654345.04985903087</v>
      </c>
      <c r="AV63">
        <v>700751.66350460437</v>
      </c>
      <c r="AW63">
        <v>746838.05543900584</v>
      </c>
      <c r="AX63">
        <v>798481.3449988683</v>
      </c>
      <c r="AZ63" t="s">
        <v>14</v>
      </c>
      <c r="BA63">
        <v>3.5000000000000001E-3</v>
      </c>
      <c r="BB63">
        <v>4.5000000000000005E-3</v>
      </c>
      <c r="BC63">
        <v>5.5000000000000005E-3</v>
      </c>
      <c r="BD63">
        <v>6.5000000000000006E-3</v>
      </c>
      <c r="BE63">
        <v>7.5000000000000006E-3</v>
      </c>
      <c r="BF63">
        <v>11116.685295059266</v>
      </c>
      <c r="BG63">
        <v>14793.718434639279</v>
      </c>
      <c r="BH63">
        <v>18634.427502641414</v>
      </c>
      <c r="BI63">
        <v>22650.251647675585</v>
      </c>
      <c r="BJ63">
        <v>26834.645027950926</v>
      </c>
      <c r="BK63">
        <v>595186.01733220101</v>
      </c>
      <c r="BL63">
        <v>654345.04985903087</v>
      </c>
      <c r="BM63">
        <v>700751.66350460437</v>
      </c>
      <c r="BN63">
        <v>746838.05543900584</v>
      </c>
      <c r="BO63">
        <v>798481.3449988683</v>
      </c>
      <c r="BQ63" t="s">
        <v>14</v>
      </c>
      <c r="BR63">
        <v>479184.6306913023</v>
      </c>
      <c r="BS63">
        <v>532704.38094014116</v>
      </c>
      <c r="BT63">
        <v>572599.89193721325</v>
      </c>
      <c r="BU63">
        <v>610658.63104532659</v>
      </c>
      <c r="BV63">
        <v>655946.13530975801</v>
      </c>
      <c r="BW63">
        <v>0.81969322852158966</v>
      </c>
      <c r="BX63">
        <v>0.83225292660043881</v>
      </c>
      <c r="BY63">
        <v>0.83879162316190159</v>
      </c>
      <c r="BZ63">
        <v>0.84259444198776401</v>
      </c>
      <c r="CA63">
        <v>0.84944746774793756</v>
      </c>
      <c r="CB63">
        <v>485892.02707475063</v>
      </c>
      <c r="CC63">
        <v>542367.83319475048</v>
      </c>
      <c r="CD63">
        <v>585402.39685158269</v>
      </c>
      <c r="CE63">
        <v>626731.08126905304</v>
      </c>
      <c r="CF63">
        <v>675507.55526327738</v>
      </c>
    </row>
    <row r="64" spans="1:110" x14ac:dyDescent="0.35">
      <c r="A64" t="s">
        <v>15</v>
      </c>
      <c r="B64">
        <v>3.5000000000000001E-3</v>
      </c>
      <c r="C64">
        <v>4.5000000000000005E-3</v>
      </c>
      <c r="D64">
        <v>5.5000000000000005E-3</v>
      </c>
      <c r="E64">
        <v>6.5000000000000006E-3</v>
      </c>
      <c r="F64">
        <v>7.5000000000000006E-3</v>
      </c>
      <c r="G64">
        <v>2986.4148102334821</v>
      </c>
      <c r="H64">
        <v>3837.1916327049826</v>
      </c>
      <c r="I64">
        <v>4692.0294469293658</v>
      </c>
      <c r="J64">
        <v>5546.6773432650516</v>
      </c>
      <c r="K64">
        <v>6399.3931319935591</v>
      </c>
      <c r="L64">
        <v>70976.34662365017</v>
      </c>
      <c r="M64">
        <v>72657.832117786471</v>
      </c>
      <c r="N64">
        <v>74772.360163037316</v>
      </c>
      <c r="O64">
        <v>77657.191399756848</v>
      </c>
      <c r="P64">
        <v>79151.351752561721</v>
      </c>
      <c r="R64" t="s">
        <v>15</v>
      </c>
      <c r="S64">
        <v>3.5000000000000001E-3</v>
      </c>
      <c r="T64">
        <v>4.5000000000000005E-3</v>
      </c>
      <c r="U64">
        <v>5.5000000000000005E-3</v>
      </c>
      <c r="V64">
        <v>6.5000000000000006E-3</v>
      </c>
      <c r="W64">
        <v>7.5000000000000006E-3</v>
      </c>
      <c r="X64">
        <v>2986.4148102334821</v>
      </c>
      <c r="Y64">
        <v>3837.1916327049826</v>
      </c>
      <c r="Z64">
        <v>4692.0294469293658</v>
      </c>
      <c r="AA64">
        <v>5546.6773432650516</v>
      </c>
      <c r="AB64">
        <v>6399.3931319935591</v>
      </c>
      <c r="AC64">
        <v>70976.34662365017</v>
      </c>
      <c r="AD64">
        <v>72657.832117786471</v>
      </c>
      <c r="AE64">
        <v>74772.360163037316</v>
      </c>
      <c r="AF64">
        <v>77657.191399756848</v>
      </c>
      <c r="AG64">
        <v>79151.351752561721</v>
      </c>
      <c r="AI64" t="s">
        <v>15</v>
      </c>
      <c r="AJ64">
        <v>3.5000000000000001E-3</v>
      </c>
      <c r="AK64">
        <v>4.5000000000000005E-3</v>
      </c>
      <c r="AL64">
        <v>5.5000000000000005E-3</v>
      </c>
      <c r="AM64">
        <v>6.5000000000000006E-3</v>
      </c>
      <c r="AN64">
        <v>7.5000000000000006E-3</v>
      </c>
      <c r="AO64">
        <v>2979.0004810938462</v>
      </c>
      <c r="AP64">
        <v>3821.4626630301832</v>
      </c>
      <c r="AQ64">
        <v>4666.0766469659466</v>
      </c>
      <c r="AR64">
        <v>5508.3379796827285</v>
      </c>
      <c r="AS64">
        <v>6346.3078593411101</v>
      </c>
      <c r="AT64">
        <v>68850.552540328776</v>
      </c>
      <c r="AU64">
        <v>69146.77655371181</v>
      </c>
      <c r="AV64">
        <v>70027.716460634038</v>
      </c>
      <c r="AW64">
        <v>71720.488408124744</v>
      </c>
      <c r="AX64">
        <v>72020.230126249473</v>
      </c>
      <c r="AZ64" t="s">
        <v>15</v>
      </c>
      <c r="BA64">
        <v>3.5000000000000001E-3</v>
      </c>
      <c r="BB64">
        <v>4.5000000000000005E-3</v>
      </c>
      <c r="BC64">
        <v>5.5000000000000005E-3</v>
      </c>
      <c r="BD64">
        <v>6.5000000000000006E-3</v>
      </c>
      <c r="BE64">
        <v>7.5000000000000006E-3</v>
      </c>
      <c r="BF64">
        <v>2979.0004810938462</v>
      </c>
      <c r="BG64">
        <v>3821.4626630301832</v>
      </c>
      <c r="BH64">
        <v>4666.0766469659466</v>
      </c>
      <c r="BI64">
        <v>5508.3379796827285</v>
      </c>
      <c r="BJ64">
        <v>6346.3078593411101</v>
      </c>
      <c r="BK64">
        <v>68850.552540328776</v>
      </c>
      <c r="BL64">
        <v>69146.77655371181</v>
      </c>
      <c r="BM64">
        <v>70027.716460634038</v>
      </c>
      <c r="BN64">
        <v>71720.488408124744</v>
      </c>
      <c r="BO64">
        <v>72020.230126249473</v>
      </c>
      <c r="BQ64" t="s">
        <v>15</v>
      </c>
      <c r="BR64">
        <v>60277.337002845947</v>
      </c>
      <c r="BS64">
        <v>59625.953347411145</v>
      </c>
      <c r="BT64">
        <v>59591.383004953233</v>
      </c>
      <c r="BU64">
        <v>60754.343261504466</v>
      </c>
      <c r="BV64">
        <v>59986.547317237222</v>
      </c>
      <c r="BW64">
        <v>0.91487031804720464</v>
      </c>
      <c r="BX64">
        <v>0.91254447404235817</v>
      </c>
      <c r="BY64">
        <v>0.91151588207536283</v>
      </c>
      <c r="BZ64">
        <v>0.91739720778846312</v>
      </c>
      <c r="CA64">
        <v>0.91321767831003742</v>
      </c>
      <c r="CB64">
        <v>62838.703800406736</v>
      </c>
      <c r="CC64">
        <v>62948.204787572358</v>
      </c>
      <c r="CD64">
        <v>63685.576074422199</v>
      </c>
      <c r="CE64">
        <v>65657.813895746353</v>
      </c>
      <c r="CF64">
        <v>65632.12357277979</v>
      </c>
    </row>
    <row r="65" spans="1:86" x14ac:dyDescent="0.35">
      <c r="A65" t="s">
        <v>7</v>
      </c>
      <c r="B65">
        <v>3.5000000000000001E-3</v>
      </c>
      <c r="C65">
        <v>4.5000000000000005E-3</v>
      </c>
      <c r="D65">
        <v>5.5000000000000005E-3</v>
      </c>
      <c r="E65">
        <v>6.5000000000000006E-3</v>
      </c>
      <c r="F65">
        <v>7.5000000000000006E-3</v>
      </c>
      <c r="G65">
        <v>730.93373873217354</v>
      </c>
      <c r="H65">
        <v>937.66722169252773</v>
      </c>
      <c r="I65">
        <v>1146.0513900081421</v>
      </c>
      <c r="J65">
        <v>1355.7985978663344</v>
      </c>
      <c r="K65">
        <v>1567.0196421328892</v>
      </c>
      <c r="L65">
        <v>23733.169392350032</v>
      </c>
      <c r="M65">
        <v>20294.871631155209</v>
      </c>
      <c r="N65">
        <v>17020.162375052823</v>
      </c>
      <c r="O65">
        <v>16003.436985017124</v>
      </c>
      <c r="P65">
        <v>16548.047625170744</v>
      </c>
      <c r="R65" t="s">
        <v>7</v>
      </c>
      <c r="S65">
        <v>3.5000000000000001E-3</v>
      </c>
      <c r="T65">
        <v>4.5000000000000005E-3</v>
      </c>
      <c r="U65">
        <v>5.5000000000000005E-3</v>
      </c>
      <c r="V65">
        <v>6.5000000000000006E-3</v>
      </c>
      <c r="W65">
        <v>7.5000000000000006E-3</v>
      </c>
      <c r="X65">
        <v>730.93373873217354</v>
      </c>
      <c r="Y65">
        <v>937.66722169252773</v>
      </c>
      <c r="Z65">
        <v>1146.0513900081421</v>
      </c>
      <c r="AA65">
        <v>1355.7985978663344</v>
      </c>
      <c r="AB65">
        <v>1567.0196421328892</v>
      </c>
      <c r="AC65">
        <v>23733.169392350032</v>
      </c>
      <c r="AD65">
        <v>20294.871631155209</v>
      </c>
      <c r="AE65">
        <v>17020.162375052823</v>
      </c>
      <c r="AF65">
        <v>16003.436985017124</v>
      </c>
      <c r="AG65">
        <v>16548.047625170744</v>
      </c>
      <c r="AI65" t="s">
        <v>7</v>
      </c>
      <c r="AJ65">
        <v>3.5000000000000001E-3</v>
      </c>
      <c r="AK65">
        <v>4.5000000000000005E-3</v>
      </c>
      <c r="AL65">
        <v>5.5000000000000005E-3</v>
      </c>
      <c r="AM65">
        <v>6.5000000000000006E-3</v>
      </c>
      <c r="AN65">
        <v>7.5000000000000006E-3</v>
      </c>
      <c r="AO65">
        <v>730.93373873217354</v>
      </c>
      <c r="AP65">
        <v>937.66722169252773</v>
      </c>
      <c r="AQ65">
        <v>1146.0513900081421</v>
      </c>
      <c r="AR65">
        <v>1355.7985978663344</v>
      </c>
      <c r="AS65">
        <v>1567.0196421328892</v>
      </c>
      <c r="AT65">
        <v>23733.169392350032</v>
      </c>
      <c r="AU65">
        <v>20294.871631155209</v>
      </c>
      <c r="AV65">
        <v>17020.162375052823</v>
      </c>
      <c r="AW65">
        <v>16003.436985017124</v>
      </c>
      <c r="AX65">
        <v>16548.047625170744</v>
      </c>
      <c r="AZ65" t="s">
        <v>7</v>
      </c>
      <c r="BA65">
        <v>3.5000000000000001E-3</v>
      </c>
      <c r="BB65">
        <v>4.5000000000000005E-3</v>
      </c>
      <c r="BC65">
        <v>5.5000000000000005E-3</v>
      </c>
      <c r="BD65">
        <v>6.5000000000000006E-3</v>
      </c>
      <c r="BE65">
        <v>7.5000000000000006E-3</v>
      </c>
      <c r="BF65">
        <v>730.93373873217354</v>
      </c>
      <c r="BG65">
        <v>937.66722169252773</v>
      </c>
      <c r="BH65">
        <v>1146.0513900081421</v>
      </c>
      <c r="BI65">
        <v>1355.7985978663344</v>
      </c>
      <c r="BJ65">
        <v>1567.0196421328892</v>
      </c>
      <c r="BK65">
        <v>23733.169392350032</v>
      </c>
      <c r="BL65">
        <v>20294.871631155209</v>
      </c>
      <c r="BM65">
        <v>17020.162375052823</v>
      </c>
      <c r="BN65">
        <v>16003.436985017124</v>
      </c>
      <c r="BO65">
        <v>16548.047625170744</v>
      </c>
      <c r="BQ65" t="s">
        <v>7</v>
      </c>
      <c r="BR65">
        <v>17231.922340630594</v>
      </c>
      <c r="BS65">
        <v>13475.209713715885</v>
      </c>
      <c r="BT65">
        <v>9335.3254591885379</v>
      </c>
      <c r="BU65">
        <v>7861.5960098084706</v>
      </c>
      <c r="BV65">
        <v>8000.425117429003</v>
      </c>
      <c r="BW65">
        <v>0.74828789289960895</v>
      </c>
      <c r="BX65">
        <v>0.69485767139840948</v>
      </c>
      <c r="BY65">
        <v>0.58597063477018985</v>
      </c>
      <c r="BZ65">
        <v>0.5340798542974069</v>
      </c>
      <c r="CA65">
        <v>0.53116951727591999</v>
      </c>
      <c r="CB65">
        <v>17699.039510047223</v>
      </c>
      <c r="CC65">
        <v>14043.058387181405</v>
      </c>
      <c r="CD65">
        <v>9922.3852907233668</v>
      </c>
      <c r="CE65">
        <v>8498.7866907637708</v>
      </c>
      <c r="CF65">
        <v>8736.055425546856</v>
      </c>
    </row>
    <row r="66" spans="1:86" x14ac:dyDescent="0.35">
      <c r="A66" t="s">
        <v>17</v>
      </c>
      <c r="B66">
        <v>3.5000000000000001E-3</v>
      </c>
      <c r="C66">
        <v>4.5000000000000005E-3</v>
      </c>
      <c r="D66">
        <v>5.5000000000000005E-3</v>
      </c>
      <c r="E66">
        <v>6.5000000000000006E-3</v>
      </c>
      <c r="F66">
        <v>7.5000000000000006E-3</v>
      </c>
      <c r="G66">
        <v>75.252163886266246</v>
      </c>
      <c r="H66">
        <v>100.33097298410156</v>
      </c>
      <c r="I66">
        <v>125.99608607860206</v>
      </c>
      <c r="J66">
        <v>152.94257388601261</v>
      </c>
      <c r="K66">
        <v>182.80664101570628</v>
      </c>
      <c r="L66">
        <v>20221.659588378101</v>
      </c>
      <c r="M66">
        <v>20814.4007732848</v>
      </c>
      <c r="N66">
        <v>21124.592634556298</v>
      </c>
      <c r="O66">
        <v>21697.042594935727</v>
      </c>
      <c r="P66">
        <v>22459.272598353877</v>
      </c>
      <c r="R66" t="s">
        <v>17</v>
      </c>
      <c r="S66">
        <v>3.5000000000000001E-3</v>
      </c>
      <c r="T66">
        <v>4.5000000000000005E-3</v>
      </c>
      <c r="U66">
        <v>5.5000000000000005E-3</v>
      </c>
      <c r="V66">
        <v>6.5000000000000006E-3</v>
      </c>
      <c r="W66">
        <v>7.5000000000000006E-3</v>
      </c>
      <c r="X66">
        <v>75.252163886266246</v>
      </c>
      <c r="Y66">
        <v>100.33097298410156</v>
      </c>
      <c r="Z66">
        <v>125.99608607860206</v>
      </c>
      <c r="AA66">
        <v>152.94257388601261</v>
      </c>
      <c r="AB66">
        <v>182.80664101570628</v>
      </c>
      <c r="AC66">
        <v>20221.659588378101</v>
      </c>
      <c r="AD66">
        <v>20814.4007732848</v>
      </c>
      <c r="AE66">
        <v>21124.592634556298</v>
      </c>
      <c r="AF66">
        <v>21697.042594935727</v>
      </c>
      <c r="AG66">
        <v>22459.272598353877</v>
      </c>
      <c r="AI66" t="s">
        <v>17</v>
      </c>
      <c r="AJ66">
        <v>3.5000000000000001E-3</v>
      </c>
      <c r="AK66">
        <v>4.5000000000000005E-3</v>
      </c>
      <c r="AL66">
        <v>5.5000000000000005E-3</v>
      </c>
      <c r="AM66">
        <v>6.5000000000000006E-3</v>
      </c>
      <c r="AN66">
        <v>7.5000000000000006E-3</v>
      </c>
      <c r="AO66">
        <v>75.252163886266246</v>
      </c>
      <c r="AP66">
        <v>100.33097298410156</v>
      </c>
      <c r="AQ66">
        <v>125.99608607860206</v>
      </c>
      <c r="AR66">
        <v>152.94257388601261</v>
      </c>
      <c r="AS66">
        <v>182.80664101570628</v>
      </c>
      <c r="AT66">
        <v>20221.659588378101</v>
      </c>
      <c r="AU66">
        <v>20814.4007732848</v>
      </c>
      <c r="AV66">
        <v>21124.592634556298</v>
      </c>
      <c r="AW66">
        <v>21697.042594935727</v>
      </c>
      <c r="AX66">
        <v>22459.272598353877</v>
      </c>
      <c r="AZ66" t="s">
        <v>17</v>
      </c>
      <c r="BA66">
        <v>3.5000000000000001E-3</v>
      </c>
      <c r="BB66">
        <v>4.5000000000000005E-3</v>
      </c>
      <c r="BC66">
        <v>5.5000000000000005E-3</v>
      </c>
      <c r="BD66">
        <v>6.5000000000000006E-3</v>
      </c>
      <c r="BE66">
        <v>7.5000000000000006E-3</v>
      </c>
      <c r="BF66">
        <v>75.252163886266246</v>
      </c>
      <c r="BG66">
        <v>100.33097298410156</v>
      </c>
      <c r="BH66">
        <v>125.99608607860206</v>
      </c>
      <c r="BI66">
        <v>152.94257388601261</v>
      </c>
      <c r="BJ66">
        <v>182.80664101570628</v>
      </c>
      <c r="BK66">
        <v>20221.659588378101</v>
      </c>
      <c r="BL66">
        <v>20814.4007732848</v>
      </c>
      <c r="BM66">
        <v>21124.592634556298</v>
      </c>
      <c r="BN66">
        <v>21697.042594935727</v>
      </c>
      <c r="BO66">
        <v>22459.272598353877</v>
      </c>
      <c r="BQ66" t="s">
        <v>17</v>
      </c>
      <c r="BR66">
        <v>12000.142241804146</v>
      </c>
      <c r="BS66">
        <v>11958.080558615698</v>
      </c>
      <c r="BT66">
        <v>11649.38775333667</v>
      </c>
      <c r="BU66">
        <v>11858.821268146885</v>
      </c>
      <c r="BV66">
        <v>12203.730693705105</v>
      </c>
      <c r="BW66">
        <v>0.59539225927237183</v>
      </c>
      <c r="BX66">
        <v>0.57694916837597443</v>
      </c>
      <c r="BY66">
        <v>0.55441639911193752</v>
      </c>
      <c r="BZ66">
        <v>0.55009240801729098</v>
      </c>
      <c r="CA66">
        <v>0.54748043435673488</v>
      </c>
      <c r="CB66">
        <v>12032.24656670665</v>
      </c>
      <c r="CC66">
        <v>11999.100614588184</v>
      </c>
      <c r="CD66">
        <v>11702.531028682946</v>
      </c>
      <c r="CE66">
        <v>11926.050363599745</v>
      </c>
      <c r="CF66">
        <v>12286.496301696094</v>
      </c>
    </row>
    <row r="67" spans="1:86" x14ac:dyDescent="0.35">
      <c r="A67" t="s">
        <v>18</v>
      </c>
      <c r="G67">
        <v>15049.599058469879</v>
      </c>
      <c r="H67">
        <v>19966.572376420405</v>
      </c>
      <c r="I67">
        <v>25089.650214416724</v>
      </c>
      <c r="J67">
        <v>30431.226441541799</v>
      </c>
      <c r="K67">
        <v>35988.480829191445</v>
      </c>
      <c r="L67">
        <v>750346.94900390762</v>
      </c>
      <c r="M67">
        <v>834557.39947332675</v>
      </c>
      <c r="N67">
        <v>903459.15878586448</v>
      </c>
      <c r="O67">
        <v>974545.32559738262</v>
      </c>
      <c r="P67">
        <v>1051593.4848408347</v>
      </c>
      <c r="R67" t="s">
        <v>18</v>
      </c>
      <c r="X67">
        <v>15049.599058469879</v>
      </c>
      <c r="Y67">
        <v>19966.572376420405</v>
      </c>
      <c r="Z67">
        <v>25089.650214416724</v>
      </c>
      <c r="AA67">
        <v>30431.226441541799</v>
      </c>
      <c r="AB67">
        <v>35988.480829191445</v>
      </c>
      <c r="AC67">
        <v>750346.94900390762</v>
      </c>
      <c r="AD67">
        <v>834557.39947332675</v>
      </c>
      <c r="AE67">
        <v>903459.15878586448</v>
      </c>
      <c r="AF67">
        <v>974545.32559738262</v>
      </c>
      <c r="AG67">
        <v>1051593.4848408347</v>
      </c>
      <c r="AI67" t="s">
        <v>18</v>
      </c>
      <c r="AO67">
        <v>14901.871678771551</v>
      </c>
      <c r="AP67">
        <v>19653.179292346093</v>
      </c>
      <c r="AQ67">
        <v>24572.551625694105</v>
      </c>
      <c r="AR67">
        <v>29667.330799110659</v>
      </c>
      <c r="AS67">
        <v>34930.779170440626</v>
      </c>
      <c r="AT67">
        <v>707991.398853258</v>
      </c>
      <c r="AU67">
        <v>764601.09881718282</v>
      </c>
      <c r="AV67">
        <v>808924.13497484755</v>
      </c>
      <c r="AW67">
        <v>856259.02342708351</v>
      </c>
      <c r="AX67">
        <v>909508.89534864249</v>
      </c>
      <c r="AZ67" t="s">
        <v>18</v>
      </c>
      <c r="BF67">
        <v>14901.871678771551</v>
      </c>
      <c r="BG67">
        <v>19653.179292346093</v>
      </c>
      <c r="BH67">
        <v>24572.551625694105</v>
      </c>
      <c r="BI67">
        <v>29667.330799110659</v>
      </c>
      <c r="BJ67">
        <v>34930.779170440626</v>
      </c>
      <c r="BK67">
        <v>707991.398853258</v>
      </c>
      <c r="BL67">
        <v>764601.09881718282</v>
      </c>
      <c r="BM67">
        <v>808924.13497484755</v>
      </c>
      <c r="BN67">
        <v>856259.02342708351</v>
      </c>
      <c r="BO67">
        <v>909508.89534864249</v>
      </c>
      <c r="BQ67" t="s">
        <v>18</v>
      </c>
      <c r="BR67">
        <v>568694.0322765829</v>
      </c>
      <c r="BS67">
        <v>617763.62455988396</v>
      </c>
      <c r="BT67">
        <v>653175.98815469176</v>
      </c>
      <c r="BU67">
        <v>691133.39158478635</v>
      </c>
      <c r="BV67">
        <v>736136.8384381294</v>
      </c>
      <c r="BW67">
        <v>0.82014055774689365</v>
      </c>
      <c r="BX67">
        <v>0.82890786868378741</v>
      </c>
      <c r="BY67">
        <v>0.83233541470458594</v>
      </c>
      <c r="BZ67">
        <v>0.83568070368468161</v>
      </c>
      <c r="CA67">
        <v>0.84124840151965641</v>
      </c>
      <c r="CB67">
        <v>578462.01695191127</v>
      </c>
      <c r="CC67">
        <v>631358.19698409247</v>
      </c>
      <c r="CD67">
        <v>670712.88924541126</v>
      </c>
      <c r="CE67">
        <v>712813.73221916298</v>
      </c>
      <c r="CF67">
        <v>762162.23056330008</v>
      </c>
    </row>
    <row r="69" spans="1:86" x14ac:dyDescent="0.35">
      <c r="B69" t="s">
        <v>23</v>
      </c>
      <c r="S69" t="s">
        <v>23</v>
      </c>
      <c r="AJ69" t="s">
        <v>23</v>
      </c>
      <c r="BA69" t="s">
        <v>23</v>
      </c>
      <c r="BR69" t="s">
        <v>23</v>
      </c>
    </row>
    <row r="70" spans="1:86" x14ac:dyDescent="0.35">
      <c r="B70" t="s">
        <v>35</v>
      </c>
      <c r="G70" t="s">
        <v>36</v>
      </c>
      <c r="L70" t="s">
        <v>37</v>
      </c>
      <c r="S70" t="s">
        <v>35</v>
      </c>
      <c r="X70" t="s">
        <v>36</v>
      </c>
      <c r="AC70" t="s">
        <v>37</v>
      </c>
      <c r="AJ70" t="s">
        <v>35</v>
      </c>
      <c r="AO70" t="s">
        <v>36</v>
      </c>
      <c r="AT70" t="s">
        <v>37</v>
      </c>
      <c r="BA70" t="s">
        <v>35</v>
      </c>
      <c r="BF70" t="s">
        <v>36</v>
      </c>
      <c r="BK70" t="s">
        <v>37</v>
      </c>
      <c r="BR70" t="s">
        <v>35</v>
      </c>
      <c r="BW70" t="s">
        <v>36</v>
      </c>
      <c r="CB70" t="s">
        <v>37</v>
      </c>
      <c r="CH70" t="s">
        <v>38</v>
      </c>
    </row>
    <row r="71" spans="1:86" x14ac:dyDescent="0.35">
      <c r="B71" t="s">
        <v>80</v>
      </c>
      <c r="C71" t="s">
        <v>79</v>
      </c>
      <c r="D71" t="s">
        <v>78</v>
      </c>
      <c r="E71" t="s">
        <v>77</v>
      </c>
      <c r="F71" t="s">
        <v>76</v>
      </c>
      <c r="G71" t="s">
        <v>80</v>
      </c>
      <c r="H71" t="s">
        <v>79</v>
      </c>
      <c r="I71" t="s">
        <v>78</v>
      </c>
      <c r="J71" t="s">
        <v>77</v>
      </c>
      <c r="K71" t="s">
        <v>76</v>
      </c>
      <c r="L71" t="s">
        <v>80</v>
      </c>
      <c r="M71" t="s">
        <v>79</v>
      </c>
      <c r="N71" t="s">
        <v>78</v>
      </c>
      <c r="O71" t="s">
        <v>77</v>
      </c>
      <c r="P71" t="s">
        <v>76</v>
      </c>
      <c r="S71" t="s">
        <v>80</v>
      </c>
      <c r="T71" t="s">
        <v>79</v>
      </c>
      <c r="U71" t="s">
        <v>78</v>
      </c>
      <c r="V71" t="s">
        <v>77</v>
      </c>
      <c r="W71" t="s">
        <v>76</v>
      </c>
      <c r="X71" t="s">
        <v>80</v>
      </c>
      <c r="Y71" t="s">
        <v>79</v>
      </c>
      <c r="Z71" t="s">
        <v>78</v>
      </c>
      <c r="AA71" t="s">
        <v>77</v>
      </c>
      <c r="AB71" t="s">
        <v>76</v>
      </c>
      <c r="AC71" t="s">
        <v>80</v>
      </c>
      <c r="AD71" t="s">
        <v>79</v>
      </c>
      <c r="AE71" t="s">
        <v>78</v>
      </c>
      <c r="AF71" t="s">
        <v>77</v>
      </c>
      <c r="AG71" t="s">
        <v>76</v>
      </c>
      <c r="AJ71" t="s">
        <v>80</v>
      </c>
      <c r="AK71" t="s">
        <v>79</v>
      </c>
      <c r="AL71" t="s">
        <v>78</v>
      </c>
      <c r="AM71" t="s">
        <v>77</v>
      </c>
      <c r="AN71" t="s">
        <v>76</v>
      </c>
      <c r="AO71" t="s">
        <v>80</v>
      </c>
      <c r="AP71" t="s">
        <v>79</v>
      </c>
      <c r="AQ71" t="s">
        <v>78</v>
      </c>
      <c r="AR71" t="s">
        <v>77</v>
      </c>
      <c r="AS71" t="s">
        <v>76</v>
      </c>
      <c r="AT71" t="s">
        <v>80</v>
      </c>
      <c r="AU71" t="s">
        <v>79</v>
      </c>
      <c r="AV71" t="s">
        <v>78</v>
      </c>
      <c r="AW71" t="s">
        <v>77</v>
      </c>
      <c r="AX71" t="s">
        <v>76</v>
      </c>
      <c r="BA71" t="s">
        <v>80</v>
      </c>
      <c r="BB71" t="s">
        <v>79</v>
      </c>
      <c r="BC71" t="s">
        <v>78</v>
      </c>
      <c r="BD71" t="s">
        <v>77</v>
      </c>
      <c r="BE71" t="s">
        <v>76</v>
      </c>
      <c r="BF71" t="s">
        <v>80</v>
      </c>
      <c r="BG71" t="s">
        <v>79</v>
      </c>
      <c r="BH71" t="s">
        <v>78</v>
      </c>
      <c r="BI71" t="s">
        <v>77</v>
      </c>
      <c r="BJ71" t="s">
        <v>76</v>
      </c>
      <c r="BK71" t="s">
        <v>80</v>
      </c>
      <c r="BL71" t="s">
        <v>79</v>
      </c>
      <c r="BM71" t="s">
        <v>78</v>
      </c>
      <c r="BN71" t="s">
        <v>77</v>
      </c>
      <c r="BO71" t="s">
        <v>76</v>
      </c>
      <c r="BR71" t="s">
        <v>80</v>
      </c>
      <c r="BS71" t="s">
        <v>79</v>
      </c>
      <c r="BT71" t="s">
        <v>78</v>
      </c>
      <c r="BU71" t="s">
        <v>77</v>
      </c>
      <c r="BV71" t="s">
        <v>76</v>
      </c>
      <c r="BW71" t="s">
        <v>80</v>
      </c>
      <c r="BX71" t="s">
        <v>79</v>
      </c>
      <c r="BY71" t="s">
        <v>78</v>
      </c>
      <c r="BZ71" t="s">
        <v>77</v>
      </c>
      <c r="CA71" t="s">
        <v>76</v>
      </c>
      <c r="CB71" t="s">
        <v>80</v>
      </c>
      <c r="CC71" t="s">
        <v>79</v>
      </c>
      <c r="CD71" t="s">
        <v>78</v>
      </c>
      <c r="CE71" t="s">
        <v>77</v>
      </c>
      <c r="CF71" t="s">
        <v>76</v>
      </c>
      <c r="CH71" t="s">
        <v>36</v>
      </c>
    </row>
    <row r="72" spans="1:86" x14ac:dyDescent="0.35">
      <c r="A72" t="s">
        <v>14</v>
      </c>
      <c r="B72">
        <v>2580869.4682056014</v>
      </c>
      <c r="C72">
        <v>2632850.2715019644</v>
      </c>
      <c r="D72">
        <v>2686834.9184596208</v>
      </c>
      <c r="E72">
        <v>2737090.4879245427</v>
      </c>
      <c r="F72">
        <v>2778466.7090084902</v>
      </c>
      <c r="G72">
        <v>0.80593799113961162</v>
      </c>
      <c r="H72">
        <v>0.78957228766217047</v>
      </c>
      <c r="I72">
        <v>0.77816139039985421</v>
      </c>
      <c r="J72">
        <v>0.76758976542890212</v>
      </c>
      <c r="K72">
        <v>0.75602920871842427</v>
      </c>
      <c r="L72">
        <v>0.80243799113961156</v>
      </c>
      <c r="M72">
        <v>0.78507228766217052</v>
      </c>
      <c r="N72">
        <v>0.77266139039985426</v>
      </c>
      <c r="O72">
        <v>0.76108976542890217</v>
      </c>
      <c r="P72">
        <v>0.74852920871842432</v>
      </c>
      <c r="R72" t="s">
        <v>14</v>
      </c>
      <c r="S72">
        <v>2580869.4682056014</v>
      </c>
      <c r="T72">
        <v>2632850.2715019644</v>
      </c>
      <c r="U72">
        <v>2686834.9184596208</v>
      </c>
      <c r="V72">
        <v>2737090.4879245427</v>
      </c>
      <c r="W72">
        <v>2778466.7090084902</v>
      </c>
      <c r="X72">
        <v>0.80593799113961162</v>
      </c>
      <c r="Y72">
        <v>0.78957228766217047</v>
      </c>
      <c r="Z72">
        <v>0.77816139039985421</v>
      </c>
      <c r="AA72">
        <v>0.76758976542890212</v>
      </c>
      <c r="AB72">
        <v>0.75602920871842427</v>
      </c>
      <c r="AC72">
        <v>0.80243799113961156</v>
      </c>
      <c r="AD72">
        <v>0.78507228766217052</v>
      </c>
      <c r="AE72">
        <v>0.77266139039985426</v>
      </c>
      <c r="AF72">
        <v>0.76108976542890217</v>
      </c>
      <c r="AG72">
        <v>0.74852920871842432</v>
      </c>
      <c r="AI72" t="s">
        <v>14</v>
      </c>
      <c r="AJ72">
        <v>2581009.7812561602</v>
      </c>
      <c r="AK72">
        <v>2633147.9356163638</v>
      </c>
      <c r="AL72">
        <v>2687326.0642483798</v>
      </c>
      <c r="AM72">
        <v>2737816.0442033918</v>
      </c>
      <c r="AN72">
        <v>2779471.3253945885</v>
      </c>
      <c r="AO72">
        <v>0.81611041350261604</v>
      </c>
      <c r="AP72">
        <v>0.80545925595886614</v>
      </c>
      <c r="AQ72">
        <v>0.79867131429291272</v>
      </c>
      <c r="AR72">
        <v>0.79217799440534198</v>
      </c>
      <c r="AS72">
        <v>0.78433289340128087</v>
      </c>
      <c r="AT72">
        <v>0.81261041350261598</v>
      </c>
      <c r="AU72">
        <v>0.80095925595886608</v>
      </c>
      <c r="AV72">
        <v>0.79317131429291277</v>
      </c>
      <c r="AW72">
        <v>0.78567799440534203</v>
      </c>
      <c r="AX72">
        <v>0.77683289340128092</v>
      </c>
      <c r="AZ72" t="s">
        <v>14</v>
      </c>
      <c r="BA72">
        <v>2581009.7812561602</v>
      </c>
      <c r="BB72">
        <v>2633147.9356163638</v>
      </c>
      <c r="BC72">
        <v>2687326.0642483798</v>
      </c>
      <c r="BD72">
        <v>2737816.0442033918</v>
      </c>
      <c r="BE72">
        <v>2779471.3253945885</v>
      </c>
      <c r="BF72">
        <v>0.81611041350261604</v>
      </c>
      <c r="BG72">
        <v>0.80545925595886614</v>
      </c>
      <c r="BH72">
        <v>0.79867131429291272</v>
      </c>
      <c r="BI72">
        <v>0.79217799440534198</v>
      </c>
      <c r="BJ72">
        <v>0.78433289340128087</v>
      </c>
      <c r="BK72">
        <v>0.81261041350261598</v>
      </c>
      <c r="BL72">
        <v>0.80095925595886608</v>
      </c>
      <c r="BM72">
        <v>0.79317131429291277</v>
      </c>
      <c r="BN72">
        <v>0.78567799440534203</v>
      </c>
      <c r="BO72">
        <v>0.77683289340128092</v>
      </c>
      <c r="BQ72" t="s">
        <v>14</v>
      </c>
      <c r="BW72">
        <v>0.81322823467213723</v>
      </c>
      <c r="BX72">
        <v>0.80160755278746565</v>
      </c>
      <c r="BY72">
        <v>0.79383675160935874</v>
      </c>
      <c r="BZ72">
        <v>0.78636107403826994</v>
      </c>
      <c r="CA72">
        <v>0.77753908628061608</v>
      </c>
      <c r="CH72">
        <v>0.8118730392160014</v>
      </c>
    </row>
    <row r="73" spans="1:86" x14ac:dyDescent="0.35">
      <c r="A73" t="s">
        <v>15</v>
      </c>
      <c r="B73">
        <v>782285.0277287733</v>
      </c>
      <c r="C73">
        <v>780051.41959443188</v>
      </c>
      <c r="D73">
        <v>778323.90291502909</v>
      </c>
      <c r="E73">
        <v>775677.78448717413</v>
      </c>
      <c r="F73">
        <v>774101.06584657938</v>
      </c>
      <c r="G73">
        <v>0.92031757928217817</v>
      </c>
      <c r="H73">
        <v>0.9192917863305794</v>
      </c>
      <c r="I73">
        <v>0.91785179029708752</v>
      </c>
      <c r="J73">
        <v>0.91549565399971766</v>
      </c>
      <c r="K73">
        <v>0.91473571346533578</v>
      </c>
      <c r="L73">
        <v>0.91681757928217811</v>
      </c>
      <c r="M73">
        <v>0.91479178633057945</v>
      </c>
      <c r="N73">
        <v>0.91235179029708757</v>
      </c>
      <c r="O73">
        <v>0.90899565399971771</v>
      </c>
      <c r="P73">
        <v>0.90723571346533571</v>
      </c>
      <c r="R73" t="s">
        <v>15</v>
      </c>
      <c r="S73">
        <v>782285.0277287733</v>
      </c>
      <c r="T73">
        <v>780051.41959443188</v>
      </c>
      <c r="U73">
        <v>778323.90291502909</v>
      </c>
      <c r="V73">
        <v>775677.78448717413</v>
      </c>
      <c r="W73">
        <v>774101.06584657938</v>
      </c>
      <c r="X73">
        <v>0.92031757928217817</v>
      </c>
      <c r="Y73">
        <v>0.9192917863305794</v>
      </c>
      <c r="Z73">
        <v>0.91785179029708752</v>
      </c>
      <c r="AA73">
        <v>0.91549565399971766</v>
      </c>
      <c r="AB73">
        <v>0.91473571346533578</v>
      </c>
      <c r="AC73">
        <v>0.91681757928217811</v>
      </c>
      <c r="AD73">
        <v>0.91479178633057945</v>
      </c>
      <c r="AE73">
        <v>0.91235179029708757</v>
      </c>
      <c r="AF73">
        <v>0.90899565399971771</v>
      </c>
      <c r="AG73">
        <v>0.90723571346533571</v>
      </c>
      <c r="AI73" t="s">
        <v>15</v>
      </c>
      <c r="AJ73">
        <v>782292.44205791294</v>
      </c>
      <c r="AK73">
        <v>780067.14856410667</v>
      </c>
      <c r="AL73">
        <v>778349.8557149925</v>
      </c>
      <c r="AM73">
        <v>775716.12385075644</v>
      </c>
      <c r="AN73">
        <v>774154.15111923183</v>
      </c>
      <c r="AO73">
        <v>0.92260812521833924</v>
      </c>
      <c r="AP73">
        <v>0.92307555027242583</v>
      </c>
      <c r="AQ73">
        <v>0.92295689801646796</v>
      </c>
      <c r="AR73">
        <v>0.92186772500665204</v>
      </c>
      <c r="AS73">
        <v>0.92238724815771056</v>
      </c>
      <c r="AT73">
        <v>0.91910812521833918</v>
      </c>
      <c r="AU73">
        <v>0.91857555027242588</v>
      </c>
      <c r="AV73">
        <v>0.91745689801646801</v>
      </c>
      <c r="AW73">
        <v>0.91536772500665209</v>
      </c>
      <c r="AX73">
        <v>0.9148872481577105</v>
      </c>
      <c r="AZ73" t="s">
        <v>15</v>
      </c>
      <c r="BA73">
        <v>782292.44205791294</v>
      </c>
      <c r="BB73">
        <v>780067.14856410667</v>
      </c>
      <c r="BC73">
        <v>778349.8557149925</v>
      </c>
      <c r="BD73">
        <v>775716.12385075644</v>
      </c>
      <c r="BE73">
        <v>774154.15111923183</v>
      </c>
      <c r="BF73">
        <v>0.92260812521833924</v>
      </c>
      <c r="BG73">
        <v>0.92307555027242583</v>
      </c>
      <c r="BH73">
        <v>0.92295689801646796</v>
      </c>
      <c r="BI73">
        <v>0.92186772500665204</v>
      </c>
      <c r="BJ73">
        <v>0.92238724815771056</v>
      </c>
      <c r="BK73">
        <v>0.91910812521833918</v>
      </c>
      <c r="BL73">
        <v>0.91857555027242588</v>
      </c>
      <c r="BM73">
        <v>0.91745689801646801</v>
      </c>
      <c r="BN73">
        <v>0.91536772500665209</v>
      </c>
      <c r="BO73">
        <v>0.9148872481577105</v>
      </c>
      <c r="BQ73" t="s">
        <v>15</v>
      </c>
      <c r="BW73">
        <v>0.91928594502550309</v>
      </c>
      <c r="BX73">
        <v>0.91875493237191308</v>
      </c>
      <c r="BY73">
        <v>0.9176299078015594</v>
      </c>
      <c r="BZ73">
        <v>0.91553066391773708</v>
      </c>
      <c r="CA73">
        <v>0.91505069061014388</v>
      </c>
      <c r="CH73">
        <v>0.91984556672000295</v>
      </c>
    </row>
    <row r="74" spans="1:86" x14ac:dyDescent="0.35">
      <c r="A74" t="s">
        <v>7</v>
      </c>
      <c r="B74">
        <v>185105.04167398525</v>
      </c>
      <c r="C74">
        <v>188075.62207829536</v>
      </c>
      <c r="D74">
        <v>191352.81762642754</v>
      </c>
      <c r="E74">
        <v>192580.96268672662</v>
      </c>
      <c r="F74">
        <v>192387.90465921449</v>
      </c>
      <c r="G74">
        <v>0.88985619280989037</v>
      </c>
      <c r="H74">
        <v>0.90710198903471351</v>
      </c>
      <c r="I74">
        <v>0.92381876486609782</v>
      </c>
      <c r="J74">
        <v>0.92977596402126772</v>
      </c>
      <c r="K74">
        <v>0.92829846745261446</v>
      </c>
      <c r="L74">
        <v>0.88635619280989031</v>
      </c>
      <c r="M74">
        <v>0.90260198903471356</v>
      </c>
      <c r="N74">
        <v>0.91831876486609787</v>
      </c>
      <c r="O74">
        <v>0.92327596402126777</v>
      </c>
      <c r="P74">
        <v>0.9207984674526144</v>
      </c>
      <c r="R74" t="s">
        <v>7</v>
      </c>
      <c r="S74">
        <v>185105.04167398525</v>
      </c>
      <c r="T74">
        <v>188075.62207829536</v>
      </c>
      <c r="U74">
        <v>191352.81762642754</v>
      </c>
      <c r="V74">
        <v>192580.96268672662</v>
      </c>
      <c r="W74">
        <v>192387.90465921449</v>
      </c>
      <c r="X74">
        <v>0.88985619280989037</v>
      </c>
      <c r="Y74">
        <v>0.90710198903471351</v>
      </c>
      <c r="Z74">
        <v>0.92381876486609782</v>
      </c>
      <c r="AA74">
        <v>0.92977596402126772</v>
      </c>
      <c r="AB74">
        <v>0.92829846745261446</v>
      </c>
      <c r="AC74">
        <v>0.88635619280989031</v>
      </c>
      <c r="AD74">
        <v>0.90260198903471356</v>
      </c>
      <c r="AE74">
        <v>0.91831876486609787</v>
      </c>
      <c r="AF74">
        <v>0.92327596402126777</v>
      </c>
      <c r="AG74">
        <v>0.9207984674526144</v>
      </c>
      <c r="AI74" t="s">
        <v>7</v>
      </c>
      <c r="AJ74">
        <v>185105.04167398525</v>
      </c>
      <c r="AK74">
        <v>188075.62207829536</v>
      </c>
      <c r="AL74">
        <v>191352.81762642754</v>
      </c>
      <c r="AM74">
        <v>192580.96268672662</v>
      </c>
      <c r="AN74">
        <v>192387.90465921449</v>
      </c>
      <c r="AO74">
        <v>0.88985619280989037</v>
      </c>
      <c r="AP74">
        <v>0.90710198903471351</v>
      </c>
      <c r="AQ74">
        <v>0.92381876486609782</v>
      </c>
      <c r="AR74">
        <v>0.92977596402126772</v>
      </c>
      <c r="AS74">
        <v>0.92829846745261446</v>
      </c>
      <c r="AT74">
        <v>0.88635619280989031</v>
      </c>
      <c r="AU74">
        <v>0.90260198903471356</v>
      </c>
      <c r="AV74">
        <v>0.91831876486609787</v>
      </c>
      <c r="AW74">
        <v>0.92327596402126777</v>
      </c>
      <c r="AX74">
        <v>0.9207984674526144</v>
      </c>
      <c r="AZ74" t="s">
        <v>7</v>
      </c>
      <c r="BA74">
        <v>185105.04167398525</v>
      </c>
      <c r="BB74">
        <v>188075.62207829536</v>
      </c>
      <c r="BC74">
        <v>191352.81762642754</v>
      </c>
      <c r="BD74">
        <v>192580.96268672662</v>
      </c>
      <c r="BE74">
        <v>192387.90465921449</v>
      </c>
      <c r="BF74">
        <v>0.88985619280989037</v>
      </c>
      <c r="BG74">
        <v>0.90710198903471351</v>
      </c>
      <c r="BH74">
        <v>0.92381876486609782</v>
      </c>
      <c r="BI74">
        <v>0.92977596402126772</v>
      </c>
      <c r="BJ74">
        <v>0.92829846745261446</v>
      </c>
      <c r="BK74">
        <v>0.88635619280989031</v>
      </c>
      <c r="BL74">
        <v>0.90260198903471356</v>
      </c>
      <c r="BM74">
        <v>0.91831876486609787</v>
      </c>
      <c r="BN74">
        <v>0.92327596402126777</v>
      </c>
      <c r="BO74">
        <v>0.9207984674526144</v>
      </c>
      <c r="BQ74" t="s">
        <v>7</v>
      </c>
      <c r="BW74">
        <v>0.88669779519640823</v>
      </c>
      <c r="BX74">
        <v>0.90296987325119593</v>
      </c>
      <c r="BY74">
        <v>0.91870197023142763</v>
      </c>
      <c r="BZ74">
        <v>0.92367666298055429</v>
      </c>
      <c r="CA74">
        <v>0.92124475272117845</v>
      </c>
      <c r="CH74">
        <v>0.88445882026927602</v>
      </c>
    </row>
    <row r="75" spans="1:86" x14ac:dyDescent="0.35">
      <c r="A75" t="s">
        <v>17</v>
      </c>
      <c r="B75">
        <v>1278.9586648408249</v>
      </c>
      <c r="C75">
        <v>1481.3710009599886</v>
      </c>
      <c r="D75">
        <v>1783.7866524622541</v>
      </c>
      <c r="E75">
        <v>1832.5841567585185</v>
      </c>
      <c r="F75">
        <v>1914.9462037402918</v>
      </c>
      <c r="G75">
        <v>6.298473898648696E-2</v>
      </c>
      <c r="H75">
        <v>7.0941790665941917E-2</v>
      </c>
      <c r="I75">
        <v>8.3366121828752374E-2</v>
      </c>
      <c r="J75">
        <v>8.4384115039205357E-2</v>
      </c>
      <c r="K75">
        <v>8.6064413460330655E-2</v>
      </c>
      <c r="L75">
        <v>5.948473898648695E-2</v>
      </c>
      <c r="M75">
        <v>6.6441790665941913E-2</v>
      </c>
      <c r="N75">
        <v>7.7866121828752369E-2</v>
      </c>
      <c r="O75">
        <v>7.7884115039205351E-2</v>
      </c>
      <c r="P75">
        <v>7.8564413460330662E-2</v>
      </c>
      <c r="R75" t="s">
        <v>17</v>
      </c>
      <c r="S75">
        <v>1278.9586648408249</v>
      </c>
      <c r="T75">
        <v>1481.3710009599886</v>
      </c>
      <c r="U75">
        <v>1783.7866524622541</v>
      </c>
      <c r="V75">
        <v>1832.5841567585185</v>
      </c>
      <c r="W75">
        <v>1914.9462037402918</v>
      </c>
      <c r="X75">
        <v>6.298473898648696E-2</v>
      </c>
      <c r="Y75">
        <v>7.0941790665941917E-2</v>
      </c>
      <c r="Z75">
        <v>8.3366121828752374E-2</v>
      </c>
      <c r="AA75">
        <v>8.4384115039205357E-2</v>
      </c>
      <c r="AB75">
        <v>8.6064413460330655E-2</v>
      </c>
      <c r="AC75">
        <v>5.948473898648695E-2</v>
      </c>
      <c r="AD75">
        <v>6.6441790665941913E-2</v>
      </c>
      <c r="AE75">
        <v>7.7866121828752369E-2</v>
      </c>
      <c r="AF75">
        <v>7.7884115039205351E-2</v>
      </c>
      <c r="AG75">
        <v>7.8564413460330662E-2</v>
      </c>
      <c r="AI75" t="s">
        <v>17</v>
      </c>
      <c r="AJ75">
        <v>1278.9586648408249</v>
      </c>
      <c r="AK75">
        <v>1481.3710009599886</v>
      </c>
      <c r="AL75">
        <v>1783.7866524622541</v>
      </c>
      <c r="AM75">
        <v>1832.5841567585185</v>
      </c>
      <c r="AN75">
        <v>1914.9462037402918</v>
      </c>
      <c r="AO75">
        <v>6.298473898648696E-2</v>
      </c>
      <c r="AP75">
        <v>7.0941790665941917E-2</v>
      </c>
      <c r="AQ75">
        <v>8.3366121828752374E-2</v>
      </c>
      <c r="AR75">
        <v>8.4384115039205357E-2</v>
      </c>
      <c r="AS75">
        <v>8.6064413460330655E-2</v>
      </c>
      <c r="AT75">
        <v>5.948473898648695E-2</v>
      </c>
      <c r="AU75">
        <v>6.6441790665941913E-2</v>
      </c>
      <c r="AV75">
        <v>7.7866121828752369E-2</v>
      </c>
      <c r="AW75">
        <v>7.7884115039205351E-2</v>
      </c>
      <c r="AX75">
        <v>7.8564413460330662E-2</v>
      </c>
      <c r="AZ75" t="s">
        <v>17</v>
      </c>
      <c r="BA75">
        <v>1278.9586648408249</v>
      </c>
      <c r="BB75">
        <v>1481.3710009599886</v>
      </c>
      <c r="BC75">
        <v>1783.7866524622541</v>
      </c>
      <c r="BD75">
        <v>1832.5841567585185</v>
      </c>
      <c r="BE75">
        <v>1914.9462037402918</v>
      </c>
      <c r="BF75">
        <v>6.298473898648696E-2</v>
      </c>
      <c r="BG75">
        <v>7.0941790665941917E-2</v>
      </c>
      <c r="BH75">
        <v>8.3366121828752374E-2</v>
      </c>
      <c r="BI75">
        <v>8.4384115039205357E-2</v>
      </c>
      <c r="BJ75">
        <v>8.6064413460330655E-2</v>
      </c>
      <c r="BK75">
        <v>5.948473898648695E-2</v>
      </c>
      <c r="BL75">
        <v>6.6441790665941913E-2</v>
      </c>
      <c r="BM75">
        <v>7.7866121828752369E-2</v>
      </c>
      <c r="BN75">
        <v>7.7884115039205351E-2</v>
      </c>
      <c r="BO75">
        <v>7.8564413460330662E-2</v>
      </c>
      <c r="BQ75" t="s">
        <v>17</v>
      </c>
      <c r="BW75">
        <v>5.9519949927760142E-2</v>
      </c>
      <c r="BX75">
        <v>6.6492191997395617E-2</v>
      </c>
      <c r="BY75">
        <v>7.7923116029861406E-2</v>
      </c>
      <c r="BZ75">
        <v>7.7940284712613647E-2</v>
      </c>
      <c r="CA75">
        <v>7.8620478421745535E-2</v>
      </c>
      <c r="CH75">
        <v>5.6741381825254046E-2</v>
      </c>
    </row>
    <row r="76" spans="1:86" x14ac:dyDescent="0.35">
      <c r="A76" t="s">
        <v>18</v>
      </c>
      <c r="B76">
        <v>3549538.496273201</v>
      </c>
      <c r="C76">
        <v>3602458.6841756515</v>
      </c>
      <c r="D76">
        <v>3658295.4256535396</v>
      </c>
      <c r="E76">
        <v>3707181.8192552025</v>
      </c>
      <c r="F76">
        <v>3746870.6257180246</v>
      </c>
      <c r="G76">
        <v>0.82899606063852915</v>
      </c>
      <c r="H76">
        <v>0.81641021539255021</v>
      </c>
      <c r="I76">
        <v>0.80744919694547956</v>
      </c>
      <c r="J76">
        <v>0.79834064012169847</v>
      </c>
      <c r="K76">
        <v>0.78834790036736158</v>
      </c>
      <c r="L76">
        <v>0.82549606063852909</v>
      </c>
      <c r="M76">
        <v>0.81191021539255026</v>
      </c>
      <c r="N76">
        <v>0.80194919694547961</v>
      </c>
      <c r="O76">
        <v>0.79184064012169852</v>
      </c>
      <c r="P76">
        <v>0.78084790036736162</v>
      </c>
      <c r="R76" t="s">
        <v>18</v>
      </c>
      <c r="S76">
        <v>3549538.496273201</v>
      </c>
      <c r="T76">
        <v>3602458.6841756515</v>
      </c>
      <c r="U76">
        <v>3658295.4256535396</v>
      </c>
      <c r="V76">
        <v>3707181.8192552025</v>
      </c>
      <c r="W76">
        <v>3746870.6257180246</v>
      </c>
      <c r="X76">
        <v>0.82899606063852915</v>
      </c>
      <c r="Y76">
        <v>0.81641021539255021</v>
      </c>
      <c r="Z76">
        <v>0.80744919694547956</v>
      </c>
      <c r="AA76">
        <v>0.79834064012169847</v>
      </c>
      <c r="AB76">
        <v>0.78834790036736158</v>
      </c>
      <c r="AC76">
        <v>0.82549606063852909</v>
      </c>
      <c r="AD76">
        <v>0.81191021539255026</v>
      </c>
      <c r="AE76">
        <v>0.80194919694547961</v>
      </c>
      <c r="AF76">
        <v>0.79184064012169852</v>
      </c>
      <c r="AG76">
        <v>0.78084790036736162</v>
      </c>
      <c r="AI76" t="s">
        <v>18</v>
      </c>
      <c r="AJ76">
        <v>3549686.2236528993</v>
      </c>
      <c r="AK76">
        <v>3602772.0772597259</v>
      </c>
      <c r="AL76">
        <v>3658812.5242422619</v>
      </c>
      <c r="AM76">
        <v>3707945.7148976335</v>
      </c>
      <c r="AN76">
        <v>3747928.327376775</v>
      </c>
      <c r="AO76">
        <v>0.83721418373462497</v>
      </c>
      <c r="AP76">
        <v>0.82942883754348584</v>
      </c>
      <c r="AQ76">
        <v>0.82444095451977772</v>
      </c>
      <c r="AR76">
        <v>0.81889688565299301</v>
      </c>
      <c r="AS76">
        <v>0.81221902210279906</v>
      </c>
      <c r="AT76">
        <v>0.8337141837346248</v>
      </c>
      <c r="AU76">
        <v>0.82492883754348578</v>
      </c>
      <c r="AV76">
        <v>0.81894095451977766</v>
      </c>
      <c r="AW76">
        <v>0.81239688565299317</v>
      </c>
      <c r="AX76">
        <v>0.804719022102799</v>
      </c>
      <c r="AZ76" t="s">
        <v>18</v>
      </c>
      <c r="BA76">
        <v>3549686.2236528993</v>
      </c>
      <c r="BB76">
        <v>3602772.0772597259</v>
      </c>
      <c r="BC76">
        <v>3658812.5242422619</v>
      </c>
      <c r="BD76">
        <v>3707945.7148976335</v>
      </c>
      <c r="BE76">
        <v>3747928.327376775</v>
      </c>
      <c r="BF76">
        <v>0.83721418373462497</v>
      </c>
      <c r="BG76">
        <v>0.82942883754348584</v>
      </c>
      <c r="BH76">
        <v>0.82444095451977772</v>
      </c>
      <c r="BI76">
        <v>0.81889688565299301</v>
      </c>
      <c r="BJ76">
        <v>0.81221902210279906</v>
      </c>
      <c r="BK76">
        <v>0.8337141837346248</v>
      </c>
      <c r="BL76">
        <v>0.82492883754348578</v>
      </c>
      <c r="BM76">
        <v>0.81894095451977766</v>
      </c>
      <c r="BN76">
        <v>0.81239688565299317</v>
      </c>
      <c r="BO76">
        <v>0.804719022102799</v>
      </c>
      <c r="BQ76" t="s">
        <v>18</v>
      </c>
      <c r="BW76">
        <v>0.83423749580663864</v>
      </c>
      <c r="BX76">
        <v>0.82548194915326878</v>
      </c>
      <c r="BY76">
        <v>0.81951026084165768</v>
      </c>
      <c r="BZ76">
        <v>0.81298205671407031</v>
      </c>
      <c r="CA76">
        <v>0.80532756593653065</v>
      </c>
      <c r="CH76">
        <v>0.83376418195136404</v>
      </c>
    </row>
    <row r="80" spans="1:86" x14ac:dyDescent="0.35">
      <c r="B80" t="s">
        <v>39</v>
      </c>
      <c r="S80" t="s">
        <v>39</v>
      </c>
      <c r="AJ80" t="s">
        <v>39</v>
      </c>
      <c r="BA80" t="s">
        <v>39</v>
      </c>
      <c r="BR80" t="s">
        <v>39</v>
      </c>
      <c r="CH80" t="s">
        <v>39</v>
      </c>
    </row>
    <row r="81" spans="1:110" x14ac:dyDescent="0.35">
      <c r="B81" t="s">
        <v>40</v>
      </c>
      <c r="G81" t="s">
        <v>41</v>
      </c>
      <c r="S81" t="s">
        <v>40</v>
      </c>
      <c r="X81" t="s">
        <v>41</v>
      </c>
      <c r="AJ81" t="s">
        <v>40</v>
      </c>
      <c r="AO81" t="s">
        <v>41</v>
      </c>
      <c r="BA81" t="s">
        <v>40</v>
      </c>
      <c r="BF81" t="s">
        <v>41</v>
      </c>
      <c r="BR81" t="s">
        <v>40</v>
      </c>
      <c r="BW81" t="s">
        <v>41</v>
      </c>
      <c r="CH81" t="s">
        <v>38</v>
      </c>
    </row>
    <row r="82" spans="1:110" x14ac:dyDescent="0.35">
      <c r="B82" t="s">
        <v>80</v>
      </c>
      <c r="C82" t="s">
        <v>79</v>
      </c>
      <c r="D82" t="s">
        <v>78</v>
      </c>
      <c r="E82" t="s">
        <v>77</v>
      </c>
      <c r="F82" t="s">
        <v>76</v>
      </c>
      <c r="G82" t="s">
        <v>80</v>
      </c>
      <c r="H82" t="s">
        <v>79</v>
      </c>
      <c r="I82" t="s">
        <v>78</v>
      </c>
      <c r="J82" t="s">
        <v>77</v>
      </c>
      <c r="K82" t="s">
        <v>76</v>
      </c>
      <c r="S82" t="s">
        <v>80</v>
      </c>
      <c r="T82" t="s">
        <v>79</v>
      </c>
      <c r="U82" t="s">
        <v>78</v>
      </c>
      <c r="V82" t="s">
        <v>77</v>
      </c>
      <c r="W82" t="s">
        <v>76</v>
      </c>
      <c r="X82" t="s">
        <v>80</v>
      </c>
      <c r="Y82" t="s">
        <v>79</v>
      </c>
      <c r="Z82" t="s">
        <v>78</v>
      </c>
      <c r="AA82" t="s">
        <v>77</v>
      </c>
      <c r="AB82" t="s">
        <v>76</v>
      </c>
      <c r="AJ82" t="s">
        <v>80</v>
      </c>
      <c r="AK82" t="s">
        <v>79</v>
      </c>
      <c r="AL82" t="s">
        <v>78</v>
      </c>
      <c r="AM82" t="s">
        <v>77</v>
      </c>
      <c r="AN82" t="s">
        <v>76</v>
      </c>
      <c r="AO82" t="s">
        <v>80</v>
      </c>
      <c r="AP82" t="s">
        <v>79</v>
      </c>
      <c r="AQ82" t="s">
        <v>78</v>
      </c>
      <c r="AR82" t="s">
        <v>77</v>
      </c>
      <c r="AS82" t="s">
        <v>76</v>
      </c>
      <c r="BA82" t="s">
        <v>80</v>
      </c>
      <c r="BB82" t="s">
        <v>79</v>
      </c>
      <c r="BC82" t="s">
        <v>78</v>
      </c>
      <c r="BD82" t="s">
        <v>77</v>
      </c>
      <c r="BE82" t="s">
        <v>76</v>
      </c>
      <c r="BF82" t="s">
        <v>80</v>
      </c>
      <c r="BG82" t="s">
        <v>79</v>
      </c>
      <c r="BH82" t="s">
        <v>78</v>
      </c>
      <c r="BI82" t="s">
        <v>77</v>
      </c>
      <c r="BJ82" t="s">
        <v>76</v>
      </c>
      <c r="BR82" t="s">
        <v>80</v>
      </c>
      <c r="BS82" t="s">
        <v>79</v>
      </c>
      <c r="BT82" t="s">
        <v>78</v>
      </c>
      <c r="BU82" t="s">
        <v>77</v>
      </c>
      <c r="BV82" t="s">
        <v>76</v>
      </c>
      <c r="BW82" t="s">
        <v>80</v>
      </c>
      <c r="BX82" t="s">
        <v>79</v>
      </c>
      <c r="BY82" t="s">
        <v>78</v>
      </c>
      <c r="BZ82" t="s">
        <v>77</v>
      </c>
      <c r="CA82" t="s">
        <v>76</v>
      </c>
      <c r="CH82" t="s">
        <v>40</v>
      </c>
      <c r="CI82" t="s">
        <v>42</v>
      </c>
      <c r="CJ82" t="s">
        <v>18</v>
      </c>
      <c r="CK82" t="s">
        <v>41</v>
      </c>
      <c r="CL82" t="s">
        <v>43</v>
      </c>
      <c r="CM82" t="s">
        <v>44</v>
      </c>
    </row>
    <row r="83" spans="1:110" x14ac:dyDescent="0.35">
      <c r="A83" t="s">
        <v>14</v>
      </c>
      <c r="B83">
        <v>333450447.35979998</v>
      </c>
      <c r="C83">
        <v>345499783.09969997</v>
      </c>
      <c r="D83">
        <v>360049186.28789997</v>
      </c>
      <c r="E83">
        <v>374270146.91159999</v>
      </c>
      <c r="F83">
        <v>386108239.30500001</v>
      </c>
      <c r="G83">
        <v>128.6397</v>
      </c>
      <c r="H83">
        <v>130.4786</v>
      </c>
      <c r="I83">
        <v>133.05779999999999</v>
      </c>
      <c r="J83">
        <v>135.5822</v>
      </c>
      <c r="K83">
        <v>137.58590000000001</v>
      </c>
      <c r="R83" t="s">
        <v>14</v>
      </c>
      <c r="S83">
        <v>333450447.35979998</v>
      </c>
      <c r="T83">
        <v>345499783.09969997</v>
      </c>
      <c r="U83">
        <v>360049186.28789997</v>
      </c>
      <c r="V83">
        <v>374270146.91159999</v>
      </c>
      <c r="W83">
        <v>386108239.30500001</v>
      </c>
      <c r="X83">
        <v>128.6397</v>
      </c>
      <c r="Y83">
        <v>130.4786</v>
      </c>
      <c r="Z83">
        <v>133.05779999999999</v>
      </c>
      <c r="AA83">
        <v>135.5822</v>
      </c>
      <c r="AB83">
        <v>137.58590000000001</v>
      </c>
      <c r="AI83" t="s">
        <v>14</v>
      </c>
      <c r="AJ83">
        <v>333450447.35979998</v>
      </c>
      <c r="AK83">
        <v>345499783.09969997</v>
      </c>
      <c r="AL83">
        <v>360049186.28789997</v>
      </c>
      <c r="AM83">
        <v>374270146.91159999</v>
      </c>
      <c r="AN83">
        <v>386108239.30500001</v>
      </c>
      <c r="AO83">
        <v>128.6397</v>
      </c>
      <c r="AP83">
        <v>130.4786</v>
      </c>
      <c r="AQ83">
        <v>133.05779999999999</v>
      </c>
      <c r="AR83">
        <v>135.5822</v>
      </c>
      <c r="AS83">
        <v>137.58590000000001</v>
      </c>
      <c r="AZ83" t="s">
        <v>14</v>
      </c>
      <c r="BA83">
        <v>333450447.35979998</v>
      </c>
      <c r="BB83">
        <v>345499783.09969997</v>
      </c>
      <c r="BC83">
        <v>360049186.28789997</v>
      </c>
      <c r="BD83">
        <v>374270146.91159999</v>
      </c>
      <c r="BE83">
        <v>386108239.30500001</v>
      </c>
      <c r="BF83">
        <v>128.6397</v>
      </c>
      <c r="BG83">
        <v>130.4786</v>
      </c>
      <c r="BH83">
        <v>133.05779999999999</v>
      </c>
      <c r="BI83">
        <v>135.5822</v>
      </c>
      <c r="BJ83">
        <v>137.58590000000001</v>
      </c>
      <c r="BQ83" t="s">
        <v>14</v>
      </c>
      <c r="BR83">
        <v>332020399.97109997</v>
      </c>
      <c r="BS83">
        <v>343569519.0765</v>
      </c>
      <c r="BT83">
        <v>357569730.10970002</v>
      </c>
      <c r="BU83">
        <v>371199175.52380002</v>
      </c>
      <c r="BV83">
        <v>382416169.4975</v>
      </c>
      <c r="BW83">
        <v>128.6397</v>
      </c>
      <c r="BX83">
        <v>130.4786</v>
      </c>
      <c r="BY83">
        <v>133.05779999999999</v>
      </c>
      <c r="BZ83">
        <v>135.5822</v>
      </c>
      <c r="CA83">
        <v>137.58590000000001</v>
      </c>
      <c r="CH83">
        <v>319207257.12237471</v>
      </c>
      <c r="CI83">
        <v>771224560.76256096</v>
      </c>
      <c r="CJ83">
        <v>1090431817.8849356</v>
      </c>
      <c r="CK83">
        <v>126.35590000000001</v>
      </c>
      <c r="CL83">
        <v>1317.47</v>
      </c>
      <c r="CM83">
        <v>350.4366</v>
      </c>
    </row>
    <row r="84" spans="1:110" x14ac:dyDescent="0.35">
      <c r="A84" t="s">
        <v>15</v>
      </c>
      <c r="B84">
        <v>274537109.6925</v>
      </c>
      <c r="C84">
        <v>279870070.85820001</v>
      </c>
      <c r="D84">
        <v>284687188.91509998</v>
      </c>
      <c r="E84">
        <v>288633885.2748</v>
      </c>
      <c r="F84">
        <v>303131141.4145</v>
      </c>
      <c r="G84">
        <v>349.60789999999997</v>
      </c>
      <c r="H84">
        <v>357.02789999999999</v>
      </c>
      <c r="I84">
        <v>363.57780000000002</v>
      </c>
      <c r="J84">
        <v>369.46350000000001</v>
      </c>
      <c r="K84">
        <v>388.38049999999998</v>
      </c>
      <c r="R84" t="s">
        <v>15</v>
      </c>
      <c r="S84">
        <v>274537109.6925</v>
      </c>
      <c r="T84">
        <v>279870070.85820001</v>
      </c>
      <c r="U84">
        <v>284687188.91509998</v>
      </c>
      <c r="V84">
        <v>288633885.2748</v>
      </c>
      <c r="W84">
        <v>303131141.4145</v>
      </c>
      <c r="X84">
        <v>349.60789999999997</v>
      </c>
      <c r="Y84">
        <v>357.02789999999999</v>
      </c>
      <c r="Z84">
        <v>363.57780000000002</v>
      </c>
      <c r="AA84">
        <v>369.46350000000001</v>
      </c>
      <c r="AB84">
        <v>388.38049999999998</v>
      </c>
      <c r="AI84" t="s">
        <v>15</v>
      </c>
      <c r="AJ84">
        <v>274537109.6925</v>
      </c>
      <c r="AK84">
        <v>279870070.85820001</v>
      </c>
      <c r="AL84">
        <v>284687188.91509998</v>
      </c>
      <c r="AM84">
        <v>288633885.2748</v>
      </c>
      <c r="AN84">
        <v>303131141.4145</v>
      </c>
      <c r="AO84">
        <v>349.60789999999997</v>
      </c>
      <c r="AP84">
        <v>357.02789999999999</v>
      </c>
      <c r="AQ84">
        <v>363.57780000000002</v>
      </c>
      <c r="AR84">
        <v>369.46350000000001</v>
      </c>
      <c r="AS84">
        <v>388.38049999999998</v>
      </c>
      <c r="AZ84" t="s">
        <v>15</v>
      </c>
      <c r="BA84">
        <v>274537109.6925</v>
      </c>
      <c r="BB84">
        <v>279870070.85820001</v>
      </c>
      <c r="BC84">
        <v>284687188.91509998</v>
      </c>
      <c r="BD84">
        <v>288633885.2748</v>
      </c>
      <c r="BE84">
        <v>303131141.4145</v>
      </c>
      <c r="BF84">
        <v>349.60789999999997</v>
      </c>
      <c r="BG84">
        <v>357.02789999999999</v>
      </c>
      <c r="BH84">
        <v>363.57780000000002</v>
      </c>
      <c r="BI84">
        <v>369.46350000000001</v>
      </c>
      <c r="BJ84">
        <v>388.38049999999998</v>
      </c>
      <c r="BQ84" t="s">
        <v>15</v>
      </c>
      <c r="BR84">
        <v>273495627.55330002</v>
      </c>
      <c r="BS84">
        <v>278505702.23369998</v>
      </c>
      <c r="BT84">
        <v>282990707.1591</v>
      </c>
      <c r="BU84">
        <v>286598755.7184</v>
      </c>
      <c r="BV84">
        <v>300666359.33389997</v>
      </c>
      <c r="BW84">
        <v>349.60789999999997</v>
      </c>
      <c r="BX84">
        <v>357.02789999999999</v>
      </c>
      <c r="BY84">
        <v>363.57780000000002</v>
      </c>
      <c r="BZ84">
        <v>369.46350000000001</v>
      </c>
      <c r="CA84">
        <v>388.38049999999998</v>
      </c>
      <c r="CH84">
        <v>269227432.64355201</v>
      </c>
      <c r="CI84">
        <v>91812439.565441057</v>
      </c>
      <c r="CJ84">
        <v>361039872.20899308</v>
      </c>
      <c r="CK84">
        <v>342.84519999999998</v>
      </c>
      <c r="CL84">
        <v>1341.7379000000001</v>
      </c>
      <c r="CM84">
        <v>422.91090000000003</v>
      </c>
    </row>
    <row r="85" spans="1:110" x14ac:dyDescent="0.35">
      <c r="A85" t="s">
        <v>7</v>
      </c>
      <c r="B85">
        <v>60573725.917599998</v>
      </c>
      <c r="C85">
        <v>65368210.9811</v>
      </c>
      <c r="D85">
        <v>69831002.356600001</v>
      </c>
      <c r="E85">
        <v>72134294.030699998</v>
      </c>
      <c r="F85">
        <v>73526575.681500003</v>
      </c>
      <c r="G85">
        <v>325.95260000000002</v>
      </c>
      <c r="H85">
        <v>345.83920000000001</v>
      </c>
      <c r="I85">
        <v>362.76060000000001</v>
      </c>
      <c r="J85">
        <v>371.94749999999999</v>
      </c>
      <c r="K85">
        <v>379.09100000000001</v>
      </c>
      <c r="R85" t="s">
        <v>7</v>
      </c>
      <c r="S85">
        <v>60573725.917599998</v>
      </c>
      <c r="T85">
        <v>65368210.9811</v>
      </c>
      <c r="U85">
        <v>69831002.356600001</v>
      </c>
      <c r="V85">
        <v>72134294.030699998</v>
      </c>
      <c r="W85">
        <v>73526575.681500003</v>
      </c>
      <c r="X85">
        <v>325.95260000000002</v>
      </c>
      <c r="Y85">
        <v>345.83920000000001</v>
      </c>
      <c r="Z85">
        <v>362.76060000000001</v>
      </c>
      <c r="AA85">
        <v>371.94749999999999</v>
      </c>
      <c r="AB85">
        <v>379.09100000000001</v>
      </c>
      <c r="AI85" t="s">
        <v>7</v>
      </c>
      <c r="AJ85">
        <v>60573725.917599998</v>
      </c>
      <c r="AK85">
        <v>65368210.9811</v>
      </c>
      <c r="AL85">
        <v>69831002.356600001</v>
      </c>
      <c r="AM85">
        <v>72134294.030699998</v>
      </c>
      <c r="AN85">
        <v>73526575.681500003</v>
      </c>
      <c r="AO85">
        <v>325.95260000000002</v>
      </c>
      <c r="AP85">
        <v>345.83920000000001</v>
      </c>
      <c r="AQ85">
        <v>362.76060000000001</v>
      </c>
      <c r="AR85">
        <v>371.94749999999999</v>
      </c>
      <c r="AS85">
        <v>379.09100000000001</v>
      </c>
      <c r="AZ85" t="s">
        <v>7</v>
      </c>
      <c r="BA85">
        <v>60573725.917599998</v>
      </c>
      <c r="BB85">
        <v>65368210.9811</v>
      </c>
      <c r="BC85">
        <v>69831002.356600001</v>
      </c>
      <c r="BD85">
        <v>72134294.030699998</v>
      </c>
      <c r="BE85">
        <v>73526575.681500003</v>
      </c>
      <c r="BF85">
        <v>325.95260000000002</v>
      </c>
      <c r="BG85">
        <v>345.83920000000001</v>
      </c>
      <c r="BH85">
        <v>362.76060000000001</v>
      </c>
      <c r="BI85">
        <v>371.94749999999999</v>
      </c>
      <c r="BJ85">
        <v>379.09100000000001</v>
      </c>
      <c r="BQ85" t="s">
        <v>7</v>
      </c>
      <c r="BR85">
        <v>60335476.139200002</v>
      </c>
      <c r="BS85">
        <v>65043928.868500002</v>
      </c>
      <c r="BT85">
        <v>69415260.083800003</v>
      </c>
      <c r="BU85">
        <v>71630008.128199995</v>
      </c>
      <c r="BV85">
        <v>72932532.561800003</v>
      </c>
      <c r="BW85">
        <v>325.95260000000002</v>
      </c>
      <c r="BX85">
        <v>345.83920000000001</v>
      </c>
      <c r="BY85">
        <v>362.76060000000001</v>
      </c>
      <c r="BZ85">
        <v>371.94749999999999</v>
      </c>
      <c r="CA85">
        <v>379.09100000000001</v>
      </c>
      <c r="CH85">
        <v>59093174.737117857</v>
      </c>
      <c r="CI85">
        <v>46580070.443865098</v>
      </c>
      <c r="CJ85">
        <v>105673245.18098295</v>
      </c>
      <c r="CK85">
        <v>319.21719999999999</v>
      </c>
      <c r="CL85">
        <v>1926.1494</v>
      </c>
      <c r="CM85">
        <v>504.88409999999999</v>
      </c>
    </row>
    <row r="86" spans="1:110" x14ac:dyDescent="0.35">
      <c r="A86" t="s">
        <v>17</v>
      </c>
      <c r="B86">
        <v>14562317.6601</v>
      </c>
      <c r="C86">
        <v>18995607.187899999</v>
      </c>
      <c r="D86">
        <v>25127356.0561</v>
      </c>
      <c r="E86">
        <v>27350785.796100002</v>
      </c>
      <c r="F86">
        <v>30136135.535799999</v>
      </c>
      <c r="G86">
        <v>10753.3608</v>
      </c>
      <c r="H86">
        <v>12009.5995</v>
      </c>
      <c r="I86">
        <v>13157.180399999999</v>
      </c>
      <c r="J86">
        <v>13775.078100000001</v>
      </c>
      <c r="K86">
        <v>14365.9133</v>
      </c>
      <c r="R86" t="s">
        <v>17</v>
      </c>
      <c r="S86">
        <v>14562317.6601</v>
      </c>
      <c r="T86">
        <v>18995607.187899999</v>
      </c>
      <c r="U86">
        <v>25127356.0561</v>
      </c>
      <c r="V86">
        <v>27350785.796100002</v>
      </c>
      <c r="W86">
        <v>30136135.535799999</v>
      </c>
      <c r="X86">
        <v>10753.3608</v>
      </c>
      <c r="Y86">
        <v>12009.5995</v>
      </c>
      <c r="Z86">
        <v>13157.180399999999</v>
      </c>
      <c r="AA86">
        <v>13775.078100000001</v>
      </c>
      <c r="AB86">
        <v>14365.9133</v>
      </c>
      <c r="AI86" t="s">
        <v>17</v>
      </c>
      <c r="AJ86">
        <v>14562317.6601</v>
      </c>
      <c r="AK86">
        <v>18995607.187899999</v>
      </c>
      <c r="AL86">
        <v>25127356.0561</v>
      </c>
      <c r="AM86">
        <v>27350785.796100002</v>
      </c>
      <c r="AN86">
        <v>30136135.535799999</v>
      </c>
      <c r="AO86">
        <v>10753.3608</v>
      </c>
      <c r="AP86">
        <v>12009.5995</v>
      </c>
      <c r="AQ86">
        <v>13157.180399999999</v>
      </c>
      <c r="AR86">
        <v>13775.078100000001</v>
      </c>
      <c r="AS86">
        <v>14365.9133</v>
      </c>
      <c r="AZ86" t="s">
        <v>17</v>
      </c>
      <c r="BA86">
        <v>14562317.6601</v>
      </c>
      <c r="BB86">
        <v>18995607.187899999</v>
      </c>
      <c r="BC86">
        <v>25127356.0561</v>
      </c>
      <c r="BD86">
        <v>27350785.796100002</v>
      </c>
      <c r="BE86">
        <v>30136135.535799999</v>
      </c>
      <c r="BF86">
        <v>10753.3608</v>
      </c>
      <c r="BG86">
        <v>12009.5995</v>
      </c>
      <c r="BH86">
        <v>13157.180399999999</v>
      </c>
      <c r="BI86">
        <v>13775.078100000001</v>
      </c>
      <c r="BJ86">
        <v>14365.9133</v>
      </c>
      <c r="BQ86" t="s">
        <v>17</v>
      </c>
      <c r="BR86">
        <v>13753103.989700001</v>
      </c>
      <c r="BS86">
        <v>17790672.387899999</v>
      </c>
      <c r="BT86">
        <v>23469602.819200002</v>
      </c>
      <c r="BU86">
        <v>25243989.895100001</v>
      </c>
      <c r="BV86">
        <v>27509951.176600002</v>
      </c>
      <c r="BW86">
        <v>10753.3608</v>
      </c>
      <c r="BX86">
        <v>12009.5995</v>
      </c>
      <c r="BY86">
        <v>13157.180399999999</v>
      </c>
      <c r="BZ86">
        <v>13775.078100000001</v>
      </c>
      <c r="CA86">
        <v>14365.9133</v>
      </c>
      <c r="CH86">
        <v>11496191.336866004</v>
      </c>
      <c r="CI86">
        <v>291235898.27985716</v>
      </c>
      <c r="CJ86">
        <v>302732089.61672318</v>
      </c>
      <c r="CK86">
        <v>9851.0637000000006</v>
      </c>
      <c r="CL86">
        <v>15012.1597</v>
      </c>
      <c r="CM86">
        <v>14719.312</v>
      </c>
    </row>
    <row r="87" spans="1:110" x14ac:dyDescent="0.35">
      <c r="A87" t="s">
        <v>18</v>
      </c>
      <c r="B87">
        <v>683123600.63</v>
      </c>
      <c r="C87">
        <v>709733672.12699997</v>
      </c>
      <c r="D87">
        <v>739694733.61570001</v>
      </c>
      <c r="E87">
        <v>762389112.01339996</v>
      </c>
      <c r="F87">
        <v>792902091.93690002</v>
      </c>
      <c r="G87">
        <v>191.64169999999999</v>
      </c>
      <c r="H87">
        <v>195.92779999999999</v>
      </c>
      <c r="I87">
        <v>200.8193</v>
      </c>
      <c r="J87">
        <v>203.97749999999999</v>
      </c>
      <c r="K87">
        <v>209.60390000000001</v>
      </c>
      <c r="R87" t="s">
        <v>18</v>
      </c>
      <c r="S87">
        <v>683123600.63</v>
      </c>
      <c r="T87">
        <v>709733672.12699997</v>
      </c>
      <c r="U87">
        <v>739694733.61570001</v>
      </c>
      <c r="V87">
        <v>762389112.01339996</v>
      </c>
      <c r="W87">
        <v>792902091.93690002</v>
      </c>
      <c r="X87">
        <v>191.64169999999999</v>
      </c>
      <c r="Y87">
        <v>195.92779999999999</v>
      </c>
      <c r="Z87">
        <v>200.8193</v>
      </c>
      <c r="AA87">
        <v>203.97749999999999</v>
      </c>
      <c r="AB87">
        <v>209.60390000000001</v>
      </c>
      <c r="AI87" t="s">
        <v>18</v>
      </c>
      <c r="AJ87">
        <v>683123600.63</v>
      </c>
      <c r="AK87">
        <v>709733672.12699997</v>
      </c>
      <c r="AL87">
        <v>739694733.61570001</v>
      </c>
      <c r="AM87">
        <v>762389112.01339996</v>
      </c>
      <c r="AN87">
        <v>792902091.93690002</v>
      </c>
      <c r="AO87">
        <v>191.64169999999999</v>
      </c>
      <c r="AP87">
        <v>195.92779999999999</v>
      </c>
      <c r="AQ87">
        <v>200.8193</v>
      </c>
      <c r="AR87">
        <v>203.97749999999999</v>
      </c>
      <c r="AS87">
        <v>209.60390000000001</v>
      </c>
      <c r="AZ87" t="s">
        <v>18</v>
      </c>
      <c r="BA87">
        <v>683123600.63</v>
      </c>
      <c r="BB87">
        <v>709733672.12699997</v>
      </c>
      <c r="BC87">
        <v>739694733.61570001</v>
      </c>
      <c r="BD87">
        <v>762389112.01339996</v>
      </c>
      <c r="BE87">
        <v>792902091.93690002</v>
      </c>
      <c r="BF87">
        <v>191.64169999999999</v>
      </c>
      <c r="BG87">
        <v>195.92779999999999</v>
      </c>
      <c r="BH87">
        <v>200.8193</v>
      </c>
      <c r="BI87">
        <v>203.97749999999999</v>
      </c>
      <c r="BJ87">
        <v>209.60390000000001</v>
      </c>
      <c r="BQ87" t="s">
        <v>18</v>
      </c>
      <c r="BR87">
        <v>679604607.65330005</v>
      </c>
      <c r="BS87">
        <v>704909822.56659997</v>
      </c>
      <c r="BT87">
        <v>733445300.17180002</v>
      </c>
      <c r="BU87">
        <v>754671929.26549995</v>
      </c>
      <c r="BV87">
        <v>783525012.56980002</v>
      </c>
      <c r="BW87">
        <v>191.45480000000001</v>
      </c>
      <c r="BX87">
        <v>195.6576</v>
      </c>
      <c r="BY87">
        <v>200.4599</v>
      </c>
      <c r="BZ87">
        <v>203.5283</v>
      </c>
      <c r="CA87">
        <v>209.05549999999999</v>
      </c>
      <c r="CH87">
        <v>659024055.83991063</v>
      </c>
      <c r="CI87">
        <v>1200852969.0517242</v>
      </c>
      <c r="CJ87">
        <v>1859877024.8916349</v>
      </c>
      <c r="CK87">
        <v>188.4102</v>
      </c>
      <c r="CL87">
        <v>1721.9147</v>
      </c>
      <c r="CM87">
        <v>443.33359999999999</v>
      </c>
    </row>
    <row r="89" spans="1:110" x14ac:dyDescent="0.35">
      <c r="B89" t="s">
        <v>39</v>
      </c>
      <c r="S89" t="s">
        <v>39</v>
      </c>
      <c r="AJ89" t="s">
        <v>39</v>
      </c>
      <c r="BA89" t="s">
        <v>39</v>
      </c>
      <c r="BR89" t="s">
        <v>39</v>
      </c>
      <c r="CV89" t="s">
        <v>45</v>
      </c>
      <c r="DB89" t="s">
        <v>46</v>
      </c>
    </row>
    <row r="90" spans="1:110" x14ac:dyDescent="0.35">
      <c r="B90" t="s">
        <v>42</v>
      </c>
      <c r="G90" t="s">
        <v>43</v>
      </c>
      <c r="S90" t="s">
        <v>42</v>
      </c>
      <c r="X90" t="s">
        <v>43</v>
      </c>
      <c r="AJ90" t="s">
        <v>42</v>
      </c>
      <c r="AO90" t="s">
        <v>43</v>
      </c>
      <c r="AT90" t="s">
        <v>47</v>
      </c>
      <c r="BA90" t="s">
        <v>42</v>
      </c>
      <c r="BF90" t="s">
        <v>43</v>
      </c>
      <c r="BR90" t="s">
        <v>42</v>
      </c>
      <c r="BW90" t="s">
        <v>43</v>
      </c>
      <c r="CV90" t="s">
        <v>5</v>
      </c>
      <c r="DB90" t="s">
        <v>48</v>
      </c>
    </row>
    <row r="91" spans="1:110" x14ac:dyDescent="0.35">
      <c r="B91" t="s">
        <v>80</v>
      </c>
      <c r="C91" t="s">
        <v>79</v>
      </c>
      <c r="D91" t="s">
        <v>78</v>
      </c>
      <c r="E91" t="s">
        <v>77</v>
      </c>
      <c r="F91" t="s">
        <v>76</v>
      </c>
      <c r="G91" t="s">
        <v>80</v>
      </c>
      <c r="H91" t="s">
        <v>79</v>
      </c>
      <c r="I91" t="s">
        <v>78</v>
      </c>
      <c r="J91" t="s">
        <v>77</v>
      </c>
      <c r="K91" t="s">
        <v>76</v>
      </c>
      <c r="S91" t="s">
        <v>80</v>
      </c>
      <c r="T91" t="s">
        <v>79</v>
      </c>
      <c r="U91" t="s">
        <v>78</v>
      </c>
      <c r="V91" t="s">
        <v>77</v>
      </c>
      <c r="W91" t="s">
        <v>76</v>
      </c>
      <c r="X91" t="s">
        <v>80</v>
      </c>
      <c r="Y91" t="s">
        <v>79</v>
      </c>
      <c r="Z91" t="s">
        <v>78</v>
      </c>
      <c r="AA91" t="s">
        <v>77</v>
      </c>
      <c r="AB91" t="s">
        <v>76</v>
      </c>
      <c r="AJ91" t="s">
        <v>80</v>
      </c>
      <c r="AK91" t="s">
        <v>79</v>
      </c>
      <c r="AL91" t="s">
        <v>78</v>
      </c>
      <c r="AM91" t="s">
        <v>77</v>
      </c>
      <c r="AN91" t="s">
        <v>76</v>
      </c>
      <c r="AO91" t="s">
        <v>80</v>
      </c>
      <c r="AP91" t="s">
        <v>79</v>
      </c>
      <c r="AQ91" t="s">
        <v>78</v>
      </c>
      <c r="AR91" t="s">
        <v>77</v>
      </c>
      <c r="AS91" t="s">
        <v>76</v>
      </c>
      <c r="AT91" t="s">
        <v>80</v>
      </c>
      <c r="AU91" t="s">
        <v>79</v>
      </c>
      <c r="AV91" t="s">
        <v>78</v>
      </c>
      <c r="AW91" t="s">
        <v>77</v>
      </c>
      <c r="AX91" t="s">
        <v>76</v>
      </c>
      <c r="BA91" t="s">
        <v>80</v>
      </c>
      <c r="BB91" t="s">
        <v>79</v>
      </c>
      <c r="BC91" t="s">
        <v>78</v>
      </c>
      <c r="BD91" t="s">
        <v>77</v>
      </c>
      <c r="BE91" t="s">
        <v>76</v>
      </c>
      <c r="BF91" t="s">
        <v>80</v>
      </c>
      <c r="BG91" t="s">
        <v>79</v>
      </c>
      <c r="BH91" t="s">
        <v>78</v>
      </c>
      <c r="BI91" t="s">
        <v>77</v>
      </c>
      <c r="BJ91" t="s">
        <v>76</v>
      </c>
      <c r="BR91" t="s">
        <v>80</v>
      </c>
      <c r="BS91" t="s">
        <v>79</v>
      </c>
      <c r="BT91" t="s">
        <v>78</v>
      </c>
      <c r="BU91" t="s">
        <v>77</v>
      </c>
      <c r="BV91" t="s">
        <v>76</v>
      </c>
      <c r="BW91" t="s">
        <v>80</v>
      </c>
      <c r="BX91" t="s">
        <v>79</v>
      </c>
      <c r="BY91" t="s">
        <v>78</v>
      </c>
      <c r="BZ91" t="s">
        <v>77</v>
      </c>
      <c r="CA91" t="s">
        <v>76</v>
      </c>
      <c r="CV91" t="s">
        <v>80</v>
      </c>
      <c r="CW91" t="s">
        <v>79</v>
      </c>
      <c r="CX91" t="s">
        <v>78</v>
      </c>
      <c r="CY91" t="s">
        <v>77</v>
      </c>
      <c r="CZ91" t="s">
        <v>76</v>
      </c>
      <c r="DB91" t="s">
        <v>80</v>
      </c>
      <c r="DC91" t="s">
        <v>79</v>
      </c>
      <c r="DD91" t="s">
        <v>78</v>
      </c>
      <c r="DE91" t="s">
        <v>77</v>
      </c>
      <c r="DF91" t="s">
        <v>76</v>
      </c>
    </row>
    <row r="92" spans="1:110" x14ac:dyDescent="0.35">
      <c r="A92" t="s">
        <v>14</v>
      </c>
      <c r="B92">
        <v>843772108.27250004</v>
      </c>
      <c r="C92">
        <v>976410028.32879996</v>
      </c>
      <c r="D92">
        <v>1104356594.4619</v>
      </c>
      <c r="E92">
        <v>1231765915.8083</v>
      </c>
      <c r="F92">
        <v>1364696808.0421</v>
      </c>
      <c r="G92">
        <v>1351.8549</v>
      </c>
      <c r="H92">
        <v>1383.6070999999999</v>
      </c>
      <c r="I92">
        <v>1431.5958000000001</v>
      </c>
      <c r="J92">
        <v>1473.7358999999999</v>
      </c>
      <c r="K92">
        <v>1506.9606000000001</v>
      </c>
      <c r="R92" t="s">
        <v>14</v>
      </c>
      <c r="S92">
        <v>843772108.27250004</v>
      </c>
      <c r="T92">
        <v>976410028.32879996</v>
      </c>
      <c r="U92">
        <v>1104356594.4619</v>
      </c>
      <c r="V92">
        <v>1231765915.8083</v>
      </c>
      <c r="W92">
        <v>1364696808.0421</v>
      </c>
      <c r="X92">
        <v>1351.8549</v>
      </c>
      <c r="Y92">
        <v>1383.6070999999999</v>
      </c>
      <c r="Z92">
        <v>1431.5958000000001</v>
      </c>
      <c r="AA92">
        <v>1473.7358999999999</v>
      </c>
      <c r="AB92">
        <v>1506.9606000000001</v>
      </c>
      <c r="AI92" t="s">
        <v>14</v>
      </c>
      <c r="AJ92">
        <v>789937302.22850001</v>
      </c>
      <c r="AK92">
        <v>887846604.64310002</v>
      </c>
      <c r="AL92">
        <v>984795459.06019998</v>
      </c>
      <c r="AM92">
        <v>1082313878.586</v>
      </c>
      <c r="AN92">
        <v>1185353648.1248</v>
      </c>
      <c r="AO92">
        <v>1352.4718</v>
      </c>
      <c r="AP92">
        <v>1388.2335</v>
      </c>
      <c r="AQ92">
        <v>1443.7334000000001</v>
      </c>
      <c r="AR92">
        <v>1494.521</v>
      </c>
      <c r="AS92">
        <v>1536.1351999999999</v>
      </c>
      <c r="AT92">
        <v>580162301.5072</v>
      </c>
      <c r="AU92">
        <v>662696573.62670004</v>
      </c>
      <c r="AV92">
        <v>736987628.93869996</v>
      </c>
      <c r="AW92">
        <v>808637041.14260006</v>
      </c>
      <c r="AX92">
        <v>883781397.87759995</v>
      </c>
      <c r="AZ92" t="s">
        <v>14</v>
      </c>
      <c r="BA92">
        <v>789937302.22850001</v>
      </c>
      <c r="BB92">
        <v>887846604.64310002</v>
      </c>
      <c r="BC92">
        <v>984795459.06019998</v>
      </c>
      <c r="BD92">
        <v>1082313878.586</v>
      </c>
      <c r="BE92">
        <v>1185353648.1248</v>
      </c>
      <c r="BF92">
        <v>1352.4718</v>
      </c>
      <c r="BG92">
        <v>1388.2335</v>
      </c>
      <c r="BH92">
        <v>1443.7334000000001</v>
      </c>
      <c r="BI92">
        <v>1494.521</v>
      </c>
      <c r="BJ92">
        <v>1536.1351999999999</v>
      </c>
      <c r="BQ92" t="s">
        <v>14</v>
      </c>
      <c r="BR92">
        <v>801708789.05050004</v>
      </c>
      <c r="BS92">
        <v>904692779.60810006</v>
      </c>
      <c r="BT92">
        <v>1007598298.484</v>
      </c>
      <c r="BU92">
        <v>1111641275.7974999</v>
      </c>
      <c r="BV92">
        <v>1221583399.1438</v>
      </c>
      <c r="BW92">
        <v>1352.4718</v>
      </c>
      <c r="BX92">
        <v>1388.2335</v>
      </c>
      <c r="BY92">
        <v>1443.7334000000001</v>
      </c>
      <c r="BZ92">
        <v>1494.521</v>
      </c>
      <c r="CA92">
        <v>1536.1351999999999</v>
      </c>
      <c r="CV92">
        <v>0</v>
      </c>
      <c r="CW92">
        <v>0</v>
      </c>
      <c r="CX92">
        <v>0</v>
      </c>
      <c r="CY92">
        <v>0</v>
      </c>
      <c r="CZ92">
        <v>0</v>
      </c>
      <c r="DB92">
        <v>488298056.18159997</v>
      </c>
      <c r="DC92">
        <v>564873573.17309999</v>
      </c>
      <c r="DD92">
        <v>630526640.48389995</v>
      </c>
      <c r="DE92">
        <v>694252193.47539997</v>
      </c>
      <c r="DF92">
        <v>761186373.32939994</v>
      </c>
    </row>
    <row r="93" spans="1:110" x14ac:dyDescent="0.35">
      <c r="A93" t="s">
        <v>15</v>
      </c>
      <c r="B93">
        <v>97361527.045900002</v>
      </c>
      <c r="C93">
        <v>112944730.00049999</v>
      </c>
      <c r="D93">
        <v>129549294.4809</v>
      </c>
      <c r="E93">
        <v>146985598.6243</v>
      </c>
      <c r="F93">
        <v>153057593.04030001</v>
      </c>
      <c r="G93">
        <v>1431.9992</v>
      </c>
      <c r="H93">
        <v>1641.1461999999999</v>
      </c>
      <c r="I93">
        <v>1848.5827999999999</v>
      </c>
      <c r="J93">
        <v>2038.338</v>
      </c>
      <c r="K93">
        <v>2103.8278</v>
      </c>
      <c r="R93" t="s">
        <v>15</v>
      </c>
      <c r="S93">
        <v>97361527.045900002</v>
      </c>
      <c r="T93">
        <v>112944730.00049999</v>
      </c>
      <c r="U93">
        <v>129549294.4809</v>
      </c>
      <c r="V93">
        <v>146985598.6243</v>
      </c>
      <c r="W93">
        <v>153057593.04030001</v>
      </c>
      <c r="X93">
        <v>1431.9992</v>
      </c>
      <c r="Y93">
        <v>1641.1461999999999</v>
      </c>
      <c r="Z93">
        <v>1848.5827999999999</v>
      </c>
      <c r="AA93">
        <v>2038.338</v>
      </c>
      <c r="AB93">
        <v>2103.8278</v>
      </c>
      <c r="AI93" t="s">
        <v>15</v>
      </c>
      <c r="AJ93">
        <v>88905169.362800002</v>
      </c>
      <c r="AK93">
        <v>99004853.143199995</v>
      </c>
      <c r="AL93">
        <v>110679203.6939</v>
      </c>
      <c r="AM93">
        <v>123336291.1224</v>
      </c>
      <c r="AN93">
        <v>124607018.1935</v>
      </c>
      <c r="AO93">
        <v>1349.6747</v>
      </c>
      <c r="AP93">
        <v>1515.5663999999999</v>
      </c>
      <c r="AQ93">
        <v>1693.3358000000001</v>
      </c>
      <c r="AR93">
        <v>1862.7440999999999</v>
      </c>
      <c r="AS93">
        <v>1897.3592000000001</v>
      </c>
      <c r="AT93">
        <v>78368829.4771</v>
      </c>
      <c r="AU93">
        <v>88240383.978499994</v>
      </c>
      <c r="AV93">
        <v>99245832.066699997</v>
      </c>
      <c r="AW93">
        <v>111639701.4162</v>
      </c>
      <c r="AX93">
        <v>109743252.74969999</v>
      </c>
      <c r="AZ93" t="s">
        <v>15</v>
      </c>
      <c r="BA93">
        <v>88905169.362800002</v>
      </c>
      <c r="BB93">
        <v>99004853.143199995</v>
      </c>
      <c r="BC93">
        <v>110679203.6939</v>
      </c>
      <c r="BD93">
        <v>123336291.1224</v>
      </c>
      <c r="BE93">
        <v>124607018.1935</v>
      </c>
      <c r="BF93">
        <v>1349.6747</v>
      </c>
      <c r="BG93">
        <v>1515.5663999999999</v>
      </c>
      <c r="BH93">
        <v>1693.3358000000001</v>
      </c>
      <c r="BI93">
        <v>1862.7440999999999</v>
      </c>
      <c r="BJ93">
        <v>1897.3592000000001</v>
      </c>
      <c r="BQ93" t="s">
        <v>15</v>
      </c>
      <c r="BR93">
        <v>92703642.285999998</v>
      </c>
      <c r="BS93">
        <v>104545245.8328</v>
      </c>
      <c r="BT93">
        <v>118309584.184</v>
      </c>
      <c r="BU93">
        <v>133315975.8831</v>
      </c>
      <c r="BV93">
        <v>136361476.5853</v>
      </c>
      <c r="BW93">
        <v>1349.6747</v>
      </c>
      <c r="BX93">
        <v>1515.5663999999999</v>
      </c>
      <c r="BY93">
        <v>1693.3358000000001</v>
      </c>
      <c r="BZ93">
        <v>1862.7440999999999</v>
      </c>
      <c r="CA93">
        <v>1897.3592000000001</v>
      </c>
      <c r="CV93">
        <v>0</v>
      </c>
      <c r="CW93">
        <v>0</v>
      </c>
      <c r="CX93">
        <v>0</v>
      </c>
      <c r="CY93">
        <v>0</v>
      </c>
      <c r="CZ93">
        <v>0</v>
      </c>
      <c r="DB93">
        <v>67498958.390499994</v>
      </c>
      <c r="DC93">
        <v>77748319.3354</v>
      </c>
      <c r="DD93">
        <v>88816397.252100006</v>
      </c>
      <c r="DE93">
        <v>101059179.22409999</v>
      </c>
      <c r="DF93">
        <v>100269378.98469999</v>
      </c>
    </row>
    <row r="94" spans="1:110" x14ac:dyDescent="0.35">
      <c r="A94" t="s">
        <v>7</v>
      </c>
      <c r="B94">
        <v>39137658.665399998</v>
      </c>
      <c r="C94">
        <v>34358405.525799997</v>
      </c>
      <c r="D94">
        <v>31193573.8675</v>
      </c>
      <c r="E94">
        <v>30853537.970199998</v>
      </c>
      <c r="F94">
        <v>31948146.5757</v>
      </c>
      <c r="G94">
        <v>1701.4719</v>
      </c>
      <c r="H94">
        <v>1774.9673</v>
      </c>
      <c r="I94">
        <v>1965.0596</v>
      </c>
      <c r="J94">
        <v>2106.3831</v>
      </c>
      <c r="K94">
        <v>2132.5736999999999</v>
      </c>
      <c r="R94" t="s">
        <v>7</v>
      </c>
      <c r="S94">
        <v>39137658.665399998</v>
      </c>
      <c r="T94">
        <v>34358405.525799997</v>
      </c>
      <c r="U94">
        <v>31193573.8675</v>
      </c>
      <c r="V94">
        <v>30853537.970199998</v>
      </c>
      <c r="W94">
        <v>31948146.5757</v>
      </c>
      <c r="X94">
        <v>1701.4719</v>
      </c>
      <c r="Y94">
        <v>1774.9673</v>
      </c>
      <c r="Z94">
        <v>1965.0596</v>
      </c>
      <c r="AA94">
        <v>2106.3831</v>
      </c>
      <c r="AB94">
        <v>2132.5736999999999</v>
      </c>
      <c r="AI94" t="s">
        <v>7</v>
      </c>
      <c r="AJ94">
        <v>39137658.665399998</v>
      </c>
      <c r="AK94">
        <v>34358405.525799997</v>
      </c>
      <c r="AL94">
        <v>31193573.8675</v>
      </c>
      <c r="AM94">
        <v>30853537.970199998</v>
      </c>
      <c r="AN94">
        <v>31948146.5757</v>
      </c>
      <c r="AO94">
        <v>1701.4719</v>
      </c>
      <c r="AP94">
        <v>1774.9673</v>
      </c>
      <c r="AQ94">
        <v>1965.0596</v>
      </c>
      <c r="AR94">
        <v>2106.3831</v>
      </c>
      <c r="AS94">
        <v>2132.5736999999999</v>
      </c>
      <c r="AT94">
        <v>30572325.6039</v>
      </c>
      <c r="AU94">
        <v>25867374.947700001</v>
      </c>
      <c r="AV94">
        <v>21470148.7973</v>
      </c>
      <c r="AW94">
        <v>20425680.8572</v>
      </c>
      <c r="AX94">
        <v>20900194.122000001</v>
      </c>
      <c r="AZ94" t="s">
        <v>7</v>
      </c>
      <c r="BA94">
        <v>39137658.665399998</v>
      </c>
      <c r="BB94">
        <v>34358405.525799997</v>
      </c>
      <c r="BC94">
        <v>31193573.8675</v>
      </c>
      <c r="BD94">
        <v>30853537.970199998</v>
      </c>
      <c r="BE94">
        <v>31948146.5757</v>
      </c>
      <c r="BF94">
        <v>1701.4719</v>
      </c>
      <c r="BG94">
        <v>1774.9673</v>
      </c>
      <c r="BH94">
        <v>1965.0596</v>
      </c>
      <c r="BI94">
        <v>2106.3831</v>
      </c>
      <c r="BJ94">
        <v>2132.5736999999999</v>
      </c>
      <c r="BQ94" t="s">
        <v>7</v>
      </c>
      <c r="BR94">
        <v>40244429.299800001</v>
      </c>
      <c r="BS94">
        <v>35872051.138300002</v>
      </c>
      <c r="BT94">
        <v>33274838.561000001</v>
      </c>
      <c r="BU94">
        <v>33518771.624699999</v>
      </c>
      <c r="BV94">
        <v>35074080.140799999</v>
      </c>
      <c r="BW94">
        <v>1701.4719</v>
      </c>
      <c r="BX94">
        <v>1774.9673</v>
      </c>
      <c r="BY94">
        <v>1965.0596</v>
      </c>
      <c r="BZ94">
        <v>2106.3831</v>
      </c>
      <c r="CA94">
        <v>2132.5736999999999</v>
      </c>
      <c r="CV94">
        <v>0</v>
      </c>
      <c r="CW94">
        <v>0</v>
      </c>
      <c r="CX94">
        <v>0</v>
      </c>
      <c r="CY94">
        <v>0</v>
      </c>
      <c r="CZ94">
        <v>0</v>
      </c>
      <c r="DB94">
        <v>24784566.994399998</v>
      </c>
      <c r="DC94">
        <v>21967379.9932</v>
      </c>
      <c r="DD94">
        <v>19087363.619899999</v>
      </c>
      <c r="DE94">
        <v>18442424.985399999</v>
      </c>
      <c r="DF94">
        <v>19030129.511100002</v>
      </c>
    </row>
    <row r="95" spans="1:110" x14ac:dyDescent="0.35">
      <c r="A95" t="s">
        <v>17</v>
      </c>
      <c r="B95">
        <v>314005536.9447</v>
      </c>
      <c r="C95">
        <v>329829551.32029998</v>
      </c>
      <c r="D95">
        <v>347557704.38260001</v>
      </c>
      <c r="E95">
        <v>371311993.34780002</v>
      </c>
      <c r="F95">
        <v>399984860.83429998</v>
      </c>
      <c r="G95">
        <v>15586.180200000001</v>
      </c>
      <c r="H95">
        <v>15922.9719</v>
      </c>
      <c r="I95">
        <v>16551.473000000002</v>
      </c>
      <c r="J95">
        <v>17234.9735</v>
      </c>
      <c r="K95">
        <v>17955.490000000002</v>
      </c>
      <c r="R95" t="s">
        <v>17</v>
      </c>
      <c r="S95">
        <v>314005536.9447</v>
      </c>
      <c r="T95">
        <v>329829551.32029998</v>
      </c>
      <c r="U95">
        <v>347557704.38260001</v>
      </c>
      <c r="V95">
        <v>371311993.34780002</v>
      </c>
      <c r="W95">
        <v>399984860.83429998</v>
      </c>
      <c r="X95">
        <v>15586.180200000001</v>
      </c>
      <c r="Y95">
        <v>15922.9719</v>
      </c>
      <c r="Z95">
        <v>16551.473000000002</v>
      </c>
      <c r="AA95">
        <v>17234.9735</v>
      </c>
      <c r="AB95">
        <v>17955.490000000002</v>
      </c>
      <c r="AI95" t="s">
        <v>17</v>
      </c>
      <c r="AJ95">
        <v>314005536.9447</v>
      </c>
      <c r="AK95">
        <v>329829551.32029998</v>
      </c>
      <c r="AL95">
        <v>347557704.38260001</v>
      </c>
      <c r="AM95">
        <v>371311993.34780002</v>
      </c>
      <c r="AN95">
        <v>399984860.83429998</v>
      </c>
      <c r="AO95">
        <v>15586.180200000001</v>
      </c>
      <c r="AP95">
        <v>15922.9719</v>
      </c>
      <c r="AQ95">
        <v>16551.473000000002</v>
      </c>
      <c r="AR95">
        <v>17234.9735</v>
      </c>
      <c r="AS95">
        <v>17955.490000000002</v>
      </c>
      <c r="AT95">
        <v>217071332.99399999</v>
      </c>
      <c r="AU95">
        <v>218755958.13389999</v>
      </c>
      <c r="AV95">
        <v>221483407.48559999</v>
      </c>
      <c r="AW95">
        <v>233881310.90220001</v>
      </c>
      <c r="AX95">
        <v>249251524.43180001</v>
      </c>
      <c r="AZ95" t="s">
        <v>17</v>
      </c>
      <c r="BA95">
        <v>314005536.9447</v>
      </c>
      <c r="BB95">
        <v>329829551.32029998</v>
      </c>
      <c r="BC95">
        <v>347557704.38260001</v>
      </c>
      <c r="BD95">
        <v>371311993.34780002</v>
      </c>
      <c r="BE95">
        <v>399984860.83429998</v>
      </c>
      <c r="BF95">
        <v>15586.180200000001</v>
      </c>
      <c r="BG95">
        <v>15922.9719</v>
      </c>
      <c r="BH95">
        <v>16551.473000000002</v>
      </c>
      <c r="BI95">
        <v>17234.9735</v>
      </c>
      <c r="BJ95">
        <v>17955.490000000002</v>
      </c>
      <c r="BQ95" t="s">
        <v>17</v>
      </c>
      <c r="BR95">
        <v>314980184.14600003</v>
      </c>
      <c r="BS95">
        <v>331158015.91909999</v>
      </c>
      <c r="BT95">
        <v>349365796.14569998</v>
      </c>
      <c r="BU95">
        <v>373655697.12290001</v>
      </c>
      <c r="BV95">
        <v>402955150.7974</v>
      </c>
      <c r="BW95">
        <v>15586.180200000001</v>
      </c>
      <c r="BX95">
        <v>15922.9719</v>
      </c>
      <c r="BY95">
        <v>16551.473000000002</v>
      </c>
      <c r="BZ95">
        <v>17234.9735</v>
      </c>
      <c r="CA95">
        <v>17955.490000000002</v>
      </c>
      <c r="CV95">
        <v>0</v>
      </c>
      <c r="CW95">
        <v>0</v>
      </c>
      <c r="CX95">
        <v>0</v>
      </c>
      <c r="CY95">
        <v>0</v>
      </c>
      <c r="CZ95">
        <v>0</v>
      </c>
      <c r="DB95">
        <v>179495879.57769999</v>
      </c>
      <c r="DC95">
        <v>183143806.81330001</v>
      </c>
      <c r="DD95">
        <v>185257580.0402</v>
      </c>
      <c r="DE95">
        <v>195801968.0645</v>
      </c>
      <c r="DF95">
        <v>208861595.99509999</v>
      </c>
    </row>
    <row r="96" spans="1:110" x14ac:dyDescent="0.35">
      <c r="A96" t="s">
        <v>18</v>
      </c>
      <c r="B96">
        <v>1294276830.9286001</v>
      </c>
      <c r="C96">
        <v>1453542715.1752999</v>
      </c>
      <c r="D96">
        <v>1612657167.1928999</v>
      </c>
      <c r="E96">
        <v>1780917045.7506001</v>
      </c>
      <c r="F96">
        <v>1949687408.4923999</v>
      </c>
      <c r="G96">
        <v>1760.2088000000001</v>
      </c>
      <c r="H96">
        <v>1784.3838000000001</v>
      </c>
      <c r="I96">
        <v>1835.9666999999999</v>
      </c>
      <c r="J96">
        <v>1886.3367000000001</v>
      </c>
      <c r="K96">
        <v>1919.73</v>
      </c>
      <c r="R96" t="s">
        <v>18</v>
      </c>
      <c r="S96">
        <v>1294276830.9286001</v>
      </c>
      <c r="T96">
        <v>1453542715.1752999</v>
      </c>
      <c r="U96">
        <v>1612657167.1928999</v>
      </c>
      <c r="V96">
        <v>1780917045.7506001</v>
      </c>
      <c r="W96">
        <v>1949687408.4923999</v>
      </c>
      <c r="X96">
        <v>1760.2088000000001</v>
      </c>
      <c r="Y96">
        <v>1784.3838000000001</v>
      </c>
      <c r="Z96">
        <v>1835.9666999999999</v>
      </c>
      <c r="AA96">
        <v>1886.3367000000001</v>
      </c>
      <c r="AB96">
        <v>1919.73</v>
      </c>
      <c r="AI96" t="s">
        <v>18</v>
      </c>
      <c r="AJ96">
        <v>1231985667.2014</v>
      </c>
      <c r="AK96">
        <v>1351039414.6322</v>
      </c>
      <c r="AL96">
        <v>1474225941.0041001</v>
      </c>
      <c r="AM96">
        <v>1607815701.0264001</v>
      </c>
      <c r="AN96">
        <v>1741893673.7282</v>
      </c>
      <c r="AO96">
        <v>1777.5274999999999</v>
      </c>
      <c r="AP96">
        <v>1813.6025</v>
      </c>
      <c r="AQ96">
        <v>1879.5473999999999</v>
      </c>
      <c r="AR96">
        <v>1945.1148000000001</v>
      </c>
      <c r="AS96">
        <v>1991.6958999999999</v>
      </c>
      <c r="AT96">
        <v>906174789.58229995</v>
      </c>
      <c r="AU96">
        <v>995560290.6868</v>
      </c>
      <c r="AV96">
        <v>1079187017.2883</v>
      </c>
      <c r="AW96">
        <v>1174583734.3181</v>
      </c>
      <c r="AX96">
        <v>1263676369.1810999</v>
      </c>
      <c r="AZ96" t="s">
        <v>18</v>
      </c>
      <c r="BA96">
        <v>1231985667.2014</v>
      </c>
      <c r="BB96">
        <v>1351039414.6322</v>
      </c>
      <c r="BC96">
        <v>1474225941.0041001</v>
      </c>
      <c r="BD96">
        <v>1607815701.0264001</v>
      </c>
      <c r="BE96">
        <v>1741893673.7282</v>
      </c>
      <c r="BF96">
        <v>1777.5274999999999</v>
      </c>
      <c r="BG96">
        <v>1813.6025</v>
      </c>
      <c r="BH96">
        <v>1879.5473999999999</v>
      </c>
      <c r="BI96">
        <v>1945.1148000000001</v>
      </c>
      <c r="BJ96">
        <v>1991.6958999999999</v>
      </c>
      <c r="BQ96" t="s">
        <v>18</v>
      </c>
      <c r="BR96">
        <v>1249637044.7823</v>
      </c>
      <c r="BS96">
        <v>1376268092.4983001</v>
      </c>
      <c r="BT96">
        <v>1508548517.3748</v>
      </c>
      <c r="BU96">
        <v>1652131720.4282999</v>
      </c>
      <c r="BV96">
        <v>1795974106.6672001</v>
      </c>
      <c r="BW96">
        <v>1771.7292</v>
      </c>
      <c r="BX96">
        <v>1806.8973000000001</v>
      </c>
      <c r="BY96">
        <v>1872.0653</v>
      </c>
      <c r="BZ96">
        <v>1936.9079999999999</v>
      </c>
      <c r="CA96">
        <v>1982.3343</v>
      </c>
      <c r="CV96">
        <v>0</v>
      </c>
      <c r="CW96">
        <v>0</v>
      </c>
      <c r="CX96">
        <v>0</v>
      </c>
      <c r="CY96">
        <v>0</v>
      </c>
      <c r="CZ96">
        <v>0</v>
      </c>
      <c r="DB96">
        <v>760077461.14419997</v>
      </c>
      <c r="DC96">
        <v>847733079.31509995</v>
      </c>
      <c r="DD96">
        <v>923687981.39610004</v>
      </c>
      <c r="DE96">
        <v>1009555765.7494</v>
      </c>
      <c r="DF96">
        <v>1089347477.8203001</v>
      </c>
    </row>
    <row r="101" spans="1:104" x14ac:dyDescent="0.35">
      <c r="B101" t="s">
        <v>49</v>
      </c>
      <c r="S101" t="s">
        <v>49</v>
      </c>
      <c r="AJ101" t="s">
        <v>49</v>
      </c>
      <c r="BA101" t="s">
        <v>49</v>
      </c>
      <c r="BR101" t="s">
        <v>49</v>
      </c>
      <c r="CH101" t="s">
        <v>82</v>
      </c>
      <c r="CV101" t="s">
        <v>23</v>
      </c>
    </row>
    <row r="102" spans="1:104" x14ac:dyDescent="0.35">
      <c r="B102" t="s">
        <v>25</v>
      </c>
      <c r="G102" t="s">
        <v>26</v>
      </c>
      <c r="L102" t="s">
        <v>18</v>
      </c>
      <c r="S102" t="s">
        <v>25</v>
      </c>
      <c r="X102" t="s">
        <v>26</v>
      </c>
      <c r="AC102" t="s">
        <v>18</v>
      </c>
      <c r="AJ102" t="s">
        <v>25</v>
      </c>
      <c r="AO102" t="s">
        <v>26</v>
      </c>
      <c r="AT102" t="s">
        <v>18</v>
      </c>
      <c r="BA102" t="s">
        <v>25</v>
      </c>
      <c r="BF102" t="s">
        <v>26</v>
      </c>
      <c r="BK102" t="s">
        <v>18</v>
      </c>
      <c r="BR102" t="s">
        <v>25</v>
      </c>
      <c r="BW102" t="s">
        <v>26</v>
      </c>
      <c r="CB102" t="s">
        <v>18</v>
      </c>
      <c r="CH102" t="s">
        <v>23</v>
      </c>
      <c r="CK102" t="s">
        <v>27</v>
      </c>
      <c r="CN102" t="s">
        <v>8</v>
      </c>
      <c r="CV102" t="s">
        <v>5</v>
      </c>
    </row>
    <row r="103" spans="1:104" x14ac:dyDescent="0.35">
      <c r="B103" t="s">
        <v>80</v>
      </c>
      <c r="C103" t="s">
        <v>79</v>
      </c>
      <c r="D103" t="s">
        <v>78</v>
      </c>
      <c r="E103" t="s">
        <v>77</v>
      </c>
      <c r="F103" t="s">
        <v>76</v>
      </c>
      <c r="G103" t="s">
        <v>80</v>
      </c>
      <c r="H103" t="s">
        <v>79</v>
      </c>
      <c r="I103" t="s">
        <v>78</v>
      </c>
      <c r="J103" t="s">
        <v>77</v>
      </c>
      <c r="K103" t="s">
        <v>76</v>
      </c>
      <c r="L103" t="s">
        <v>80</v>
      </c>
      <c r="M103" t="s">
        <v>79</v>
      </c>
      <c r="N103" t="s">
        <v>78</v>
      </c>
      <c r="O103" t="s">
        <v>77</v>
      </c>
      <c r="P103" t="s">
        <v>76</v>
      </c>
      <c r="S103" t="s">
        <v>80</v>
      </c>
      <c r="T103" t="s">
        <v>79</v>
      </c>
      <c r="U103" t="s">
        <v>78</v>
      </c>
      <c r="V103" t="s">
        <v>77</v>
      </c>
      <c r="W103" t="s">
        <v>76</v>
      </c>
      <c r="X103" t="s">
        <v>80</v>
      </c>
      <c r="Y103" t="s">
        <v>79</v>
      </c>
      <c r="Z103" t="s">
        <v>78</v>
      </c>
      <c r="AA103" t="s">
        <v>77</v>
      </c>
      <c r="AB103" t="s">
        <v>76</v>
      </c>
      <c r="AC103" t="s">
        <v>80</v>
      </c>
      <c r="AD103" t="s">
        <v>79</v>
      </c>
      <c r="AE103" t="s">
        <v>78</v>
      </c>
      <c r="AF103" t="s">
        <v>77</v>
      </c>
      <c r="AG103" t="s">
        <v>76</v>
      </c>
      <c r="AJ103" t="s">
        <v>80</v>
      </c>
      <c r="AK103" t="s">
        <v>79</v>
      </c>
      <c r="AL103" t="s">
        <v>78</v>
      </c>
      <c r="AM103" t="s">
        <v>77</v>
      </c>
      <c r="AN103" t="s">
        <v>76</v>
      </c>
      <c r="AO103" t="s">
        <v>80</v>
      </c>
      <c r="AP103" t="s">
        <v>79</v>
      </c>
      <c r="AQ103" t="s">
        <v>78</v>
      </c>
      <c r="AR103" t="s">
        <v>77</v>
      </c>
      <c r="AS103" t="s">
        <v>76</v>
      </c>
      <c r="AT103" t="s">
        <v>80</v>
      </c>
      <c r="AU103" t="s">
        <v>79</v>
      </c>
      <c r="AV103" t="s">
        <v>78</v>
      </c>
      <c r="AW103" t="s">
        <v>77</v>
      </c>
      <c r="AX103" t="s">
        <v>76</v>
      </c>
      <c r="BA103" t="s">
        <v>80</v>
      </c>
      <c r="BB103" t="s">
        <v>79</v>
      </c>
      <c r="BC103" t="s">
        <v>78</v>
      </c>
      <c r="BD103" t="s">
        <v>77</v>
      </c>
      <c r="BE103" t="s">
        <v>76</v>
      </c>
      <c r="BF103" t="s">
        <v>80</v>
      </c>
      <c r="BG103" t="s">
        <v>79</v>
      </c>
      <c r="BH103" t="s">
        <v>78</v>
      </c>
      <c r="BI103" t="s">
        <v>77</v>
      </c>
      <c r="BJ103" t="s">
        <v>76</v>
      </c>
      <c r="BK103" t="s">
        <v>80</v>
      </c>
      <c r="BL103" t="s">
        <v>79</v>
      </c>
      <c r="BM103" t="s">
        <v>78</v>
      </c>
      <c r="BN103" t="s">
        <v>77</v>
      </c>
      <c r="BO103" t="s">
        <v>76</v>
      </c>
      <c r="BR103" t="s">
        <v>80</v>
      </c>
      <c r="BS103" t="s">
        <v>79</v>
      </c>
      <c r="BT103" t="s">
        <v>78</v>
      </c>
      <c r="BU103" t="s">
        <v>77</v>
      </c>
      <c r="BV103" t="s">
        <v>76</v>
      </c>
      <c r="BW103" t="s">
        <v>80</v>
      </c>
      <c r="BX103" t="s">
        <v>79</v>
      </c>
      <c r="BY103" t="s">
        <v>78</v>
      </c>
      <c r="BZ103" t="s">
        <v>77</v>
      </c>
      <c r="CA103" t="s">
        <v>76</v>
      </c>
      <c r="CB103" t="s">
        <v>80</v>
      </c>
      <c r="CC103" t="s">
        <v>79</v>
      </c>
      <c r="CD103" t="s">
        <v>78</v>
      </c>
      <c r="CE103" t="s">
        <v>77</v>
      </c>
      <c r="CF103" t="s">
        <v>76</v>
      </c>
      <c r="CH103" t="s">
        <v>25</v>
      </c>
      <c r="CI103" t="s">
        <v>26</v>
      </c>
      <c r="CJ103" t="s">
        <v>18</v>
      </c>
      <c r="CK103" t="s">
        <v>25</v>
      </c>
      <c r="CL103" t="s">
        <v>26</v>
      </c>
      <c r="CM103" t="s">
        <v>18</v>
      </c>
      <c r="CN103" t="s">
        <v>25</v>
      </c>
      <c r="CO103" t="s">
        <v>26</v>
      </c>
      <c r="CP103" t="s">
        <v>18</v>
      </c>
      <c r="CV103" t="s">
        <v>80</v>
      </c>
      <c r="CW103" t="s">
        <v>79</v>
      </c>
      <c r="CX103" t="s">
        <v>78</v>
      </c>
      <c r="CY103" t="s">
        <v>77</v>
      </c>
      <c r="CZ103" t="s">
        <v>76</v>
      </c>
    </row>
    <row r="104" spans="1:104" x14ac:dyDescent="0.35">
      <c r="A104" t="s">
        <v>14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R104" t="s">
        <v>14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I104" t="s">
        <v>14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Z104" t="s">
        <v>14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Q104" t="s">
        <v>14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2413.0015649336033</v>
      </c>
      <c r="BX104">
        <v>2658.7465014710956</v>
      </c>
      <c r="BY104">
        <v>2840.0717735676226</v>
      </c>
      <c r="BZ104">
        <v>3026.9761841603181</v>
      </c>
      <c r="CA104">
        <v>3249.6433208483804</v>
      </c>
      <c r="CB104">
        <v>2413.0015649336033</v>
      </c>
      <c r="CC104">
        <v>2658.7465014710956</v>
      </c>
      <c r="CD104">
        <v>2840.0717735676226</v>
      </c>
      <c r="CE104">
        <v>3026.9761841603181</v>
      </c>
      <c r="CF104">
        <v>3249.6433208483804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V104">
        <v>2413.0015649336033</v>
      </c>
      <c r="CW104">
        <v>2658.7465014710956</v>
      </c>
      <c r="CX104">
        <v>2840.0717735676226</v>
      </c>
      <c r="CY104">
        <v>3026.9761841603181</v>
      </c>
      <c r="CZ104">
        <v>3249.6433208483804</v>
      </c>
    </row>
    <row r="105" spans="1:104" x14ac:dyDescent="0.35">
      <c r="A105" t="s">
        <v>15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R105" t="s">
        <v>15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I105" t="s">
        <v>15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Z105" t="s">
        <v>15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Q105" t="s">
        <v>15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164.63874378517062</v>
      </c>
      <c r="BX105">
        <v>165.80458121542372</v>
      </c>
      <c r="BY105">
        <v>159.95296163581264</v>
      </c>
      <c r="BZ105">
        <v>150.82006999526652</v>
      </c>
      <c r="CA105">
        <v>151.14005975420099</v>
      </c>
      <c r="CB105">
        <v>164.63874378517062</v>
      </c>
      <c r="CC105">
        <v>165.80458121542372</v>
      </c>
      <c r="CD105">
        <v>159.95296163581264</v>
      </c>
      <c r="CE105">
        <v>150.82006999526652</v>
      </c>
      <c r="CF105">
        <v>151.14005975420099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V105">
        <v>164.63874378517062</v>
      </c>
      <c r="CW105">
        <v>165.80458121542372</v>
      </c>
      <c r="CX105">
        <v>159.95296163581264</v>
      </c>
      <c r="CY105">
        <v>150.82006999526652</v>
      </c>
      <c r="CZ105">
        <v>151.14005975420099</v>
      </c>
    </row>
    <row r="106" spans="1:104" x14ac:dyDescent="0.35">
      <c r="A106" t="s">
        <v>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R106" t="s">
        <v>7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I106" t="s">
        <v>7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Z106" t="s">
        <v>7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Q106" t="s">
        <v>7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80.45540620814441</v>
      </c>
      <c r="BX106">
        <v>84.893436743710978</v>
      </c>
      <c r="BY106">
        <v>86.915720781830402</v>
      </c>
      <c r="BZ106">
        <v>90.485724303309908</v>
      </c>
      <c r="CA106">
        <v>101.21635678520035</v>
      </c>
      <c r="CB106">
        <v>80.45540620814441</v>
      </c>
      <c r="CC106">
        <v>84.893436743710978</v>
      </c>
      <c r="CD106">
        <v>86.915720781830402</v>
      </c>
      <c r="CE106">
        <v>90.485724303309908</v>
      </c>
      <c r="CF106">
        <v>101.21635678520035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V106">
        <v>80.45540620814441</v>
      </c>
      <c r="CW106">
        <v>84.893436743710978</v>
      </c>
      <c r="CX106">
        <v>86.915720781830402</v>
      </c>
      <c r="CY106">
        <v>90.485724303309908</v>
      </c>
      <c r="CZ106">
        <v>101.21635678520035</v>
      </c>
    </row>
    <row r="107" spans="1:104" x14ac:dyDescent="0.35">
      <c r="A107" t="s">
        <v>17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R107" t="s">
        <v>17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I107" t="s">
        <v>17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Z107" t="s">
        <v>17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Q107" t="s">
        <v>17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12.719382451937205</v>
      </c>
      <c r="BX107">
        <v>16.900278806477825</v>
      </c>
      <c r="BY107">
        <v>16.755551403591177</v>
      </c>
      <c r="BZ107">
        <v>16.957231487347563</v>
      </c>
      <c r="CA107">
        <v>17.381471902608318</v>
      </c>
      <c r="CB107">
        <v>12.719382451937205</v>
      </c>
      <c r="CC107">
        <v>16.900278806477825</v>
      </c>
      <c r="CD107">
        <v>16.755551403591177</v>
      </c>
      <c r="CE107">
        <v>16.957231487347563</v>
      </c>
      <c r="CF107">
        <v>17.381471902608318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V107">
        <v>12.719382451937205</v>
      </c>
      <c r="CW107">
        <v>16.900278806477825</v>
      </c>
      <c r="CX107">
        <v>16.755551403591177</v>
      </c>
      <c r="CY107">
        <v>16.957231487347563</v>
      </c>
      <c r="CZ107">
        <v>17.381471902608318</v>
      </c>
    </row>
    <row r="108" spans="1:104" x14ac:dyDescent="0.35">
      <c r="A108" t="s">
        <v>18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R108" t="s">
        <v>18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I108" t="s">
        <v>18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Z108" t="s">
        <v>18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Q108" t="s">
        <v>18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2670.8150973788552</v>
      </c>
      <c r="BX108">
        <v>2926.3447982367079</v>
      </c>
      <c r="BY108">
        <v>3103.6960073888567</v>
      </c>
      <c r="BZ108">
        <v>3285.2392099462418</v>
      </c>
      <c r="CA108">
        <v>3519.38120929039</v>
      </c>
      <c r="CB108">
        <v>2670.8150973788552</v>
      </c>
      <c r="CC108">
        <v>2926.3447982367079</v>
      </c>
      <c r="CD108">
        <v>3103.6960073888567</v>
      </c>
      <c r="CE108">
        <v>3285.2392099462418</v>
      </c>
      <c r="CF108">
        <v>3519.38120929039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V108">
        <v>2670.8150973788552</v>
      </c>
      <c r="CW108">
        <v>2926.3447982367079</v>
      </c>
      <c r="CX108">
        <v>3103.6960073888567</v>
      </c>
      <c r="CY108">
        <v>3285.2392099462418</v>
      </c>
      <c r="CZ108">
        <v>3519.38120929039</v>
      </c>
    </row>
    <row r="110" spans="1:104" x14ac:dyDescent="0.35">
      <c r="B110" t="s">
        <v>49</v>
      </c>
      <c r="S110" t="s">
        <v>49</v>
      </c>
      <c r="AJ110" t="s">
        <v>49</v>
      </c>
      <c r="BA110" t="s">
        <v>49</v>
      </c>
      <c r="BR110" t="s">
        <v>49</v>
      </c>
    </row>
    <row r="111" spans="1:104" x14ac:dyDescent="0.35">
      <c r="B111" t="s">
        <v>30</v>
      </c>
      <c r="G111" t="s">
        <v>31</v>
      </c>
      <c r="L111" t="s">
        <v>32</v>
      </c>
      <c r="S111" t="s">
        <v>30</v>
      </c>
      <c r="X111" t="s">
        <v>31</v>
      </c>
      <c r="AC111" t="s">
        <v>32</v>
      </c>
      <c r="AJ111" t="s">
        <v>30</v>
      </c>
      <c r="AO111" t="s">
        <v>31</v>
      </c>
      <c r="AT111" t="s">
        <v>32</v>
      </c>
      <c r="BA111" t="s">
        <v>30</v>
      </c>
      <c r="BF111" t="s">
        <v>31</v>
      </c>
      <c r="BK111" t="s">
        <v>32</v>
      </c>
      <c r="BR111" t="s">
        <v>30</v>
      </c>
      <c r="BW111" t="s">
        <v>33</v>
      </c>
      <c r="CB111" t="s">
        <v>34</v>
      </c>
    </row>
    <row r="112" spans="1:104" x14ac:dyDescent="0.35">
      <c r="B112" t="s">
        <v>80</v>
      </c>
      <c r="C112" t="s">
        <v>79</v>
      </c>
      <c r="D112" t="s">
        <v>78</v>
      </c>
      <c r="E112" t="s">
        <v>77</v>
      </c>
      <c r="F112" t="s">
        <v>76</v>
      </c>
      <c r="G112" t="s">
        <v>80</v>
      </c>
      <c r="H112" t="s">
        <v>79</v>
      </c>
      <c r="I112" t="s">
        <v>78</v>
      </c>
      <c r="J112" t="s">
        <v>77</v>
      </c>
      <c r="K112" t="s">
        <v>76</v>
      </c>
      <c r="L112" t="s">
        <v>80</v>
      </c>
      <c r="M112" t="s">
        <v>79</v>
      </c>
      <c r="N112" t="s">
        <v>78</v>
      </c>
      <c r="O112" t="s">
        <v>77</v>
      </c>
      <c r="P112" t="s">
        <v>76</v>
      </c>
      <c r="S112" t="s">
        <v>80</v>
      </c>
      <c r="T112" t="s">
        <v>79</v>
      </c>
      <c r="U112" t="s">
        <v>78</v>
      </c>
      <c r="V112" t="s">
        <v>77</v>
      </c>
      <c r="W112" t="s">
        <v>76</v>
      </c>
      <c r="X112" t="s">
        <v>80</v>
      </c>
      <c r="Y112" t="s">
        <v>79</v>
      </c>
      <c r="Z112" t="s">
        <v>78</v>
      </c>
      <c r="AA112" t="s">
        <v>77</v>
      </c>
      <c r="AB112" t="s">
        <v>76</v>
      </c>
      <c r="AC112" t="s">
        <v>80</v>
      </c>
      <c r="AD112" t="s">
        <v>79</v>
      </c>
      <c r="AE112" t="s">
        <v>78</v>
      </c>
      <c r="AF112" t="s">
        <v>77</v>
      </c>
      <c r="AG112" t="s">
        <v>76</v>
      </c>
      <c r="AJ112" t="s">
        <v>80</v>
      </c>
      <c r="AK112" t="s">
        <v>79</v>
      </c>
      <c r="AL112" t="s">
        <v>78</v>
      </c>
      <c r="AM112" t="s">
        <v>77</v>
      </c>
      <c r="AN112" t="s">
        <v>76</v>
      </c>
      <c r="AO112" t="s">
        <v>80</v>
      </c>
      <c r="AP112" t="s">
        <v>79</v>
      </c>
      <c r="AQ112" t="s">
        <v>78</v>
      </c>
      <c r="AR112" t="s">
        <v>77</v>
      </c>
      <c r="AS112" t="s">
        <v>76</v>
      </c>
      <c r="AT112" t="s">
        <v>80</v>
      </c>
      <c r="AU112" t="s">
        <v>79</v>
      </c>
      <c r="AV112" t="s">
        <v>78</v>
      </c>
      <c r="AW112" t="s">
        <v>77</v>
      </c>
      <c r="AX112" t="s">
        <v>76</v>
      </c>
      <c r="BA112" t="s">
        <v>80</v>
      </c>
      <c r="BB112" t="s">
        <v>79</v>
      </c>
      <c r="BC112" t="s">
        <v>78</v>
      </c>
      <c r="BD112" t="s">
        <v>77</v>
      </c>
      <c r="BE112" t="s">
        <v>76</v>
      </c>
      <c r="BF112" t="s">
        <v>80</v>
      </c>
      <c r="BG112" t="s">
        <v>79</v>
      </c>
      <c r="BH112" t="s">
        <v>78</v>
      </c>
      <c r="BI112" t="s">
        <v>77</v>
      </c>
      <c r="BJ112" t="s">
        <v>76</v>
      </c>
      <c r="BK112" t="s">
        <v>80</v>
      </c>
      <c r="BL112" t="s">
        <v>79</v>
      </c>
      <c r="BM112" t="s">
        <v>78</v>
      </c>
      <c r="BN112" t="s">
        <v>77</v>
      </c>
      <c r="BO112" t="s">
        <v>76</v>
      </c>
      <c r="BR112" t="s">
        <v>80</v>
      </c>
      <c r="BS112" t="s">
        <v>79</v>
      </c>
      <c r="BT112" t="s">
        <v>78</v>
      </c>
      <c r="BU112" t="s">
        <v>77</v>
      </c>
      <c r="BV112" t="s">
        <v>76</v>
      </c>
      <c r="BW112" t="s">
        <v>80</v>
      </c>
      <c r="BX112" t="s">
        <v>79</v>
      </c>
      <c r="BY112" t="s">
        <v>78</v>
      </c>
      <c r="BZ112" t="s">
        <v>77</v>
      </c>
      <c r="CA112" t="s">
        <v>76</v>
      </c>
      <c r="CB112" t="s">
        <v>80</v>
      </c>
      <c r="CC112" t="s">
        <v>79</v>
      </c>
      <c r="CD112" t="s">
        <v>78</v>
      </c>
      <c r="CE112" t="s">
        <v>77</v>
      </c>
      <c r="CF112" t="s">
        <v>76</v>
      </c>
    </row>
    <row r="113" spans="1:86" x14ac:dyDescent="0.35">
      <c r="A113" t="s">
        <v>14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R113" t="s">
        <v>14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I113" t="s">
        <v>14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Z113" t="s">
        <v>14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Q113" t="s">
        <v>14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</row>
    <row r="114" spans="1:86" x14ac:dyDescent="0.35">
      <c r="A114" t="s">
        <v>15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R114" t="s">
        <v>15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I114" t="s">
        <v>15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Z114" t="s">
        <v>15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Q114" t="s">
        <v>15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</row>
    <row r="115" spans="1:86" x14ac:dyDescent="0.35">
      <c r="A115" t="s">
        <v>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R115" t="s">
        <v>7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I115" t="s">
        <v>7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Z115" t="s">
        <v>7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Q115" t="s">
        <v>7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</row>
    <row r="116" spans="1:86" x14ac:dyDescent="0.35">
      <c r="A116" t="s">
        <v>17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R116" t="s">
        <v>17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I116" t="s">
        <v>17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Z116" t="s">
        <v>17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Q116" t="s">
        <v>17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</row>
    <row r="117" spans="1:86" x14ac:dyDescent="0.35">
      <c r="A117" t="s">
        <v>18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R117" t="s">
        <v>18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I117" t="s">
        <v>18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Z117" t="s">
        <v>18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Q117" t="s">
        <v>18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</row>
    <row r="119" spans="1:86" x14ac:dyDescent="0.35">
      <c r="B119" t="s">
        <v>49</v>
      </c>
      <c r="S119" t="s">
        <v>49</v>
      </c>
      <c r="AJ119" t="s">
        <v>49</v>
      </c>
      <c r="BA119" t="s">
        <v>49</v>
      </c>
      <c r="BR119" t="s">
        <v>49</v>
      </c>
    </row>
    <row r="120" spans="1:86" x14ac:dyDescent="0.35">
      <c r="B120" t="s">
        <v>35</v>
      </c>
      <c r="G120" t="s">
        <v>36</v>
      </c>
      <c r="L120" t="s">
        <v>37</v>
      </c>
      <c r="S120" t="s">
        <v>35</v>
      </c>
      <c r="X120" t="s">
        <v>36</v>
      </c>
      <c r="AC120" t="s">
        <v>37</v>
      </c>
      <c r="AJ120" t="s">
        <v>35</v>
      </c>
      <c r="AO120" t="s">
        <v>36</v>
      </c>
      <c r="AT120" t="s">
        <v>37</v>
      </c>
      <c r="BA120" t="s">
        <v>35</v>
      </c>
      <c r="BF120" t="s">
        <v>36</v>
      </c>
      <c r="BK120" t="s">
        <v>37</v>
      </c>
      <c r="BR120" t="s">
        <v>35</v>
      </c>
      <c r="BW120" t="s">
        <v>36</v>
      </c>
      <c r="CB120" t="s">
        <v>37</v>
      </c>
      <c r="CH120" t="s">
        <v>38</v>
      </c>
    </row>
    <row r="121" spans="1:86" x14ac:dyDescent="0.35">
      <c r="B121" t="s">
        <v>80</v>
      </c>
      <c r="C121" t="s">
        <v>79</v>
      </c>
      <c r="D121" t="s">
        <v>78</v>
      </c>
      <c r="E121" t="s">
        <v>77</v>
      </c>
      <c r="F121" t="s">
        <v>76</v>
      </c>
      <c r="G121" t="s">
        <v>80</v>
      </c>
      <c r="H121" t="s">
        <v>79</v>
      </c>
      <c r="I121" t="s">
        <v>78</v>
      </c>
      <c r="J121" t="s">
        <v>77</v>
      </c>
      <c r="K121" t="s">
        <v>76</v>
      </c>
      <c r="L121" t="s">
        <v>80</v>
      </c>
      <c r="M121" t="s">
        <v>79</v>
      </c>
      <c r="N121" t="s">
        <v>78</v>
      </c>
      <c r="O121" t="s">
        <v>77</v>
      </c>
      <c r="P121" t="s">
        <v>76</v>
      </c>
      <c r="S121" t="s">
        <v>80</v>
      </c>
      <c r="T121" t="s">
        <v>79</v>
      </c>
      <c r="U121" t="s">
        <v>78</v>
      </c>
      <c r="V121" t="s">
        <v>77</v>
      </c>
      <c r="W121" t="s">
        <v>76</v>
      </c>
      <c r="X121" t="s">
        <v>80</v>
      </c>
      <c r="Y121" t="s">
        <v>79</v>
      </c>
      <c r="Z121" t="s">
        <v>78</v>
      </c>
      <c r="AA121" t="s">
        <v>77</v>
      </c>
      <c r="AB121" t="s">
        <v>76</v>
      </c>
      <c r="AC121" t="s">
        <v>80</v>
      </c>
      <c r="AD121" t="s">
        <v>79</v>
      </c>
      <c r="AE121" t="s">
        <v>78</v>
      </c>
      <c r="AF121" t="s">
        <v>77</v>
      </c>
      <c r="AG121" t="s">
        <v>76</v>
      </c>
      <c r="AJ121" t="s">
        <v>80</v>
      </c>
      <c r="AK121" t="s">
        <v>79</v>
      </c>
      <c r="AL121" t="s">
        <v>78</v>
      </c>
      <c r="AM121" t="s">
        <v>77</v>
      </c>
      <c r="AN121" t="s">
        <v>76</v>
      </c>
      <c r="AO121" t="s">
        <v>80</v>
      </c>
      <c r="AP121" t="s">
        <v>79</v>
      </c>
      <c r="AQ121" t="s">
        <v>78</v>
      </c>
      <c r="AR121" t="s">
        <v>77</v>
      </c>
      <c r="AS121" t="s">
        <v>76</v>
      </c>
      <c r="AT121" t="s">
        <v>80</v>
      </c>
      <c r="AU121" t="s">
        <v>79</v>
      </c>
      <c r="AV121" t="s">
        <v>78</v>
      </c>
      <c r="AW121" t="s">
        <v>77</v>
      </c>
      <c r="AX121" t="s">
        <v>76</v>
      </c>
      <c r="BA121" t="s">
        <v>80</v>
      </c>
      <c r="BB121" t="s">
        <v>79</v>
      </c>
      <c r="BC121" t="s">
        <v>78</v>
      </c>
      <c r="BD121" t="s">
        <v>77</v>
      </c>
      <c r="BE121" t="s">
        <v>76</v>
      </c>
      <c r="BF121" t="s">
        <v>80</v>
      </c>
      <c r="BG121" t="s">
        <v>79</v>
      </c>
      <c r="BH121" t="s">
        <v>78</v>
      </c>
      <c r="BI121" t="s">
        <v>77</v>
      </c>
      <c r="BJ121" t="s">
        <v>76</v>
      </c>
      <c r="BK121" t="s">
        <v>80</v>
      </c>
      <c r="BL121" t="s">
        <v>79</v>
      </c>
      <c r="BM121" t="s">
        <v>78</v>
      </c>
      <c r="BN121" t="s">
        <v>77</v>
      </c>
      <c r="BO121" t="s">
        <v>76</v>
      </c>
      <c r="BR121" t="s">
        <v>80</v>
      </c>
      <c r="BS121" t="s">
        <v>79</v>
      </c>
      <c r="BT121" t="s">
        <v>78</v>
      </c>
      <c r="BU121" t="s">
        <v>77</v>
      </c>
      <c r="BV121" t="s">
        <v>76</v>
      </c>
      <c r="BW121" t="s">
        <v>80</v>
      </c>
      <c r="BX121" t="s">
        <v>79</v>
      </c>
      <c r="BY121" t="s">
        <v>78</v>
      </c>
      <c r="BZ121" t="s">
        <v>77</v>
      </c>
      <c r="CA121" t="s">
        <v>76</v>
      </c>
      <c r="CB121" t="s">
        <v>80</v>
      </c>
      <c r="CC121" t="s">
        <v>79</v>
      </c>
      <c r="CD121" t="s">
        <v>78</v>
      </c>
      <c r="CE121" t="s">
        <v>77</v>
      </c>
      <c r="CF121" t="s">
        <v>76</v>
      </c>
      <c r="CH121" t="s">
        <v>36</v>
      </c>
    </row>
    <row r="122" spans="1:86" x14ac:dyDescent="0.35">
      <c r="A122" t="s">
        <v>14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R122" t="s">
        <v>14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I122" t="s">
        <v>14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Z122" t="s">
        <v>14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Q122" t="s">
        <v>14</v>
      </c>
      <c r="BW122">
        <v>0</v>
      </c>
      <c r="BX122">
        <v>0</v>
      </c>
      <c r="BY122">
        <v>0</v>
      </c>
      <c r="BZ122">
        <v>0</v>
      </c>
      <c r="CA122">
        <v>0</v>
      </c>
      <c r="CH122">
        <v>0</v>
      </c>
    </row>
    <row r="123" spans="1:86" x14ac:dyDescent="0.35">
      <c r="A123" t="s">
        <v>15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R123" t="s">
        <v>15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I123" t="s">
        <v>15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Z123" t="s">
        <v>15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Q123" t="s">
        <v>15</v>
      </c>
      <c r="BW123">
        <v>0</v>
      </c>
      <c r="BX123">
        <v>0</v>
      </c>
      <c r="BY123">
        <v>0</v>
      </c>
      <c r="BZ123">
        <v>0</v>
      </c>
      <c r="CA123">
        <v>0</v>
      </c>
      <c r="CH123">
        <v>0</v>
      </c>
    </row>
    <row r="124" spans="1:86" x14ac:dyDescent="0.35">
      <c r="A124" t="s">
        <v>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R124" t="s">
        <v>7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I124" t="s">
        <v>7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Z124" t="s">
        <v>7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Q124" t="s">
        <v>7</v>
      </c>
      <c r="BW124">
        <v>0</v>
      </c>
      <c r="BX124">
        <v>0</v>
      </c>
      <c r="BY124">
        <v>0</v>
      </c>
      <c r="BZ124">
        <v>0</v>
      </c>
      <c r="CA124">
        <v>0</v>
      </c>
      <c r="CH124">
        <v>0</v>
      </c>
    </row>
    <row r="125" spans="1:86" x14ac:dyDescent="0.35">
      <c r="A125" t="s">
        <v>17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R125" t="s">
        <v>17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I125" t="s">
        <v>17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Z125" t="s">
        <v>17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Q125" t="s">
        <v>17</v>
      </c>
      <c r="BW125">
        <v>0</v>
      </c>
      <c r="BX125">
        <v>0</v>
      </c>
      <c r="BY125">
        <v>0</v>
      </c>
      <c r="BZ125">
        <v>0</v>
      </c>
      <c r="CA125">
        <v>0</v>
      </c>
      <c r="CH125">
        <v>0</v>
      </c>
    </row>
    <row r="126" spans="1:86" x14ac:dyDescent="0.35">
      <c r="A126" t="s">
        <v>18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R126" t="s">
        <v>18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I126" t="s">
        <v>18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Z126" t="s">
        <v>18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Q126" t="s">
        <v>18</v>
      </c>
      <c r="BW126">
        <v>0</v>
      </c>
      <c r="BX126">
        <v>0</v>
      </c>
      <c r="BY126">
        <v>0</v>
      </c>
      <c r="BZ126">
        <v>0</v>
      </c>
      <c r="CA126">
        <v>0</v>
      </c>
      <c r="CH126">
        <v>0</v>
      </c>
    </row>
    <row r="130" spans="1:104" x14ac:dyDescent="0.35">
      <c r="B130" t="s">
        <v>50</v>
      </c>
      <c r="S130" t="s">
        <v>50</v>
      </c>
      <c r="AJ130" t="s">
        <v>50</v>
      </c>
      <c r="BA130" t="s">
        <v>50</v>
      </c>
      <c r="BR130" t="s">
        <v>50</v>
      </c>
      <c r="CH130" t="s">
        <v>39</v>
      </c>
    </row>
    <row r="131" spans="1:104" x14ac:dyDescent="0.35">
      <c r="B131" t="s">
        <v>40</v>
      </c>
      <c r="G131" t="s">
        <v>41</v>
      </c>
      <c r="S131" t="s">
        <v>40</v>
      </c>
      <c r="X131" t="s">
        <v>41</v>
      </c>
      <c r="AJ131" t="s">
        <v>40</v>
      </c>
      <c r="AO131" t="s">
        <v>41</v>
      </c>
      <c r="BA131" t="s">
        <v>40</v>
      </c>
      <c r="BF131" t="s">
        <v>41</v>
      </c>
      <c r="BR131" t="s">
        <v>40</v>
      </c>
      <c r="BW131" t="s">
        <v>41</v>
      </c>
      <c r="CH131" t="s">
        <v>38</v>
      </c>
    </row>
    <row r="132" spans="1:104" x14ac:dyDescent="0.35">
      <c r="B132" t="s">
        <v>80</v>
      </c>
      <c r="C132" t="s">
        <v>79</v>
      </c>
      <c r="D132" t="s">
        <v>78</v>
      </c>
      <c r="E132" t="s">
        <v>77</v>
      </c>
      <c r="F132" t="s">
        <v>76</v>
      </c>
      <c r="G132" t="s">
        <v>80</v>
      </c>
      <c r="H132" t="s">
        <v>79</v>
      </c>
      <c r="I132" t="s">
        <v>78</v>
      </c>
      <c r="J132" t="s">
        <v>77</v>
      </c>
      <c r="K132" t="s">
        <v>76</v>
      </c>
      <c r="S132" t="s">
        <v>80</v>
      </c>
      <c r="T132" t="s">
        <v>79</v>
      </c>
      <c r="U132" t="s">
        <v>78</v>
      </c>
      <c r="V132" t="s">
        <v>77</v>
      </c>
      <c r="W132" t="s">
        <v>76</v>
      </c>
      <c r="X132" t="s">
        <v>80</v>
      </c>
      <c r="Y132" t="s">
        <v>79</v>
      </c>
      <c r="Z132" t="s">
        <v>78</v>
      </c>
      <c r="AA132" t="s">
        <v>77</v>
      </c>
      <c r="AB132" t="s">
        <v>76</v>
      </c>
      <c r="AJ132" t="s">
        <v>80</v>
      </c>
      <c r="AK132" t="s">
        <v>79</v>
      </c>
      <c r="AL132" t="s">
        <v>78</v>
      </c>
      <c r="AM132" t="s">
        <v>77</v>
      </c>
      <c r="AN132" t="s">
        <v>76</v>
      </c>
      <c r="AO132" t="s">
        <v>80</v>
      </c>
      <c r="AP132" t="s">
        <v>79</v>
      </c>
      <c r="AQ132" t="s">
        <v>78</v>
      </c>
      <c r="AR132" t="s">
        <v>77</v>
      </c>
      <c r="AS132" t="s">
        <v>76</v>
      </c>
      <c r="BA132" t="s">
        <v>80</v>
      </c>
      <c r="BB132" t="s">
        <v>79</v>
      </c>
      <c r="BC132" t="s">
        <v>78</v>
      </c>
      <c r="BD132" t="s">
        <v>77</v>
      </c>
      <c r="BE132" t="s">
        <v>76</v>
      </c>
      <c r="BF132" t="s">
        <v>80</v>
      </c>
      <c r="BG132" t="s">
        <v>79</v>
      </c>
      <c r="BH132" t="s">
        <v>78</v>
      </c>
      <c r="BI132" t="s">
        <v>77</v>
      </c>
      <c r="BJ132" t="s">
        <v>76</v>
      </c>
      <c r="BR132" t="s">
        <v>80</v>
      </c>
      <c r="BS132" t="s">
        <v>79</v>
      </c>
      <c r="BT132" t="s">
        <v>78</v>
      </c>
      <c r="BU132" t="s">
        <v>77</v>
      </c>
      <c r="BV132" t="s">
        <v>76</v>
      </c>
      <c r="BW132" t="s">
        <v>80</v>
      </c>
      <c r="BX132" t="s">
        <v>79</v>
      </c>
      <c r="BY132" t="s">
        <v>78</v>
      </c>
      <c r="BZ132" t="s">
        <v>77</v>
      </c>
      <c r="CA132" t="s">
        <v>76</v>
      </c>
      <c r="CH132" t="s">
        <v>40</v>
      </c>
      <c r="CI132" t="s">
        <v>42</v>
      </c>
      <c r="CJ132" t="s">
        <v>18</v>
      </c>
      <c r="CK132" t="s">
        <v>41</v>
      </c>
      <c r="CL132" t="s">
        <v>43</v>
      </c>
      <c r="CM132" t="s">
        <v>44</v>
      </c>
    </row>
    <row r="133" spans="1:104" x14ac:dyDescent="0.35">
      <c r="A133" t="s">
        <v>14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R133" t="s">
        <v>14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I133" t="s">
        <v>14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Z133" t="s">
        <v>14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Q133" t="s">
        <v>14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</row>
    <row r="134" spans="1:104" x14ac:dyDescent="0.35">
      <c r="A134" t="s">
        <v>15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R134" t="s">
        <v>15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I134" t="s">
        <v>15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Z134" t="s">
        <v>15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Q134" t="s">
        <v>15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</row>
    <row r="135" spans="1:104" x14ac:dyDescent="0.35">
      <c r="A135" t="s">
        <v>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R135" t="s">
        <v>7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I135" t="s">
        <v>7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Z135" t="s">
        <v>7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Q135" t="s">
        <v>7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</row>
    <row r="136" spans="1:104" x14ac:dyDescent="0.35">
      <c r="A136" t="s">
        <v>17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R136" t="s">
        <v>17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I136" t="s">
        <v>17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Z136" t="s">
        <v>17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Q136" t="s">
        <v>17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</row>
    <row r="137" spans="1:104" x14ac:dyDescent="0.35">
      <c r="A137" t="s">
        <v>18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R137" t="s">
        <v>18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I137" t="s">
        <v>18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Z137" t="s">
        <v>18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Q137" t="s">
        <v>18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</row>
    <row r="139" spans="1:104" x14ac:dyDescent="0.35">
      <c r="B139" t="s">
        <v>50</v>
      </c>
      <c r="S139" t="s">
        <v>50</v>
      </c>
      <c r="AJ139" t="s">
        <v>50</v>
      </c>
      <c r="BA139" t="s">
        <v>50</v>
      </c>
      <c r="BR139" t="s">
        <v>50</v>
      </c>
      <c r="CV139" t="s">
        <v>45</v>
      </c>
    </row>
    <row r="140" spans="1:104" x14ac:dyDescent="0.35">
      <c r="B140" t="s">
        <v>42</v>
      </c>
      <c r="G140" t="s">
        <v>43</v>
      </c>
      <c r="S140" t="s">
        <v>42</v>
      </c>
      <c r="X140" t="s">
        <v>43</v>
      </c>
      <c r="AJ140" t="s">
        <v>42</v>
      </c>
      <c r="AO140" t="s">
        <v>43</v>
      </c>
      <c r="BA140" t="s">
        <v>42</v>
      </c>
      <c r="BF140" t="s">
        <v>43</v>
      </c>
      <c r="BR140" t="s">
        <v>42</v>
      </c>
      <c r="BW140" t="s">
        <v>43</v>
      </c>
      <c r="CV140" t="s">
        <v>5</v>
      </c>
    </row>
    <row r="141" spans="1:104" x14ac:dyDescent="0.35">
      <c r="B141" t="s">
        <v>80</v>
      </c>
      <c r="C141" t="s">
        <v>79</v>
      </c>
      <c r="D141" t="s">
        <v>78</v>
      </c>
      <c r="E141" t="s">
        <v>77</v>
      </c>
      <c r="F141" t="s">
        <v>76</v>
      </c>
      <c r="G141" t="s">
        <v>80</v>
      </c>
      <c r="H141" t="s">
        <v>79</v>
      </c>
      <c r="I141" t="s">
        <v>78</v>
      </c>
      <c r="J141" t="s">
        <v>77</v>
      </c>
      <c r="K141" t="s">
        <v>76</v>
      </c>
      <c r="S141" t="s">
        <v>80</v>
      </c>
      <c r="T141" t="s">
        <v>79</v>
      </c>
      <c r="U141" t="s">
        <v>78</v>
      </c>
      <c r="V141" t="s">
        <v>77</v>
      </c>
      <c r="W141" t="s">
        <v>76</v>
      </c>
      <c r="X141" t="s">
        <v>80</v>
      </c>
      <c r="Y141" t="s">
        <v>79</v>
      </c>
      <c r="Z141" t="s">
        <v>78</v>
      </c>
      <c r="AA141" t="s">
        <v>77</v>
      </c>
      <c r="AB141" t="s">
        <v>76</v>
      </c>
      <c r="AJ141" t="s">
        <v>80</v>
      </c>
      <c r="AK141" t="s">
        <v>79</v>
      </c>
      <c r="AL141" t="s">
        <v>78</v>
      </c>
      <c r="AM141" t="s">
        <v>77</v>
      </c>
      <c r="AN141" t="s">
        <v>76</v>
      </c>
      <c r="AO141" t="s">
        <v>80</v>
      </c>
      <c r="AP141" t="s">
        <v>79</v>
      </c>
      <c r="AQ141" t="s">
        <v>78</v>
      </c>
      <c r="AR141" t="s">
        <v>77</v>
      </c>
      <c r="AS141" t="s">
        <v>76</v>
      </c>
      <c r="BA141" t="s">
        <v>80</v>
      </c>
      <c r="BB141" t="s">
        <v>79</v>
      </c>
      <c r="BC141" t="s">
        <v>78</v>
      </c>
      <c r="BD141" t="s">
        <v>77</v>
      </c>
      <c r="BE141" t="s">
        <v>76</v>
      </c>
      <c r="BF141" t="s">
        <v>80</v>
      </c>
      <c r="BG141" t="s">
        <v>79</v>
      </c>
      <c r="BH141" t="s">
        <v>78</v>
      </c>
      <c r="BI141" t="s">
        <v>77</v>
      </c>
      <c r="BJ141" t="s">
        <v>76</v>
      </c>
      <c r="BR141" t="s">
        <v>80</v>
      </c>
      <c r="BS141" t="s">
        <v>79</v>
      </c>
      <c r="BT141" t="s">
        <v>78</v>
      </c>
      <c r="BU141" t="s">
        <v>77</v>
      </c>
      <c r="BV141" t="s">
        <v>76</v>
      </c>
      <c r="BW141" t="s">
        <v>80</v>
      </c>
      <c r="BX141" t="s">
        <v>79</v>
      </c>
      <c r="BY141" t="s">
        <v>78</v>
      </c>
      <c r="BZ141" t="s">
        <v>77</v>
      </c>
      <c r="CA141" t="s">
        <v>76</v>
      </c>
      <c r="CV141" t="s">
        <v>80</v>
      </c>
      <c r="CW141" t="s">
        <v>79</v>
      </c>
      <c r="CX141" t="s">
        <v>78</v>
      </c>
      <c r="CY141" t="s">
        <v>77</v>
      </c>
      <c r="CZ141" t="s">
        <v>76</v>
      </c>
    </row>
    <row r="142" spans="1:104" x14ac:dyDescent="0.35">
      <c r="A142" t="s">
        <v>14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R142" t="s">
        <v>14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I142" t="s">
        <v>14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Z142" t="s">
        <v>14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Q142" t="s">
        <v>14</v>
      </c>
      <c r="BR142">
        <v>3263516.5756999999</v>
      </c>
      <c r="BS142">
        <v>3690961.0502999998</v>
      </c>
      <c r="BT142">
        <v>4100306.5724999998</v>
      </c>
      <c r="BU142">
        <v>4523879.4648000002</v>
      </c>
      <c r="BV142">
        <v>4991891.4518999998</v>
      </c>
      <c r="BW142">
        <v>1352.4718</v>
      </c>
      <c r="BX142">
        <v>1388.2335</v>
      </c>
      <c r="BY142">
        <v>1443.7334000000001</v>
      </c>
      <c r="BZ142">
        <v>1494.521</v>
      </c>
      <c r="CA142">
        <v>1536.1351999999999</v>
      </c>
      <c r="CV142">
        <v>3263516.5756999999</v>
      </c>
      <c r="CW142">
        <v>3690961.0502999998</v>
      </c>
      <c r="CX142">
        <v>4100306.5724999998</v>
      </c>
      <c r="CY142">
        <v>4523879.4648000002</v>
      </c>
      <c r="CZ142">
        <v>4991891.4518999998</v>
      </c>
    </row>
    <row r="143" spans="1:104" x14ac:dyDescent="0.35">
      <c r="A143" t="s">
        <v>15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R143" t="s">
        <v>15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I143" t="s">
        <v>15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Z143" t="s">
        <v>15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Q143" t="s">
        <v>15</v>
      </c>
      <c r="BR143">
        <v>222208.7524</v>
      </c>
      <c r="BS143">
        <v>251287.85819999999</v>
      </c>
      <c r="BT143">
        <v>270854.07390000002</v>
      </c>
      <c r="BU143">
        <v>280939.1923</v>
      </c>
      <c r="BV143">
        <v>286766.97730000003</v>
      </c>
      <c r="BW143">
        <v>1349.6747</v>
      </c>
      <c r="BX143">
        <v>1515.5663999999999</v>
      </c>
      <c r="BY143">
        <v>1693.3358000000001</v>
      </c>
      <c r="BZ143">
        <v>1862.7440999999999</v>
      </c>
      <c r="CA143">
        <v>1897.3592000000001</v>
      </c>
      <c r="CV143">
        <v>222208.7524</v>
      </c>
      <c r="CW143">
        <v>251287.85819999999</v>
      </c>
      <c r="CX143">
        <v>270854.07390000002</v>
      </c>
      <c r="CY143">
        <v>280939.1923</v>
      </c>
      <c r="CZ143">
        <v>286766.97730000003</v>
      </c>
    </row>
    <row r="144" spans="1:104" x14ac:dyDescent="0.35">
      <c r="A144" t="s">
        <v>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R144" t="s">
        <v>7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I144" t="s">
        <v>7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Z144" t="s">
        <v>7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Q144" t="s">
        <v>7</v>
      </c>
      <c r="BR144">
        <v>136892.61660000001</v>
      </c>
      <c r="BS144">
        <v>150683.0772</v>
      </c>
      <c r="BT144">
        <v>170794.5698</v>
      </c>
      <c r="BU144">
        <v>190597.60060000001</v>
      </c>
      <c r="BV144">
        <v>215851.3425</v>
      </c>
      <c r="BW144">
        <v>1701.4719</v>
      </c>
      <c r="BX144">
        <v>1774.9673</v>
      </c>
      <c r="BY144">
        <v>1965.0596</v>
      </c>
      <c r="BZ144">
        <v>2106.3831</v>
      </c>
      <c r="CA144">
        <v>2132.5736999999999</v>
      </c>
      <c r="CV144">
        <v>136892.61660000001</v>
      </c>
      <c r="CW144">
        <v>150683.0772</v>
      </c>
      <c r="CX144">
        <v>170794.5698</v>
      </c>
      <c r="CY144">
        <v>190597.60060000001</v>
      </c>
      <c r="CZ144">
        <v>215851.3425</v>
      </c>
    </row>
    <row r="145" spans="1:110" x14ac:dyDescent="0.35">
      <c r="A145" t="s">
        <v>17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R145" t="s">
        <v>17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I145" t="s">
        <v>17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Z145" t="s">
        <v>17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Q145" t="s">
        <v>17</v>
      </c>
      <c r="BR145">
        <v>198246.58720000001</v>
      </c>
      <c r="BS145">
        <v>269102.66450000001</v>
      </c>
      <c r="BT145">
        <v>277329.05709999998</v>
      </c>
      <c r="BU145">
        <v>292257.43560000003</v>
      </c>
      <c r="BV145">
        <v>312092.84419999999</v>
      </c>
      <c r="BW145">
        <v>15586.180200000001</v>
      </c>
      <c r="BX145">
        <v>15922.9719</v>
      </c>
      <c r="BY145">
        <v>16551.473000000002</v>
      </c>
      <c r="BZ145">
        <v>17234.9735</v>
      </c>
      <c r="CA145">
        <v>17955.490000000002</v>
      </c>
      <c r="CV145">
        <v>198246.58720000001</v>
      </c>
      <c r="CW145">
        <v>269102.66450000001</v>
      </c>
      <c r="CX145">
        <v>277329.05709999998</v>
      </c>
      <c r="CY145">
        <v>292257.43560000003</v>
      </c>
      <c r="CZ145">
        <v>312092.84419999999</v>
      </c>
    </row>
    <row r="146" spans="1:110" x14ac:dyDescent="0.35">
      <c r="A146" t="s">
        <v>18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R146" t="s">
        <v>18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I146" t="s">
        <v>18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Z146" t="s">
        <v>18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Q146" t="s">
        <v>18</v>
      </c>
      <c r="BR146">
        <v>3820864.5318999998</v>
      </c>
      <c r="BS146">
        <v>4362034.6502</v>
      </c>
      <c r="BT146">
        <v>4819284.2734000003</v>
      </c>
      <c r="BU146">
        <v>5287673.6933000004</v>
      </c>
      <c r="BV146">
        <v>5806602.6158999996</v>
      </c>
      <c r="BW146">
        <v>1430.5987</v>
      </c>
      <c r="BX146">
        <v>1490.6086</v>
      </c>
      <c r="BY146">
        <v>1552.7565</v>
      </c>
      <c r="BZ146">
        <v>1609.5246999999999</v>
      </c>
      <c r="CA146">
        <v>1649.8931</v>
      </c>
      <c r="CV146">
        <v>3820864.5318999998</v>
      </c>
      <c r="CW146">
        <v>4362034.6502</v>
      </c>
      <c r="CX146">
        <v>4819284.2734000003</v>
      </c>
      <c r="CY146">
        <v>5287673.6933000004</v>
      </c>
      <c r="CZ146">
        <v>5806602.6158999996</v>
      </c>
    </row>
    <row r="152" spans="1:110" x14ac:dyDescent="0.35">
      <c r="B152" t="s">
        <v>51</v>
      </c>
      <c r="S152" t="s">
        <v>51</v>
      </c>
      <c r="AJ152" t="s">
        <v>51</v>
      </c>
      <c r="BA152" t="s">
        <v>51</v>
      </c>
      <c r="BR152" t="s">
        <v>51</v>
      </c>
      <c r="CV152" t="s">
        <v>51</v>
      </c>
      <c r="DB152" t="s">
        <v>51</v>
      </c>
    </row>
    <row r="153" spans="1:110" x14ac:dyDescent="0.35">
      <c r="B153" t="s">
        <v>2</v>
      </c>
      <c r="G153" t="s">
        <v>3</v>
      </c>
      <c r="L153" t="s">
        <v>4</v>
      </c>
      <c r="S153" t="s">
        <v>2</v>
      </c>
      <c r="X153" t="s">
        <v>3</v>
      </c>
      <c r="AC153" t="s">
        <v>4</v>
      </c>
      <c r="AJ153" t="s">
        <v>2</v>
      </c>
      <c r="AO153" t="s">
        <v>3</v>
      </c>
      <c r="AT153" t="s">
        <v>4</v>
      </c>
      <c r="BA153" t="s">
        <v>2</v>
      </c>
      <c r="BF153" t="s">
        <v>3</v>
      </c>
      <c r="BK153" t="s">
        <v>4</v>
      </c>
      <c r="BR153" t="s">
        <v>2</v>
      </c>
      <c r="BW153" t="s">
        <v>3</v>
      </c>
      <c r="CB153" t="s">
        <v>4</v>
      </c>
      <c r="CV153" t="s">
        <v>5</v>
      </c>
      <c r="DB153" t="s">
        <v>6</v>
      </c>
    </row>
    <row r="154" spans="1:110" x14ac:dyDescent="0.35">
      <c r="B154" t="s">
        <v>80</v>
      </c>
      <c r="C154" t="s">
        <v>79</v>
      </c>
      <c r="D154" t="s">
        <v>78</v>
      </c>
      <c r="E154" t="s">
        <v>77</v>
      </c>
      <c r="F154" t="s">
        <v>76</v>
      </c>
      <c r="G154" t="s">
        <v>80</v>
      </c>
      <c r="H154" t="s">
        <v>79</v>
      </c>
      <c r="I154" t="s">
        <v>78</v>
      </c>
      <c r="J154" t="s">
        <v>77</v>
      </c>
      <c r="K154" t="s">
        <v>76</v>
      </c>
      <c r="L154" t="s">
        <v>80</v>
      </c>
      <c r="M154" t="s">
        <v>79</v>
      </c>
      <c r="N154" t="s">
        <v>78</v>
      </c>
      <c r="O154" t="s">
        <v>77</v>
      </c>
      <c r="P154" t="s">
        <v>76</v>
      </c>
      <c r="S154" t="s">
        <v>80</v>
      </c>
      <c r="T154" t="s">
        <v>79</v>
      </c>
      <c r="U154" t="s">
        <v>78</v>
      </c>
      <c r="V154" t="s">
        <v>77</v>
      </c>
      <c r="W154" t="s">
        <v>76</v>
      </c>
      <c r="X154" t="s">
        <v>80</v>
      </c>
      <c r="Y154" t="s">
        <v>79</v>
      </c>
      <c r="Z154" t="s">
        <v>78</v>
      </c>
      <c r="AA154" t="s">
        <v>77</v>
      </c>
      <c r="AB154" t="s">
        <v>76</v>
      </c>
      <c r="AC154" t="s">
        <v>80</v>
      </c>
      <c r="AD154" t="s">
        <v>79</v>
      </c>
      <c r="AE154" t="s">
        <v>78</v>
      </c>
      <c r="AF154" t="s">
        <v>77</v>
      </c>
      <c r="AG154" t="s">
        <v>76</v>
      </c>
      <c r="AJ154" t="s">
        <v>80</v>
      </c>
      <c r="AK154" t="s">
        <v>79</v>
      </c>
      <c r="AL154" t="s">
        <v>78</v>
      </c>
      <c r="AM154" t="s">
        <v>77</v>
      </c>
      <c r="AN154" t="s">
        <v>76</v>
      </c>
      <c r="AO154" t="s">
        <v>80</v>
      </c>
      <c r="AP154" t="s">
        <v>79</v>
      </c>
      <c r="AQ154" t="s">
        <v>78</v>
      </c>
      <c r="AR154" t="s">
        <v>77</v>
      </c>
      <c r="AS154" t="s">
        <v>76</v>
      </c>
      <c r="AT154" t="s">
        <v>80</v>
      </c>
      <c r="AU154" t="s">
        <v>79</v>
      </c>
      <c r="AV154" t="s">
        <v>78</v>
      </c>
      <c r="AW154" t="s">
        <v>77</v>
      </c>
      <c r="AX154" t="s">
        <v>76</v>
      </c>
      <c r="BA154" t="s">
        <v>80</v>
      </c>
      <c r="BB154" t="s">
        <v>79</v>
      </c>
      <c r="BC154" t="s">
        <v>78</v>
      </c>
      <c r="BD154" t="s">
        <v>77</v>
      </c>
      <c r="BE154" t="s">
        <v>76</v>
      </c>
      <c r="BF154" t="s">
        <v>80</v>
      </c>
      <c r="BG154" t="s">
        <v>79</v>
      </c>
      <c r="BH154" t="s">
        <v>78</v>
      </c>
      <c r="BI154" t="s">
        <v>77</v>
      </c>
      <c r="BJ154" t="s">
        <v>76</v>
      </c>
      <c r="BK154" t="s">
        <v>80</v>
      </c>
      <c r="BL154" t="s">
        <v>79</v>
      </c>
      <c r="BM154" t="s">
        <v>78</v>
      </c>
      <c r="BN154" t="s">
        <v>77</v>
      </c>
      <c r="BO154" t="s">
        <v>76</v>
      </c>
      <c r="BR154" t="s">
        <v>80</v>
      </c>
      <c r="BS154" t="s">
        <v>79</v>
      </c>
      <c r="BT154" t="s">
        <v>78</v>
      </c>
      <c r="BU154" t="s">
        <v>77</v>
      </c>
      <c r="BV154" t="s">
        <v>76</v>
      </c>
      <c r="BW154" t="s">
        <v>80</v>
      </c>
      <c r="BX154" t="s">
        <v>79</v>
      </c>
      <c r="BY154" t="s">
        <v>78</v>
      </c>
      <c r="BZ154" t="s">
        <v>77</v>
      </c>
      <c r="CA154" t="s">
        <v>76</v>
      </c>
      <c r="CB154" t="s">
        <v>80</v>
      </c>
      <c r="CC154" t="s">
        <v>79</v>
      </c>
      <c r="CD154" t="s">
        <v>78</v>
      </c>
      <c r="CE154" t="s">
        <v>77</v>
      </c>
      <c r="CF154" t="s">
        <v>76</v>
      </c>
      <c r="CV154" t="s">
        <v>80</v>
      </c>
      <c r="CW154" t="s">
        <v>79</v>
      </c>
      <c r="CX154" t="s">
        <v>78</v>
      </c>
      <c r="CY154" t="s">
        <v>77</v>
      </c>
      <c r="CZ154" t="s">
        <v>76</v>
      </c>
      <c r="DB154" t="s">
        <v>80</v>
      </c>
      <c r="DC154" t="s">
        <v>79</v>
      </c>
      <c r="DD154" t="s">
        <v>78</v>
      </c>
      <c r="DE154" t="s">
        <v>77</v>
      </c>
      <c r="DF154" t="s">
        <v>76</v>
      </c>
    </row>
    <row r="155" spans="1:110" x14ac:dyDescent="0.35">
      <c r="A155" t="s">
        <v>14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R155" t="s">
        <v>14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I155" t="s">
        <v>14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Z155" t="s">
        <v>14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Q155" t="s">
        <v>14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B155">
        <v>0</v>
      </c>
      <c r="DC155">
        <v>0</v>
      </c>
      <c r="DD155">
        <v>0</v>
      </c>
      <c r="DE155">
        <v>0</v>
      </c>
      <c r="DF155">
        <v>0</v>
      </c>
    </row>
    <row r="156" spans="1:110" x14ac:dyDescent="0.35">
      <c r="A156" t="s">
        <v>15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R156" t="s">
        <v>15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I156" t="s">
        <v>15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Z156" t="s">
        <v>15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Q156" t="s">
        <v>15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B156">
        <v>0</v>
      </c>
      <c r="DC156">
        <v>0</v>
      </c>
      <c r="DD156">
        <v>0</v>
      </c>
      <c r="DE156">
        <v>0</v>
      </c>
      <c r="DF156">
        <v>0</v>
      </c>
    </row>
    <row r="157" spans="1:110" x14ac:dyDescent="0.35">
      <c r="A157" t="s">
        <v>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R157" t="s">
        <v>7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I157" t="s">
        <v>7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Z157" t="s">
        <v>7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Q157" t="s">
        <v>7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B157">
        <v>0</v>
      </c>
      <c r="DC157">
        <v>0</v>
      </c>
      <c r="DD157">
        <v>0</v>
      </c>
      <c r="DE157">
        <v>0</v>
      </c>
      <c r="DF157">
        <v>0</v>
      </c>
    </row>
    <row r="158" spans="1:110" x14ac:dyDescent="0.35">
      <c r="A158" t="s">
        <v>17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R158" t="s">
        <v>17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I158" t="s">
        <v>17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Z158" t="s">
        <v>17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Q158" t="s">
        <v>17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B158">
        <v>0</v>
      </c>
      <c r="DC158">
        <v>0</v>
      </c>
      <c r="DD158">
        <v>0</v>
      </c>
      <c r="DE158">
        <v>0</v>
      </c>
      <c r="DF158">
        <v>0</v>
      </c>
    </row>
    <row r="159" spans="1:110" x14ac:dyDescent="0.35">
      <c r="A159" t="s">
        <v>18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R159" t="s">
        <v>18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I159" t="s">
        <v>18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Z159" t="s">
        <v>18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Q159" t="s">
        <v>18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</row>
    <row r="165" spans="1:94" x14ac:dyDescent="0.35">
      <c r="B165" t="s">
        <v>53</v>
      </c>
      <c r="S165" t="s">
        <v>53</v>
      </c>
      <c r="AJ165" t="s">
        <v>53</v>
      </c>
      <c r="BA165" t="s">
        <v>53</v>
      </c>
      <c r="BR165" t="s">
        <v>53</v>
      </c>
      <c r="CH165" t="s">
        <v>81</v>
      </c>
    </row>
    <row r="166" spans="1:94" x14ac:dyDescent="0.35">
      <c r="B166" t="s">
        <v>54</v>
      </c>
      <c r="G166" t="s">
        <v>55</v>
      </c>
      <c r="L166" t="s">
        <v>18</v>
      </c>
      <c r="S166" t="s">
        <v>54</v>
      </c>
      <c r="X166" t="s">
        <v>55</v>
      </c>
      <c r="AC166" t="s">
        <v>18</v>
      </c>
      <c r="AJ166" t="s">
        <v>54</v>
      </c>
      <c r="AO166" t="s">
        <v>55</v>
      </c>
      <c r="AT166" t="s">
        <v>18</v>
      </c>
      <c r="BA166" t="s">
        <v>54</v>
      </c>
      <c r="BF166" t="s">
        <v>55</v>
      </c>
      <c r="BK166" t="s">
        <v>18</v>
      </c>
      <c r="BR166" t="s">
        <v>54</v>
      </c>
      <c r="BW166" t="s">
        <v>55</v>
      </c>
      <c r="CB166" t="s">
        <v>18</v>
      </c>
      <c r="CH166" t="s">
        <v>23</v>
      </c>
      <c r="CK166" t="s">
        <v>27</v>
      </c>
      <c r="CN166" t="s">
        <v>8</v>
      </c>
    </row>
    <row r="167" spans="1:94" x14ac:dyDescent="0.35">
      <c r="B167" t="s">
        <v>80</v>
      </c>
      <c r="C167" t="s">
        <v>79</v>
      </c>
      <c r="D167" t="s">
        <v>78</v>
      </c>
      <c r="E167" t="s">
        <v>77</v>
      </c>
      <c r="F167" t="s">
        <v>76</v>
      </c>
      <c r="G167" t="s">
        <v>80</v>
      </c>
      <c r="H167" t="s">
        <v>79</v>
      </c>
      <c r="I167" t="s">
        <v>78</v>
      </c>
      <c r="J167" t="s">
        <v>77</v>
      </c>
      <c r="K167" t="s">
        <v>76</v>
      </c>
      <c r="L167" t="s">
        <v>80</v>
      </c>
      <c r="M167" t="s">
        <v>79</v>
      </c>
      <c r="N167" t="s">
        <v>78</v>
      </c>
      <c r="O167" t="s">
        <v>77</v>
      </c>
      <c r="P167" t="s">
        <v>76</v>
      </c>
      <c r="S167" t="s">
        <v>80</v>
      </c>
      <c r="T167" t="s">
        <v>79</v>
      </c>
      <c r="U167" t="s">
        <v>78</v>
      </c>
      <c r="V167" t="s">
        <v>77</v>
      </c>
      <c r="W167" t="s">
        <v>76</v>
      </c>
      <c r="X167" t="s">
        <v>80</v>
      </c>
      <c r="Y167" t="s">
        <v>79</v>
      </c>
      <c r="Z167" t="s">
        <v>78</v>
      </c>
      <c r="AA167" t="s">
        <v>77</v>
      </c>
      <c r="AB167" t="s">
        <v>76</v>
      </c>
      <c r="AC167" t="s">
        <v>80</v>
      </c>
      <c r="AD167" t="s">
        <v>79</v>
      </c>
      <c r="AE167" t="s">
        <v>78</v>
      </c>
      <c r="AF167" t="s">
        <v>77</v>
      </c>
      <c r="AG167" t="s">
        <v>76</v>
      </c>
      <c r="AJ167" t="s">
        <v>80</v>
      </c>
      <c r="AK167" t="s">
        <v>79</v>
      </c>
      <c r="AL167" t="s">
        <v>78</v>
      </c>
      <c r="AM167" t="s">
        <v>77</v>
      </c>
      <c r="AN167" t="s">
        <v>76</v>
      </c>
      <c r="AO167" t="s">
        <v>80</v>
      </c>
      <c r="AP167" t="s">
        <v>79</v>
      </c>
      <c r="AQ167" t="s">
        <v>78</v>
      </c>
      <c r="AR167" t="s">
        <v>77</v>
      </c>
      <c r="AS167" t="s">
        <v>76</v>
      </c>
      <c r="AT167" t="s">
        <v>80</v>
      </c>
      <c r="AU167" t="s">
        <v>79</v>
      </c>
      <c r="AV167" t="s">
        <v>78</v>
      </c>
      <c r="AW167" t="s">
        <v>77</v>
      </c>
      <c r="AX167" t="s">
        <v>76</v>
      </c>
      <c r="BA167" t="s">
        <v>80</v>
      </c>
      <c r="BB167" t="s">
        <v>79</v>
      </c>
      <c r="BC167" t="s">
        <v>78</v>
      </c>
      <c r="BD167" t="s">
        <v>77</v>
      </c>
      <c r="BE167" t="s">
        <v>76</v>
      </c>
      <c r="BF167" t="s">
        <v>80</v>
      </c>
      <c r="BG167" t="s">
        <v>79</v>
      </c>
      <c r="BH167" t="s">
        <v>78</v>
      </c>
      <c r="BI167" t="s">
        <v>77</v>
      </c>
      <c r="BJ167" t="s">
        <v>76</v>
      </c>
      <c r="BK167" t="s">
        <v>80</v>
      </c>
      <c r="BL167" t="s">
        <v>79</v>
      </c>
      <c r="BM167" t="s">
        <v>78</v>
      </c>
      <c r="BN167" t="s">
        <v>77</v>
      </c>
      <c r="BO167" t="s">
        <v>76</v>
      </c>
      <c r="BR167" t="s">
        <v>80</v>
      </c>
      <c r="BS167" t="s">
        <v>79</v>
      </c>
      <c r="BT167" t="s">
        <v>78</v>
      </c>
      <c r="BU167" t="s">
        <v>77</v>
      </c>
      <c r="BV167" t="s">
        <v>76</v>
      </c>
      <c r="BW167" t="s">
        <v>80</v>
      </c>
      <c r="BX167" t="s">
        <v>79</v>
      </c>
      <c r="BY167" t="s">
        <v>78</v>
      </c>
      <c r="BZ167" t="s">
        <v>77</v>
      </c>
      <c r="CA167" t="s">
        <v>76</v>
      </c>
      <c r="CB167" t="s">
        <v>80</v>
      </c>
      <c r="CC167" t="s">
        <v>79</v>
      </c>
      <c r="CD167" t="s">
        <v>78</v>
      </c>
      <c r="CE167" t="s">
        <v>77</v>
      </c>
      <c r="CF167" t="s">
        <v>76</v>
      </c>
      <c r="CH167" t="s">
        <v>54</v>
      </c>
      <c r="CI167" t="s">
        <v>55</v>
      </c>
      <c r="CJ167" t="s">
        <v>18</v>
      </c>
      <c r="CK167" t="s">
        <v>54</v>
      </c>
      <c r="CL167" t="s">
        <v>55</v>
      </c>
      <c r="CM167" t="s">
        <v>18</v>
      </c>
      <c r="CN167" t="s">
        <v>54</v>
      </c>
      <c r="CO167" t="s">
        <v>55</v>
      </c>
      <c r="CP167" t="s">
        <v>18</v>
      </c>
    </row>
    <row r="168" spans="1:94" x14ac:dyDescent="0.35">
      <c r="A168" t="s">
        <v>14</v>
      </c>
      <c r="B168">
        <v>2592126.4665512196</v>
      </c>
      <c r="C168">
        <v>2647941.654051003</v>
      </c>
      <c r="D168">
        <v>2705960.4917510212</v>
      </c>
      <c r="E168">
        <v>2760466.2958510672</v>
      </c>
      <c r="F168">
        <v>2806305.9704225394</v>
      </c>
      <c r="G168">
        <v>624158.77505391138</v>
      </c>
      <c r="H168">
        <v>705698.9124020614</v>
      </c>
      <c r="I168">
        <v>771416.47032181744</v>
      </c>
      <c r="J168">
        <v>835811.84669114847</v>
      </c>
      <c r="K168">
        <v>905595.55145069899</v>
      </c>
      <c r="L168">
        <v>3216285.241605131</v>
      </c>
      <c r="M168">
        <v>3353640.5664530643</v>
      </c>
      <c r="N168">
        <v>3477376.9620728386</v>
      </c>
      <c r="O168">
        <v>3596278.1425422155</v>
      </c>
      <c r="P168">
        <v>3711901.5218732385</v>
      </c>
      <c r="R168" t="s">
        <v>14</v>
      </c>
      <c r="S168">
        <v>2592126.4665512196</v>
      </c>
      <c r="T168">
        <v>2647941.654051003</v>
      </c>
      <c r="U168">
        <v>2705960.4917510212</v>
      </c>
      <c r="V168">
        <v>2760466.2958510672</v>
      </c>
      <c r="W168">
        <v>2806305.9704225394</v>
      </c>
      <c r="X168">
        <v>624158.77505391138</v>
      </c>
      <c r="Y168">
        <v>705698.9124020614</v>
      </c>
      <c r="Z168">
        <v>771416.47032181744</v>
      </c>
      <c r="AA168">
        <v>835811.84669114847</v>
      </c>
      <c r="AB168">
        <v>905595.55145069899</v>
      </c>
      <c r="AC168">
        <v>3216285.241605131</v>
      </c>
      <c r="AD168">
        <v>3353640.5664530643</v>
      </c>
      <c r="AE168">
        <v>3477376.9620728386</v>
      </c>
      <c r="AF168">
        <v>3596278.1425422155</v>
      </c>
      <c r="AG168">
        <v>3711901.5218732385</v>
      </c>
      <c r="AI168" t="s">
        <v>14</v>
      </c>
      <c r="AJ168">
        <v>2592126.4665512196</v>
      </c>
      <c r="AK168">
        <v>2647941.654051003</v>
      </c>
      <c r="AL168">
        <v>2705960.4917510212</v>
      </c>
      <c r="AM168">
        <v>2760466.2958510672</v>
      </c>
      <c r="AN168">
        <v>2806305.9704225394</v>
      </c>
      <c r="AO168">
        <v>584069.33203714178</v>
      </c>
      <c r="AP168">
        <v>639551.3314243916</v>
      </c>
      <c r="AQ168">
        <v>682117.23600196291</v>
      </c>
      <c r="AR168">
        <v>724187.80379133031</v>
      </c>
      <c r="AS168">
        <v>771646.69997091743</v>
      </c>
      <c r="AT168">
        <v>3176195.7985883616</v>
      </c>
      <c r="AU168">
        <v>3287492.9854753949</v>
      </c>
      <c r="AV168">
        <v>3388077.727752984</v>
      </c>
      <c r="AW168">
        <v>3484654.0996423974</v>
      </c>
      <c r="AX168">
        <v>3577952.6703934567</v>
      </c>
      <c r="AZ168" t="s">
        <v>14</v>
      </c>
      <c r="BA168">
        <v>2592126.4665512196</v>
      </c>
      <c r="BB168">
        <v>2647941.654051003</v>
      </c>
      <c r="BC168">
        <v>2705960.4917510212</v>
      </c>
      <c r="BD168">
        <v>2760466.2958510672</v>
      </c>
      <c r="BE168">
        <v>2806305.9704225394</v>
      </c>
      <c r="BF168">
        <v>584069.33203714178</v>
      </c>
      <c r="BG168">
        <v>639551.3314243916</v>
      </c>
      <c r="BH168">
        <v>682117.23600196291</v>
      </c>
      <c r="BI168">
        <v>724187.80379133031</v>
      </c>
      <c r="BJ168">
        <v>771646.69997091743</v>
      </c>
      <c r="BK168">
        <v>3176195.7985883616</v>
      </c>
      <c r="BL168">
        <v>3287492.9854753949</v>
      </c>
      <c r="BM168">
        <v>3388077.727752984</v>
      </c>
      <c r="BN168">
        <v>3484654.0996423974</v>
      </c>
      <c r="BO168">
        <v>3577952.6703934567</v>
      </c>
      <c r="BQ168" t="s">
        <v>14</v>
      </c>
      <c r="BR168">
        <v>2581009.7812561602</v>
      </c>
      <c r="BS168">
        <v>2633147.9356163638</v>
      </c>
      <c r="BT168">
        <v>2687326.0642483798</v>
      </c>
      <c r="BU168">
        <v>2737816.0442033918</v>
      </c>
      <c r="BV168">
        <v>2779471.3253945885</v>
      </c>
      <c r="BW168">
        <v>592773.01576726744</v>
      </c>
      <c r="BX168">
        <v>651686.30335755972</v>
      </c>
      <c r="BY168">
        <v>697911.59173103678</v>
      </c>
      <c r="BZ168">
        <v>743811.07925484551</v>
      </c>
      <c r="CA168">
        <v>795231.70167801983</v>
      </c>
      <c r="CB168">
        <v>3173782.7970234277</v>
      </c>
      <c r="CC168">
        <v>3284834.2389739235</v>
      </c>
      <c r="CD168">
        <v>3385237.6559794163</v>
      </c>
      <c r="CE168">
        <v>3481627.1234582374</v>
      </c>
      <c r="CF168">
        <v>3574703.0270726085</v>
      </c>
      <c r="CH168">
        <v>2526255</v>
      </c>
      <c r="CI168">
        <v>585383</v>
      </c>
      <c r="CJ168">
        <v>3111638</v>
      </c>
      <c r="CK168">
        <v>138377177.77000001</v>
      </c>
      <c r="CL168">
        <v>35650401.578000009</v>
      </c>
      <c r="CM168">
        <v>174027579.34800002</v>
      </c>
      <c r="CN168">
        <v>58214000</v>
      </c>
      <c r="CO168">
        <v>15490769</v>
      </c>
      <c r="CP168">
        <v>73704769</v>
      </c>
    </row>
    <row r="169" spans="1:94" x14ac:dyDescent="0.35">
      <c r="A169" t="s">
        <v>15</v>
      </c>
      <c r="B169">
        <v>785271.44253900682</v>
      </c>
      <c r="C169">
        <v>783888.6112271368</v>
      </c>
      <c r="D169">
        <v>783015.93236195843</v>
      </c>
      <c r="E169">
        <v>781224.46183043916</v>
      </c>
      <c r="F169">
        <v>780500.45897857298</v>
      </c>
      <c r="G169">
        <v>67989.931813416682</v>
      </c>
      <c r="H169">
        <v>68820.640485081487</v>
      </c>
      <c r="I169">
        <v>70080.330716107957</v>
      </c>
      <c r="J169">
        <v>72110.514056491797</v>
      </c>
      <c r="K169">
        <v>72751.958620568155</v>
      </c>
      <c r="L169">
        <v>853261.37435242347</v>
      </c>
      <c r="M169">
        <v>852709.25171221828</v>
      </c>
      <c r="N169">
        <v>853096.2630780664</v>
      </c>
      <c r="O169">
        <v>853334.97588693094</v>
      </c>
      <c r="P169">
        <v>853252.41759914113</v>
      </c>
      <c r="R169" t="s">
        <v>15</v>
      </c>
      <c r="S169">
        <v>785271.44253900682</v>
      </c>
      <c r="T169">
        <v>783888.6112271368</v>
      </c>
      <c r="U169">
        <v>783015.93236195843</v>
      </c>
      <c r="V169">
        <v>781224.46183043916</v>
      </c>
      <c r="W169">
        <v>780500.45897857298</v>
      </c>
      <c r="X169">
        <v>67989.931813416682</v>
      </c>
      <c r="Y169">
        <v>68820.640485081487</v>
      </c>
      <c r="Z169">
        <v>70080.330716107957</v>
      </c>
      <c r="AA169">
        <v>72110.514056491797</v>
      </c>
      <c r="AB169">
        <v>72751.958620568155</v>
      </c>
      <c r="AC169">
        <v>853261.37435242347</v>
      </c>
      <c r="AD169">
        <v>852709.25171221828</v>
      </c>
      <c r="AE169">
        <v>853096.2630780664</v>
      </c>
      <c r="AF169">
        <v>853334.97588693094</v>
      </c>
      <c r="AG169">
        <v>853252.41759914113</v>
      </c>
      <c r="AI169" t="s">
        <v>15</v>
      </c>
      <c r="AJ169">
        <v>785271.44253900682</v>
      </c>
      <c r="AK169">
        <v>783888.6112271368</v>
      </c>
      <c r="AL169">
        <v>783015.93236195843</v>
      </c>
      <c r="AM169">
        <v>781224.46183043916</v>
      </c>
      <c r="AN169">
        <v>780500.45897857298</v>
      </c>
      <c r="AO169">
        <v>65871.552059234935</v>
      </c>
      <c r="AP169">
        <v>65325.313890681631</v>
      </c>
      <c r="AQ169">
        <v>65361.639813668087</v>
      </c>
      <c r="AR169">
        <v>66212.150428442008</v>
      </c>
      <c r="AS169">
        <v>65673.922266908368</v>
      </c>
      <c r="AT169">
        <v>851142.99459824176</v>
      </c>
      <c r="AU169">
        <v>849213.92511781841</v>
      </c>
      <c r="AV169">
        <v>848377.57217562653</v>
      </c>
      <c r="AW169">
        <v>847436.61225888121</v>
      </c>
      <c r="AX169">
        <v>846174.38124548132</v>
      </c>
      <c r="AZ169" t="s">
        <v>15</v>
      </c>
      <c r="BA169">
        <v>785271.44253900682</v>
      </c>
      <c r="BB169">
        <v>783888.6112271368</v>
      </c>
      <c r="BC169">
        <v>783015.93236195843</v>
      </c>
      <c r="BD169">
        <v>781224.46183043916</v>
      </c>
      <c r="BE169">
        <v>780500.45897857298</v>
      </c>
      <c r="BF169">
        <v>65871.552059234935</v>
      </c>
      <c r="BG169">
        <v>65325.313890681631</v>
      </c>
      <c r="BH169">
        <v>65361.639813668087</v>
      </c>
      <c r="BI169">
        <v>66212.150428442008</v>
      </c>
      <c r="BJ169">
        <v>65673.922266908368</v>
      </c>
      <c r="BK169">
        <v>851142.99459824176</v>
      </c>
      <c r="BL169">
        <v>849213.92511781841</v>
      </c>
      <c r="BM169">
        <v>848377.57217562653</v>
      </c>
      <c r="BN169">
        <v>847436.61225888121</v>
      </c>
      <c r="BO169">
        <v>846174.38124548132</v>
      </c>
      <c r="BQ169" t="s">
        <v>15</v>
      </c>
      <c r="BR169">
        <v>782292.44205791294</v>
      </c>
      <c r="BS169">
        <v>780067.14856410667</v>
      </c>
      <c r="BT169">
        <v>778349.8557149925</v>
      </c>
      <c r="BU169">
        <v>775716.12385075644</v>
      </c>
      <c r="BV169">
        <v>774154.15111923183</v>
      </c>
      <c r="BW169">
        <v>68685.913796543609</v>
      </c>
      <c r="BX169">
        <v>68980.97197249638</v>
      </c>
      <c r="BY169">
        <v>69867.763498998218</v>
      </c>
      <c r="BZ169">
        <v>71569.668338129472</v>
      </c>
      <c r="CA169">
        <v>71869.090066495279</v>
      </c>
      <c r="CB169">
        <v>850978.35585445655</v>
      </c>
      <c r="CC169">
        <v>849048.12053660303</v>
      </c>
      <c r="CD169">
        <v>848217.61921399075</v>
      </c>
      <c r="CE169">
        <v>847285.79218888585</v>
      </c>
      <c r="CF169">
        <v>846023.24118572706</v>
      </c>
      <c r="CH169">
        <v>785274</v>
      </c>
      <c r="CI169">
        <v>68428</v>
      </c>
      <c r="CJ169">
        <v>853702</v>
      </c>
      <c r="CK169">
        <v>79998076.140000001</v>
      </c>
      <c r="CL169">
        <v>4913788.6000000006</v>
      </c>
      <c r="CM169">
        <v>84911864.739999995</v>
      </c>
      <c r="CN169">
        <v>70339442</v>
      </c>
      <c r="CO169">
        <v>6124983</v>
      </c>
      <c r="CP169">
        <v>76464425</v>
      </c>
    </row>
    <row r="170" spans="1:94" x14ac:dyDescent="0.35">
      <c r="A170" t="s">
        <v>7</v>
      </c>
      <c r="B170">
        <v>185835.97541271744</v>
      </c>
      <c r="C170">
        <v>189013.2892999879</v>
      </c>
      <c r="D170">
        <v>192498.86901643567</v>
      </c>
      <c r="E170">
        <v>193936.76128459294</v>
      </c>
      <c r="F170">
        <v>193954.92430134738</v>
      </c>
      <c r="G170">
        <v>23002.235653617859</v>
      </c>
      <c r="H170">
        <v>19357.20440946268</v>
      </c>
      <c r="I170">
        <v>15874.110985044681</v>
      </c>
      <c r="J170">
        <v>14647.63838715079</v>
      </c>
      <c r="K170">
        <v>14981.027983037857</v>
      </c>
      <c r="L170">
        <v>208838.21106633529</v>
      </c>
      <c r="M170">
        <v>208370.49370945059</v>
      </c>
      <c r="N170">
        <v>208372.98000148035</v>
      </c>
      <c r="O170">
        <v>208584.39967174374</v>
      </c>
      <c r="P170">
        <v>208935.95228438522</v>
      </c>
      <c r="R170" t="s">
        <v>7</v>
      </c>
      <c r="S170">
        <v>185835.97541271744</v>
      </c>
      <c r="T170">
        <v>189013.2892999879</v>
      </c>
      <c r="U170">
        <v>192498.86901643567</v>
      </c>
      <c r="V170">
        <v>193936.76128459294</v>
      </c>
      <c r="W170">
        <v>193954.92430134738</v>
      </c>
      <c r="X170">
        <v>23002.235653617859</v>
      </c>
      <c r="Y170">
        <v>19357.20440946268</v>
      </c>
      <c r="Z170">
        <v>15874.110985044681</v>
      </c>
      <c r="AA170">
        <v>14647.63838715079</v>
      </c>
      <c r="AB170">
        <v>14981.027983037857</v>
      </c>
      <c r="AC170">
        <v>208838.21106633529</v>
      </c>
      <c r="AD170">
        <v>208370.49370945059</v>
      </c>
      <c r="AE170">
        <v>208372.98000148035</v>
      </c>
      <c r="AF170">
        <v>208584.39967174374</v>
      </c>
      <c r="AG170">
        <v>208935.95228438522</v>
      </c>
      <c r="AI170" t="s">
        <v>7</v>
      </c>
      <c r="AJ170">
        <v>185835.97541271744</v>
      </c>
      <c r="AK170">
        <v>189013.2892999879</v>
      </c>
      <c r="AL170">
        <v>192498.86901643567</v>
      </c>
      <c r="AM170">
        <v>193936.76128459294</v>
      </c>
      <c r="AN170">
        <v>193954.92430134738</v>
      </c>
      <c r="AO170">
        <v>23002.235653617859</v>
      </c>
      <c r="AP170">
        <v>19357.20440946268</v>
      </c>
      <c r="AQ170">
        <v>15874.110985044681</v>
      </c>
      <c r="AR170">
        <v>14647.63838715079</v>
      </c>
      <c r="AS170">
        <v>14981.027983037857</v>
      </c>
      <c r="AT170">
        <v>208838.21106633529</v>
      </c>
      <c r="AU170">
        <v>208370.49370945059</v>
      </c>
      <c r="AV170">
        <v>208372.98000148035</v>
      </c>
      <c r="AW170">
        <v>208584.39967174374</v>
      </c>
      <c r="AX170">
        <v>208935.95228438522</v>
      </c>
      <c r="AZ170" t="s">
        <v>7</v>
      </c>
      <c r="BA170">
        <v>185835.97541271744</v>
      </c>
      <c r="BB170">
        <v>189013.2892999879</v>
      </c>
      <c r="BC170">
        <v>192498.86901643567</v>
      </c>
      <c r="BD170">
        <v>193936.76128459294</v>
      </c>
      <c r="BE170">
        <v>193954.92430134738</v>
      </c>
      <c r="BF170">
        <v>23002.235653617859</v>
      </c>
      <c r="BG170">
        <v>19357.20440946268</v>
      </c>
      <c r="BH170">
        <v>15874.110985044681</v>
      </c>
      <c r="BI170">
        <v>14647.63838715079</v>
      </c>
      <c r="BJ170">
        <v>14981.027983037857</v>
      </c>
      <c r="BK170">
        <v>208838.21106633529</v>
      </c>
      <c r="BL170">
        <v>208370.49370945059</v>
      </c>
      <c r="BM170">
        <v>208372.98000148035</v>
      </c>
      <c r="BN170">
        <v>208584.39967174374</v>
      </c>
      <c r="BO170">
        <v>208935.95228438522</v>
      </c>
      <c r="BQ170" t="s">
        <v>7</v>
      </c>
      <c r="BR170">
        <v>185105.04167398525</v>
      </c>
      <c r="BS170">
        <v>188075.62207829536</v>
      </c>
      <c r="BT170">
        <v>191352.81762642754</v>
      </c>
      <c r="BU170">
        <v>192580.96268672662</v>
      </c>
      <c r="BV170">
        <v>192387.90465921449</v>
      </c>
      <c r="BW170">
        <v>23652.713986141887</v>
      </c>
      <c r="BX170">
        <v>20209.978194411498</v>
      </c>
      <c r="BY170">
        <v>16933.246654270992</v>
      </c>
      <c r="BZ170">
        <v>15912.951260713815</v>
      </c>
      <c r="CA170">
        <v>16446.831268385544</v>
      </c>
      <c r="CB170">
        <v>208757.75566012715</v>
      </c>
      <c r="CC170">
        <v>208285.60027270686</v>
      </c>
      <c r="CD170">
        <v>208286.06428069854</v>
      </c>
      <c r="CE170">
        <v>208493.91394744042</v>
      </c>
      <c r="CF170">
        <v>208834.73592760004</v>
      </c>
      <c r="CH170">
        <v>185119</v>
      </c>
      <c r="CI170">
        <v>24183</v>
      </c>
      <c r="CJ170">
        <v>209302</v>
      </c>
      <c r="CK170">
        <v>19444728.709999997</v>
      </c>
      <c r="CL170">
        <v>1526392.2999999998</v>
      </c>
      <c r="CM170">
        <v>20971121.009999998</v>
      </c>
      <c r="CN170">
        <v>15242491</v>
      </c>
      <c r="CO170">
        <v>2066594</v>
      </c>
      <c r="CP170">
        <v>17309085</v>
      </c>
    </row>
    <row r="171" spans="1:94" x14ac:dyDescent="0.35">
      <c r="A171" t="s">
        <v>17</v>
      </c>
      <c r="B171">
        <v>1354.2108287270912</v>
      </c>
      <c r="C171">
        <v>1581.7019739440902</v>
      </c>
      <c r="D171">
        <v>1909.7827385408561</v>
      </c>
      <c r="E171">
        <v>1985.5267306445312</v>
      </c>
      <c r="F171">
        <v>2097.752844755998</v>
      </c>
      <c r="G171">
        <v>20146.407424491834</v>
      </c>
      <c r="H171">
        <v>20714.069800300698</v>
      </c>
      <c r="I171">
        <v>20998.596548477697</v>
      </c>
      <c r="J171">
        <v>21544.100021049715</v>
      </c>
      <c r="K171">
        <v>22276.465957338169</v>
      </c>
      <c r="L171">
        <v>21500.618253218927</v>
      </c>
      <c r="M171">
        <v>22295.771774244789</v>
      </c>
      <c r="N171">
        <v>22908.379287018553</v>
      </c>
      <c r="O171">
        <v>23529.626751694246</v>
      </c>
      <c r="P171">
        <v>24374.218802094168</v>
      </c>
      <c r="R171" t="s">
        <v>17</v>
      </c>
      <c r="S171">
        <v>1354.2108287270912</v>
      </c>
      <c r="T171">
        <v>1581.7019739440902</v>
      </c>
      <c r="U171">
        <v>1909.7827385408561</v>
      </c>
      <c r="V171">
        <v>1985.5267306445312</v>
      </c>
      <c r="W171">
        <v>2097.752844755998</v>
      </c>
      <c r="X171">
        <v>20146.407424491834</v>
      </c>
      <c r="Y171">
        <v>20714.069800300698</v>
      </c>
      <c r="Z171">
        <v>20998.596548477697</v>
      </c>
      <c r="AA171">
        <v>21544.100021049715</v>
      </c>
      <c r="AB171">
        <v>22276.465957338169</v>
      </c>
      <c r="AC171">
        <v>21500.618253218927</v>
      </c>
      <c r="AD171">
        <v>22295.771774244789</v>
      </c>
      <c r="AE171">
        <v>22908.379287018553</v>
      </c>
      <c r="AF171">
        <v>23529.626751694246</v>
      </c>
      <c r="AG171">
        <v>24374.218802094168</v>
      </c>
      <c r="AI171" t="s">
        <v>17</v>
      </c>
      <c r="AJ171">
        <v>1354.2108287270912</v>
      </c>
      <c r="AK171">
        <v>1581.7019739440902</v>
      </c>
      <c r="AL171">
        <v>1909.7827385408561</v>
      </c>
      <c r="AM171">
        <v>1985.5267306445312</v>
      </c>
      <c r="AN171">
        <v>2097.752844755998</v>
      </c>
      <c r="AO171">
        <v>20146.407424491834</v>
      </c>
      <c r="AP171">
        <v>20714.069800300698</v>
      </c>
      <c r="AQ171">
        <v>20998.596548477697</v>
      </c>
      <c r="AR171">
        <v>21544.100021049715</v>
      </c>
      <c r="AS171">
        <v>22276.465957338169</v>
      </c>
      <c r="AT171">
        <v>21500.618253218927</v>
      </c>
      <c r="AU171">
        <v>22295.771774244789</v>
      </c>
      <c r="AV171">
        <v>22908.379287018553</v>
      </c>
      <c r="AW171">
        <v>23529.626751694246</v>
      </c>
      <c r="AX171">
        <v>24374.218802094168</v>
      </c>
      <c r="AZ171" t="s">
        <v>17</v>
      </c>
      <c r="BA171">
        <v>1354.2108287270912</v>
      </c>
      <c r="BB171">
        <v>1581.7019739440902</v>
      </c>
      <c r="BC171">
        <v>1909.7827385408561</v>
      </c>
      <c r="BD171">
        <v>1985.5267306445312</v>
      </c>
      <c r="BE171">
        <v>2097.752844755998</v>
      </c>
      <c r="BF171">
        <v>20146.407424491834</v>
      </c>
      <c r="BG171">
        <v>20714.069800300698</v>
      </c>
      <c r="BH171">
        <v>20998.596548477697</v>
      </c>
      <c r="BI171">
        <v>21544.100021049715</v>
      </c>
      <c r="BJ171">
        <v>22276.465957338169</v>
      </c>
      <c r="BK171">
        <v>21500.618253218927</v>
      </c>
      <c r="BL171">
        <v>22295.771774244789</v>
      </c>
      <c r="BM171">
        <v>22908.379287018553</v>
      </c>
      <c r="BN171">
        <v>23529.626751694246</v>
      </c>
      <c r="BO171">
        <v>24374.218802094168</v>
      </c>
      <c r="BQ171" t="s">
        <v>17</v>
      </c>
      <c r="BR171">
        <v>1278.9586648408249</v>
      </c>
      <c r="BS171">
        <v>1481.3710009599886</v>
      </c>
      <c r="BT171">
        <v>1783.7866524622541</v>
      </c>
      <c r="BU171">
        <v>1832.5841567585185</v>
      </c>
      <c r="BV171">
        <v>1914.9462037402918</v>
      </c>
      <c r="BW171">
        <v>20208.940205926163</v>
      </c>
      <c r="BX171">
        <v>20797.500494478321</v>
      </c>
      <c r="BY171">
        <v>21107.837083152706</v>
      </c>
      <c r="BZ171">
        <v>21680.085363448379</v>
      </c>
      <c r="CA171">
        <v>22441.891126451268</v>
      </c>
      <c r="CB171">
        <v>21487.898870766989</v>
      </c>
      <c r="CC171">
        <v>22278.87149543831</v>
      </c>
      <c r="CD171">
        <v>22891.623735614961</v>
      </c>
      <c r="CE171">
        <v>23512.669520206899</v>
      </c>
      <c r="CF171">
        <v>24356.83733019156</v>
      </c>
      <c r="CH171">
        <v>1167</v>
      </c>
      <c r="CI171">
        <v>19400</v>
      </c>
      <c r="CJ171">
        <v>20567</v>
      </c>
      <c r="CK171">
        <v>129933.3</v>
      </c>
      <c r="CL171">
        <v>4290668.4800000004</v>
      </c>
      <c r="CM171">
        <v>4420601.78</v>
      </c>
      <c r="CN171">
        <v>36727</v>
      </c>
      <c r="CO171">
        <v>820597</v>
      </c>
      <c r="CP171">
        <v>857324</v>
      </c>
    </row>
    <row r="172" spans="1:94" x14ac:dyDescent="0.35">
      <c r="A172" t="s">
        <v>18</v>
      </c>
      <c r="B172">
        <v>3564588.0953316712</v>
      </c>
      <c r="C172">
        <v>3622425.2565520718</v>
      </c>
      <c r="D172">
        <v>3683385.075867956</v>
      </c>
      <c r="E172">
        <v>3737613.0456967438</v>
      </c>
      <c r="F172">
        <v>3782859.1065472155</v>
      </c>
      <c r="G172">
        <v>735297.34994543775</v>
      </c>
      <c r="H172">
        <v>814590.82709690626</v>
      </c>
      <c r="I172">
        <v>878369.5085714478</v>
      </c>
      <c r="J172">
        <v>944114.09915584081</v>
      </c>
      <c r="K172">
        <v>1015605.0040116432</v>
      </c>
      <c r="L172">
        <v>4299885.4452771088</v>
      </c>
      <c r="M172">
        <v>4437016.0836489778</v>
      </c>
      <c r="N172">
        <v>4561754.5844394034</v>
      </c>
      <c r="O172">
        <v>4681727.1448525842</v>
      </c>
      <c r="P172">
        <v>4798464.1105588591</v>
      </c>
      <c r="R172" t="s">
        <v>18</v>
      </c>
      <c r="S172">
        <v>3564588.0953316712</v>
      </c>
      <c r="T172">
        <v>3622425.2565520718</v>
      </c>
      <c r="U172">
        <v>3683385.075867956</v>
      </c>
      <c r="V172">
        <v>3737613.0456967438</v>
      </c>
      <c r="W172">
        <v>3782859.1065472155</v>
      </c>
      <c r="X172">
        <v>735297.34994543775</v>
      </c>
      <c r="Y172">
        <v>814590.82709690626</v>
      </c>
      <c r="Z172">
        <v>878369.5085714478</v>
      </c>
      <c r="AA172">
        <v>944114.09915584081</v>
      </c>
      <c r="AB172">
        <v>1015605.0040116432</v>
      </c>
      <c r="AC172">
        <v>4299885.4452771088</v>
      </c>
      <c r="AD172">
        <v>4437016.0836489778</v>
      </c>
      <c r="AE172">
        <v>4561754.5844394034</v>
      </c>
      <c r="AF172">
        <v>4681727.1448525842</v>
      </c>
      <c r="AG172">
        <v>4798464.1105588591</v>
      </c>
      <c r="AI172" t="s">
        <v>18</v>
      </c>
      <c r="AJ172">
        <v>3564588.0953316712</v>
      </c>
      <c r="AK172">
        <v>3622425.2565520718</v>
      </c>
      <c r="AL172">
        <v>3683385.075867956</v>
      </c>
      <c r="AM172">
        <v>3737613.0456967438</v>
      </c>
      <c r="AN172">
        <v>3782859.1065472155</v>
      </c>
      <c r="AO172">
        <v>693089.52717448643</v>
      </c>
      <c r="AP172">
        <v>744947.91952483659</v>
      </c>
      <c r="AQ172">
        <v>784351.5833491534</v>
      </c>
      <c r="AR172">
        <v>826591.69262797292</v>
      </c>
      <c r="AS172">
        <v>874578.11617820186</v>
      </c>
      <c r="AT172">
        <v>4257677.6225061575</v>
      </c>
      <c r="AU172">
        <v>4367373.1760769086</v>
      </c>
      <c r="AV172">
        <v>4467736.659217109</v>
      </c>
      <c r="AW172">
        <v>4564204.7383247158</v>
      </c>
      <c r="AX172">
        <v>4657437.2227254184</v>
      </c>
      <c r="AZ172" t="s">
        <v>18</v>
      </c>
      <c r="BA172">
        <v>3564588.0953316712</v>
      </c>
      <c r="BB172">
        <v>3622425.2565520718</v>
      </c>
      <c r="BC172">
        <v>3683385.075867956</v>
      </c>
      <c r="BD172">
        <v>3737613.0456967438</v>
      </c>
      <c r="BE172">
        <v>3782859.1065472155</v>
      </c>
      <c r="BF172">
        <v>693089.52717448643</v>
      </c>
      <c r="BG172">
        <v>744947.91952483659</v>
      </c>
      <c r="BH172">
        <v>784351.5833491534</v>
      </c>
      <c r="BI172">
        <v>826591.69262797292</v>
      </c>
      <c r="BJ172">
        <v>874578.11617820186</v>
      </c>
      <c r="BK172">
        <v>4257677.6225061575</v>
      </c>
      <c r="BL172">
        <v>4367373.1760769086</v>
      </c>
      <c r="BM172">
        <v>4467736.659217109</v>
      </c>
      <c r="BN172">
        <v>4564204.7383247158</v>
      </c>
      <c r="BO172">
        <v>4657437.2227254184</v>
      </c>
      <c r="BQ172" t="s">
        <v>18</v>
      </c>
      <c r="BR172">
        <v>3549686.2236528993</v>
      </c>
      <c r="BS172">
        <v>3602772.0772597259</v>
      </c>
      <c r="BT172">
        <v>3658812.5242422619</v>
      </c>
      <c r="BU172">
        <v>3707945.7148976335</v>
      </c>
      <c r="BV172">
        <v>3747928.327376775</v>
      </c>
      <c r="BW172">
        <v>705320.58375587908</v>
      </c>
      <c r="BX172">
        <v>761674.75401894585</v>
      </c>
      <c r="BY172">
        <v>805820.43896745879</v>
      </c>
      <c r="BZ172">
        <v>852973.78421713714</v>
      </c>
      <c r="CA172">
        <v>905989.5141393519</v>
      </c>
      <c r="CB172">
        <v>4255006.807408778</v>
      </c>
      <c r="CC172">
        <v>4364446.8312786724</v>
      </c>
      <c r="CD172">
        <v>4464632.9632097213</v>
      </c>
      <c r="CE172">
        <v>4560919.4991147704</v>
      </c>
      <c r="CF172">
        <v>4653917.8415161269</v>
      </c>
      <c r="CH172">
        <v>3497815</v>
      </c>
      <c r="CI172">
        <v>697394</v>
      </c>
      <c r="CJ172">
        <v>4195209</v>
      </c>
      <c r="CK172">
        <v>237949915.92000005</v>
      </c>
      <c r="CL172">
        <v>46381250.958000004</v>
      </c>
      <c r="CM172">
        <v>284331166.87800002</v>
      </c>
      <c r="CN172">
        <v>143832660</v>
      </c>
      <c r="CO172">
        <v>24502943</v>
      </c>
      <c r="CP172">
        <v>168335603</v>
      </c>
    </row>
    <row r="174" spans="1:94" x14ac:dyDescent="0.35">
      <c r="B174" t="s">
        <v>53</v>
      </c>
      <c r="S174" t="s">
        <v>53</v>
      </c>
      <c r="AJ174" t="s">
        <v>53</v>
      </c>
      <c r="BA174" t="s">
        <v>53</v>
      </c>
      <c r="BR174" t="s">
        <v>53</v>
      </c>
      <c r="CH174" t="s">
        <v>81</v>
      </c>
    </row>
    <row r="175" spans="1:94" x14ac:dyDescent="0.35">
      <c r="B175" t="s">
        <v>56</v>
      </c>
      <c r="G175" t="s">
        <v>57</v>
      </c>
      <c r="L175" t="s">
        <v>18</v>
      </c>
      <c r="S175" t="s">
        <v>56</v>
      </c>
      <c r="X175" t="s">
        <v>57</v>
      </c>
      <c r="AC175" t="s">
        <v>18</v>
      </c>
      <c r="AJ175" t="s">
        <v>56</v>
      </c>
      <c r="AO175" t="s">
        <v>57</v>
      </c>
      <c r="AT175" t="s">
        <v>18</v>
      </c>
      <c r="BA175" t="s">
        <v>56</v>
      </c>
      <c r="BF175" t="s">
        <v>57</v>
      </c>
      <c r="BK175" t="s">
        <v>18</v>
      </c>
      <c r="BR175" t="s">
        <v>56</v>
      </c>
      <c r="BW175" t="s">
        <v>57</v>
      </c>
      <c r="CB175" t="s">
        <v>18</v>
      </c>
      <c r="CH175" t="s">
        <v>23</v>
      </c>
      <c r="CK175" t="s">
        <v>27</v>
      </c>
      <c r="CN175" t="s">
        <v>8</v>
      </c>
    </row>
    <row r="176" spans="1:94" x14ac:dyDescent="0.35">
      <c r="B176" t="s">
        <v>80</v>
      </c>
      <c r="C176" t="s">
        <v>79</v>
      </c>
      <c r="D176" t="s">
        <v>78</v>
      </c>
      <c r="E176" t="s">
        <v>77</v>
      </c>
      <c r="F176" t="s">
        <v>76</v>
      </c>
      <c r="G176" t="s">
        <v>80</v>
      </c>
      <c r="H176" t="s">
        <v>79</v>
      </c>
      <c r="I176" t="s">
        <v>78</v>
      </c>
      <c r="J176" t="s">
        <v>77</v>
      </c>
      <c r="K176" t="s">
        <v>76</v>
      </c>
      <c r="L176" t="s">
        <v>80</v>
      </c>
      <c r="M176" t="s">
        <v>79</v>
      </c>
      <c r="N176" t="s">
        <v>78</v>
      </c>
      <c r="O176" t="s">
        <v>77</v>
      </c>
      <c r="P176" t="s">
        <v>76</v>
      </c>
      <c r="S176" t="s">
        <v>80</v>
      </c>
      <c r="T176" t="s">
        <v>79</v>
      </c>
      <c r="U176" t="s">
        <v>78</v>
      </c>
      <c r="V176" t="s">
        <v>77</v>
      </c>
      <c r="W176" t="s">
        <v>76</v>
      </c>
      <c r="X176" t="s">
        <v>80</v>
      </c>
      <c r="Y176" t="s">
        <v>79</v>
      </c>
      <c r="Z176" t="s">
        <v>78</v>
      </c>
      <c r="AA176" t="s">
        <v>77</v>
      </c>
      <c r="AB176" t="s">
        <v>76</v>
      </c>
      <c r="AC176" t="s">
        <v>80</v>
      </c>
      <c r="AD176" t="s">
        <v>79</v>
      </c>
      <c r="AE176" t="s">
        <v>78</v>
      </c>
      <c r="AF176" t="s">
        <v>77</v>
      </c>
      <c r="AG176" t="s">
        <v>76</v>
      </c>
      <c r="AJ176" t="s">
        <v>80</v>
      </c>
      <c r="AK176" t="s">
        <v>79</v>
      </c>
      <c r="AL176" t="s">
        <v>78</v>
      </c>
      <c r="AM176" t="s">
        <v>77</v>
      </c>
      <c r="AN176" t="s">
        <v>76</v>
      </c>
      <c r="AO176" t="s">
        <v>80</v>
      </c>
      <c r="AP176" t="s">
        <v>79</v>
      </c>
      <c r="AQ176" t="s">
        <v>78</v>
      </c>
      <c r="AR176" t="s">
        <v>77</v>
      </c>
      <c r="AS176" t="s">
        <v>76</v>
      </c>
      <c r="AT176" t="s">
        <v>80</v>
      </c>
      <c r="AU176" t="s">
        <v>79</v>
      </c>
      <c r="AV176" t="s">
        <v>78</v>
      </c>
      <c r="AW176" t="s">
        <v>77</v>
      </c>
      <c r="AX176" t="s">
        <v>76</v>
      </c>
      <c r="BA176" t="s">
        <v>80</v>
      </c>
      <c r="BB176" t="s">
        <v>79</v>
      </c>
      <c r="BC176" t="s">
        <v>78</v>
      </c>
      <c r="BD176" t="s">
        <v>77</v>
      </c>
      <c r="BE176" t="s">
        <v>76</v>
      </c>
      <c r="BF176" t="s">
        <v>80</v>
      </c>
      <c r="BG176" t="s">
        <v>79</v>
      </c>
      <c r="BH176" t="s">
        <v>78</v>
      </c>
      <c r="BI176" t="s">
        <v>77</v>
      </c>
      <c r="BJ176" t="s">
        <v>76</v>
      </c>
      <c r="BK176" t="s">
        <v>80</v>
      </c>
      <c r="BL176" t="s">
        <v>79</v>
      </c>
      <c r="BM176" t="s">
        <v>78</v>
      </c>
      <c r="BN176" t="s">
        <v>77</v>
      </c>
      <c r="BO176" t="s">
        <v>76</v>
      </c>
      <c r="BR176" t="s">
        <v>80</v>
      </c>
      <c r="BS176" t="s">
        <v>79</v>
      </c>
      <c r="BT176" t="s">
        <v>78</v>
      </c>
      <c r="BU176" t="s">
        <v>77</v>
      </c>
      <c r="BV176" t="s">
        <v>76</v>
      </c>
      <c r="BW176" t="s">
        <v>80</v>
      </c>
      <c r="BX176" t="s">
        <v>79</v>
      </c>
      <c r="BY176" t="s">
        <v>78</v>
      </c>
      <c r="BZ176" t="s">
        <v>77</v>
      </c>
      <c r="CA176" t="s">
        <v>76</v>
      </c>
      <c r="CB176" t="s">
        <v>80</v>
      </c>
      <c r="CC176" t="s">
        <v>79</v>
      </c>
      <c r="CD176" t="s">
        <v>78</v>
      </c>
      <c r="CE176" t="s">
        <v>77</v>
      </c>
      <c r="CF176" t="s">
        <v>76</v>
      </c>
      <c r="CH176" t="s">
        <v>56</v>
      </c>
      <c r="CI176" t="s">
        <v>57</v>
      </c>
      <c r="CJ176" t="s">
        <v>18</v>
      </c>
      <c r="CK176" t="s">
        <v>56</v>
      </c>
      <c r="CL176" t="s">
        <v>57</v>
      </c>
      <c r="CM176" t="s">
        <v>18</v>
      </c>
      <c r="CN176" t="s">
        <v>56</v>
      </c>
      <c r="CO176" t="s">
        <v>57</v>
      </c>
      <c r="CP176" t="s">
        <v>18</v>
      </c>
    </row>
    <row r="177" spans="1:110" x14ac:dyDescent="0.35">
      <c r="A177" t="s">
        <v>14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R177" t="s">
        <v>14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I177" t="s">
        <v>14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Z177" t="s">
        <v>14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Q177" t="s">
        <v>14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</row>
    <row r="178" spans="1:110" x14ac:dyDescent="0.35">
      <c r="A178" t="s">
        <v>15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R178" t="s">
        <v>15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I178" t="s">
        <v>15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Z178" t="s">
        <v>15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Q178" t="s">
        <v>15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</row>
    <row r="179" spans="1:110" x14ac:dyDescent="0.35">
      <c r="A179" t="s">
        <v>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R179" t="s">
        <v>7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I179" t="s">
        <v>7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Z179" t="s">
        <v>7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Q179" t="s">
        <v>7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</row>
    <row r="180" spans="1:110" x14ac:dyDescent="0.35">
      <c r="A180" t="s">
        <v>17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R180" t="s">
        <v>17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I180" t="s">
        <v>17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Z180" t="s">
        <v>17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Q180" t="s">
        <v>17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</row>
    <row r="181" spans="1:110" x14ac:dyDescent="0.35">
      <c r="A181" t="s">
        <v>18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R181" t="s">
        <v>18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I181" t="s">
        <v>18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Z181" t="s">
        <v>18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Q181" t="s">
        <v>18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</row>
    <row r="183" spans="1:110" x14ac:dyDescent="0.35">
      <c r="B183" t="s">
        <v>53</v>
      </c>
      <c r="S183" t="s">
        <v>53</v>
      </c>
      <c r="AJ183" t="s">
        <v>53</v>
      </c>
      <c r="BA183" t="s">
        <v>53</v>
      </c>
      <c r="BR183" t="s">
        <v>53</v>
      </c>
      <c r="CH183" t="s">
        <v>81</v>
      </c>
      <c r="CV183" t="s">
        <v>53</v>
      </c>
      <c r="DB183" t="s">
        <v>58</v>
      </c>
    </row>
    <row r="184" spans="1:110" x14ac:dyDescent="0.35">
      <c r="B184" t="s">
        <v>59</v>
      </c>
      <c r="G184" t="s">
        <v>60</v>
      </c>
      <c r="L184" t="s">
        <v>18</v>
      </c>
      <c r="S184" t="s">
        <v>59</v>
      </c>
      <c r="X184" t="s">
        <v>60</v>
      </c>
      <c r="AC184" t="s">
        <v>18</v>
      </c>
      <c r="AJ184" t="s">
        <v>59</v>
      </c>
      <c r="AO184" t="s">
        <v>60</v>
      </c>
      <c r="AT184" t="s">
        <v>18</v>
      </c>
      <c r="BA184" t="s">
        <v>59</v>
      </c>
      <c r="BF184" t="s">
        <v>60</v>
      </c>
      <c r="BK184" t="s">
        <v>18</v>
      </c>
      <c r="BR184" t="s">
        <v>59</v>
      </c>
      <c r="BW184" t="s">
        <v>60</v>
      </c>
      <c r="CB184" t="s">
        <v>18</v>
      </c>
      <c r="CH184" t="s">
        <v>23</v>
      </c>
      <c r="CK184" t="s">
        <v>27</v>
      </c>
      <c r="CN184" t="s">
        <v>8</v>
      </c>
      <c r="CV184" t="s">
        <v>5</v>
      </c>
      <c r="DB184" t="s">
        <v>28</v>
      </c>
    </row>
    <row r="185" spans="1:110" x14ac:dyDescent="0.35">
      <c r="B185" t="s">
        <v>80</v>
      </c>
      <c r="C185" t="s">
        <v>79</v>
      </c>
      <c r="D185" t="s">
        <v>78</v>
      </c>
      <c r="E185" t="s">
        <v>77</v>
      </c>
      <c r="F185" t="s">
        <v>76</v>
      </c>
      <c r="G185" t="s">
        <v>80</v>
      </c>
      <c r="H185" t="s">
        <v>79</v>
      </c>
      <c r="I185" t="s">
        <v>78</v>
      </c>
      <c r="J185" t="s">
        <v>77</v>
      </c>
      <c r="K185" t="s">
        <v>76</v>
      </c>
      <c r="L185" t="s">
        <v>80</v>
      </c>
      <c r="M185" t="s">
        <v>79</v>
      </c>
      <c r="N185" t="s">
        <v>78</v>
      </c>
      <c r="O185" t="s">
        <v>77</v>
      </c>
      <c r="P185" t="s">
        <v>76</v>
      </c>
      <c r="S185" t="s">
        <v>80</v>
      </c>
      <c r="T185" t="s">
        <v>79</v>
      </c>
      <c r="U185" t="s">
        <v>78</v>
      </c>
      <c r="V185" t="s">
        <v>77</v>
      </c>
      <c r="W185" t="s">
        <v>76</v>
      </c>
      <c r="X185" t="s">
        <v>80</v>
      </c>
      <c r="Y185" t="s">
        <v>79</v>
      </c>
      <c r="Z185" t="s">
        <v>78</v>
      </c>
      <c r="AA185" t="s">
        <v>77</v>
      </c>
      <c r="AB185" t="s">
        <v>76</v>
      </c>
      <c r="AC185" t="s">
        <v>80</v>
      </c>
      <c r="AD185" t="s">
        <v>79</v>
      </c>
      <c r="AE185" t="s">
        <v>78</v>
      </c>
      <c r="AF185" t="s">
        <v>77</v>
      </c>
      <c r="AG185" t="s">
        <v>76</v>
      </c>
      <c r="AJ185" t="s">
        <v>80</v>
      </c>
      <c r="AK185" t="s">
        <v>79</v>
      </c>
      <c r="AL185" t="s">
        <v>78</v>
      </c>
      <c r="AM185" t="s">
        <v>77</v>
      </c>
      <c r="AN185" t="s">
        <v>76</v>
      </c>
      <c r="AO185" t="s">
        <v>80</v>
      </c>
      <c r="AP185" t="s">
        <v>79</v>
      </c>
      <c r="AQ185" t="s">
        <v>78</v>
      </c>
      <c r="AR185" t="s">
        <v>77</v>
      </c>
      <c r="AS185" t="s">
        <v>76</v>
      </c>
      <c r="AT185" t="s">
        <v>80</v>
      </c>
      <c r="AU185" t="s">
        <v>79</v>
      </c>
      <c r="AV185" t="s">
        <v>78</v>
      </c>
      <c r="AW185" t="s">
        <v>77</v>
      </c>
      <c r="AX185" t="s">
        <v>76</v>
      </c>
      <c r="BA185" t="s">
        <v>80</v>
      </c>
      <c r="BB185" t="s">
        <v>79</v>
      </c>
      <c r="BC185" t="s">
        <v>78</v>
      </c>
      <c r="BD185" t="s">
        <v>77</v>
      </c>
      <c r="BE185" t="s">
        <v>76</v>
      </c>
      <c r="BF185" t="s">
        <v>80</v>
      </c>
      <c r="BG185" t="s">
        <v>79</v>
      </c>
      <c r="BH185" t="s">
        <v>78</v>
      </c>
      <c r="BI185" t="s">
        <v>77</v>
      </c>
      <c r="BJ185" t="s">
        <v>76</v>
      </c>
      <c r="BK185" t="s">
        <v>80</v>
      </c>
      <c r="BL185" t="s">
        <v>79</v>
      </c>
      <c r="BM185" t="s">
        <v>78</v>
      </c>
      <c r="BN185" t="s">
        <v>77</v>
      </c>
      <c r="BO185" t="s">
        <v>76</v>
      </c>
      <c r="BR185" t="s">
        <v>80</v>
      </c>
      <c r="BS185" t="s">
        <v>79</v>
      </c>
      <c r="BT185" t="s">
        <v>78</v>
      </c>
      <c r="BU185" t="s">
        <v>77</v>
      </c>
      <c r="BV185" t="s">
        <v>76</v>
      </c>
      <c r="BW185" t="s">
        <v>80</v>
      </c>
      <c r="BX185" t="s">
        <v>79</v>
      </c>
      <c r="BY185" t="s">
        <v>78</v>
      </c>
      <c r="BZ185" t="s">
        <v>77</v>
      </c>
      <c r="CA185" t="s">
        <v>76</v>
      </c>
      <c r="CB185" t="s">
        <v>80</v>
      </c>
      <c r="CC185" t="s">
        <v>79</v>
      </c>
      <c r="CD185" t="s">
        <v>78</v>
      </c>
      <c r="CE185" t="s">
        <v>77</v>
      </c>
      <c r="CF185" t="s">
        <v>76</v>
      </c>
      <c r="CH185" t="s">
        <v>25</v>
      </c>
      <c r="CI185" t="s">
        <v>26</v>
      </c>
      <c r="CJ185" t="s">
        <v>18</v>
      </c>
      <c r="CK185" t="s">
        <v>25</v>
      </c>
      <c r="CL185" t="s">
        <v>26</v>
      </c>
      <c r="CM185" t="s">
        <v>18</v>
      </c>
      <c r="CN185" t="s">
        <v>25</v>
      </c>
      <c r="CO185" t="s">
        <v>26</v>
      </c>
      <c r="CP185" t="s">
        <v>18</v>
      </c>
      <c r="CV185" t="s">
        <v>80</v>
      </c>
      <c r="CW185" t="s">
        <v>79</v>
      </c>
      <c r="CX185" t="s">
        <v>78</v>
      </c>
      <c r="CY185" t="s">
        <v>77</v>
      </c>
      <c r="CZ185" t="s">
        <v>76</v>
      </c>
      <c r="DB185" t="s">
        <v>80</v>
      </c>
      <c r="DC185" t="s">
        <v>79</v>
      </c>
      <c r="DD185" t="s">
        <v>78</v>
      </c>
      <c r="DE185" t="s">
        <v>77</v>
      </c>
      <c r="DF185" t="s">
        <v>76</v>
      </c>
    </row>
    <row r="186" spans="1:110" x14ac:dyDescent="0.35">
      <c r="A186" t="s">
        <v>14</v>
      </c>
      <c r="B186">
        <v>2592126.4665512196</v>
      </c>
      <c r="C186">
        <v>2647941.654051003</v>
      </c>
      <c r="D186">
        <v>2705960.4917510212</v>
      </c>
      <c r="E186">
        <v>2760466.2958510672</v>
      </c>
      <c r="F186">
        <v>2806305.9704225394</v>
      </c>
      <c r="G186">
        <v>624158.77505391138</v>
      </c>
      <c r="H186">
        <v>705698.9124020614</v>
      </c>
      <c r="I186">
        <v>771416.47032181744</v>
      </c>
      <c r="J186">
        <v>835811.84669114847</v>
      </c>
      <c r="K186">
        <v>905595.55145069899</v>
      </c>
      <c r="L186">
        <v>3216285.241605131</v>
      </c>
      <c r="M186">
        <v>3353640.5664530643</v>
      </c>
      <c r="N186">
        <v>3477376.9620728386</v>
      </c>
      <c r="O186">
        <v>3596278.1425422155</v>
      </c>
      <c r="P186">
        <v>3711901.5218732385</v>
      </c>
      <c r="R186" t="s">
        <v>14</v>
      </c>
      <c r="S186">
        <v>2592126.4665512196</v>
      </c>
      <c r="T186">
        <v>2647941.654051003</v>
      </c>
      <c r="U186">
        <v>2705960.4917510212</v>
      </c>
      <c r="V186">
        <v>2760466.2958510672</v>
      </c>
      <c r="W186">
        <v>2806305.9704225394</v>
      </c>
      <c r="X186">
        <v>624158.77505391138</v>
      </c>
      <c r="Y186">
        <v>705698.9124020614</v>
      </c>
      <c r="Z186">
        <v>771416.47032181744</v>
      </c>
      <c r="AA186">
        <v>835811.84669114847</v>
      </c>
      <c r="AB186">
        <v>905595.55145069899</v>
      </c>
      <c r="AC186">
        <v>3216285.241605131</v>
      </c>
      <c r="AD186">
        <v>3353640.5664530643</v>
      </c>
      <c r="AE186">
        <v>3477376.9620728386</v>
      </c>
      <c r="AF186">
        <v>3596278.1425422155</v>
      </c>
      <c r="AG186">
        <v>3711901.5218732385</v>
      </c>
      <c r="AI186" t="s">
        <v>14</v>
      </c>
      <c r="AJ186">
        <v>2592126.4665512196</v>
      </c>
      <c r="AK186">
        <v>2647941.654051003</v>
      </c>
      <c r="AL186">
        <v>2705960.4917510212</v>
      </c>
      <c r="AM186">
        <v>2760466.2958510672</v>
      </c>
      <c r="AN186">
        <v>2806305.9704225394</v>
      </c>
      <c r="AO186">
        <v>584069.33203714178</v>
      </c>
      <c r="AP186">
        <v>639551.3314243916</v>
      </c>
      <c r="AQ186">
        <v>682117.23600196291</v>
      </c>
      <c r="AR186">
        <v>724187.80379133031</v>
      </c>
      <c r="AS186">
        <v>771646.69997091743</v>
      </c>
      <c r="AT186">
        <v>3176195.7985883616</v>
      </c>
      <c r="AU186">
        <v>3287492.9854753949</v>
      </c>
      <c r="AV186">
        <v>3388077.727752984</v>
      </c>
      <c r="AW186">
        <v>3484654.0996423974</v>
      </c>
      <c r="AX186">
        <v>3577952.6703934567</v>
      </c>
      <c r="AZ186" t="s">
        <v>14</v>
      </c>
      <c r="BA186">
        <v>2592126.4665512196</v>
      </c>
      <c r="BB186">
        <v>2647941.654051003</v>
      </c>
      <c r="BC186">
        <v>2705960.4917510212</v>
      </c>
      <c r="BD186">
        <v>2760466.2958510672</v>
      </c>
      <c r="BE186">
        <v>2806305.9704225394</v>
      </c>
      <c r="BF186">
        <v>584069.33203714178</v>
      </c>
      <c r="BG186">
        <v>639551.3314243916</v>
      </c>
      <c r="BH186">
        <v>682117.23600196291</v>
      </c>
      <c r="BI186">
        <v>724187.80379133031</v>
      </c>
      <c r="BJ186">
        <v>771646.69997091743</v>
      </c>
      <c r="BK186">
        <v>3176195.7985883616</v>
      </c>
      <c r="BL186">
        <v>3287492.9854753949</v>
      </c>
      <c r="BM186">
        <v>3388077.727752984</v>
      </c>
      <c r="BN186">
        <v>3484654.0996423974</v>
      </c>
      <c r="BO186">
        <v>3577952.6703934567</v>
      </c>
      <c r="BQ186" t="s">
        <v>14</v>
      </c>
      <c r="BR186">
        <v>2581009.7812561602</v>
      </c>
      <c r="BS186">
        <v>2633147.9356163638</v>
      </c>
      <c r="BT186">
        <v>2687326.0642483798</v>
      </c>
      <c r="BU186">
        <v>2737816.0442033918</v>
      </c>
      <c r="BV186">
        <v>2779471.3253945885</v>
      </c>
      <c r="BW186">
        <v>592773.01576726744</v>
      </c>
      <c r="BX186">
        <v>651686.30335755972</v>
      </c>
      <c r="BY186">
        <v>697911.59173103678</v>
      </c>
      <c r="BZ186">
        <v>743811.07925484551</v>
      </c>
      <c r="CA186">
        <v>795231.70167801995</v>
      </c>
      <c r="CB186">
        <v>3173782.7970234277</v>
      </c>
      <c r="CC186">
        <v>3284834.2389739235</v>
      </c>
      <c r="CD186">
        <v>3385237.6559794163</v>
      </c>
      <c r="CE186">
        <v>3481627.1234582374</v>
      </c>
      <c r="CF186">
        <v>3574703.0270726085</v>
      </c>
      <c r="CH186">
        <v>2526255</v>
      </c>
      <c r="CI186">
        <v>585383</v>
      </c>
      <c r="CJ186">
        <v>3111638</v>
      </c>
      <c r="CK186">
        <v>138377177.77000001</v>
      </c>
      <c r="CL186">
        <v>35650401.578000009</v>
      </c>
      <c r="CM186">
        <v>174027579.34800002</v>
      </c>
      <c r="CN186">
        <v>58214000</v>
      </c>
      <c r="CO186">
        <v>15490769</v>
      </c>
      <c r="CP186">
        <v>73704769</v>
      </c>
      <c r="CV186">
        <v>2413.0015649336033</v>
      </c>
      <c r="CW186">
        <v>2658.7465014710956</v>
      </c>
      <c r="CX186">
        <v>2840.0717735676226</v>
      </c>
      <c r="CY186">
        <v>3026.9761841603181</v>
      </c>
      <c r="CZ186">
        <v>3249.6433208483804</v>
      </c>
      <c r="DB186">
        <v>9.5547653699583931E-4</v>
      </c>
      <c r="DC186">
        <v>9.1724603132026814E-4</v>
      </c>
      <c r="DD186">
        <v>8.8233168038628885E-4</v>
      </c>
      <c r="DE186">
        <v>8.6818890409288063E-4</v>
      </c>
      <c r="DF186">
        <v>8.5912486564143924E-4</v>
      </c>
    </row>
    <row r="187" spans="1:110" x14ac:dyDescent="0.35">
      <c r="A187" t="s">
        <v>15</v>
      </c>
      <c r="B187">
        <v>785271.44253900682</v>
      </c>
      <c r="C187">
        <v>783888.6112271368</v>
      </c>
      <c r="D187">
        <v>783015.93236195843</v>
      </c>
      <c r="E187">
        <v>781224.46183043916</v>
      </c>
      <c r="F187">
        <v>780500.45897857298</v>
      </c>
      <c r="G187">
        <v>67989.931813416682</v>
      </c>
      <c r="H187">
        <v>68820.640485081487</v>
      </c>
      <c r="I187">
        <v>70080.330716107957</v>
      </c>
      <c r="J187">
        <v>72110.514056491797</v>
      </c>
      <c r="K187">
        <v>72751.958620568155</v>
      </c>
      <c r="L187">
        <v>853261.37435242347</v>
      </c>
      <c r="M187">
        <v>852709.25171221828</v>
      </c>
      <c r="N187">
        <v>853096.2630780664</v>
      </c>
      <c r="O187">
        <v>853334.97588693094</v>
      </c>
      <c r="P187">
        <v>853252.41759914113</v>
      </c>
      <c r="R187" t="s">
        <v>15</v>
      </c>
      <c r="S187">
        <v>785271.44253900682</v>
      </c>
      <c r="T187">
        <v>783888.6112271368</v>
      </c>
      <c r="U187">
        <v>783015.93236195843</v>
      </c>
      <c r="V187">
        <v>781224.46183043916</v>
      </c>
      <c r="W187">
        <v>780500.45897857298</v>
      </c>
      <c r="X187">
        <v>67989.931813416682</v>
      </c>
      <c r="Y187">
        <v>68820.640485081487</v>
      </c>
      <c r="Z187">
        <v>70080.330716107957</v>
      </c>
      <c r="AA187">
        <v>72110.514056491797</v>
      </c>
      <c r="AB187">
        <v>72751.958620568155</v>
      </c>
      <c r="AC187">
        <v>853261.37435242347</v>
      </c>
      <c r="AD187">
        <v>852709.25171221828</v>
      </c>
      <c r="AE187">
        <v>853096.2630780664</v>
      </c>
      <c r="AF187">
        <v>853334.97588693094</v>
      </c>
      <c r="AG187">
        <v>853252.41759914113</v>
      </c>
      <c r="AI187" t="s">
        <v>15</v>
      </c>
      <c r="AJ187">
        <v>785271.44253900682</v>
      </c>
      <c r="AK187">
        <v>783888.6112271368</v>
      </c>
      <c r="AL187">
        <v>783015.93236195843</v>
      </c>
      <c r="AM187">
        <v>781224.46183043916</v>
      </c>
      <c r="AN187">
        <v>780500.45897857298</v>
      </c>
      <c r="AO187">
        <v>65871.552059234935</v>
      </c>
      <c r="AP187">
        <v>65325.313890681631</v>
      </c>
      <c r="AQ187">
        <v>65361.639813668087</v>
      </c>
      <c r="AR187">
        <v>66212.150428442008</v>
      </c>
      <c r="AS187">
        <v>65673.922266908368</v>
      </c>
      <c r="AT187">
        <v>851142.99459824176</v>
      </c>
      <c r="AU187">
        <v>849213.92511781841</v>
      </c>
      <c r="AV187">
        <v>848377.57217562653</v>
      </c>
      <c r="AW187">
        <v>847436.61225888121</v>
      </c>
      <c r="AX187">
        <v>846174.38124548132</v>
      </c>
      <c r="AZ187" t="s">
        <v>15</v>
      </c>
      <c r="BA187">
        <v>785271.44253900682</v>
      </c>
      <c r="BB187">
        <v>783888.6112271368</v>
      </c>
      <c r="BC187">
        <v>783015.93236195843</v>
      </c>
      <c r="BD187">
        <v>781224.46183043916</v>
      </c>
      <c r="BE187">
        <v>780500.45897857298</v>
      </c>
      <c r="BF187">
        <v>65871.552059234935</v>
      </c>
      <c r="BG187">
        <v>65325.313890681631</v>
      </c>
      <c r="BH187">
        <v>65361.639813668087</v>
      </c>
      <c r="BI187">
        <v>66212.150428442008</v>
      </c>
      <c r="BJ187">
        <v>65673.922266908368</v>
      </c>
      <c r="BK187">
        <v>851142.99459824176</v>
      </c>
      <c r="BL187">
        <v>849213.92511781841</v>
      </c>
      <c r="BM187">
        <v>848377.57217562653</v>
      </c>
      <c r="BN187">
        <v>847436.61225888121</v>
      </c>
      <c r="BO187">
        <v>846174.38124548132</v>
      </c>
      <c r="BQ187" t="s">
        <v>15</v>
      </c>
      <c r="BR187">
        <v>782292.44205791294</v>
      </c>
      <c r="BS187">
        <v>780067.14856410667</v>
      </c>
      <c r="BT187">
        <v>778349.8557149925</v>
      </c>
      <c r="BU187">
        <v>775716.12385075644</v>
      </c>
      <c r="BV187">
        <v>774154.15111923183</v>
      </c>
      <c r="BW187">
        <v>68685.913796543609</v>
      </c>
      <c r="BX187">
        <v>68980.97197249638</v>
      </c>
      <c r="BY187">
        <v>69867.763498998218</v>
      </c>
      <c r="BZ187">
        <v>71569.668338129472</v>
      </c>
      <c r="CA187">
        <v>71869.090066495279</v>
      </c>
      <c r="CB187">
        <v>850978.35585445655</v>
      </c>
      <c r="CC187">
        <v>849048.12053660303</v>
      </c>
      <c r="CD187">
        <v>848217.61921399075</v>
      </c>
      <c r="CE187">
        <v>847285.79218888585</v>
      </c>
      <c r="CF187">
        <v>846023.24118572706</v>
      </c>
      <c r="CH187">
        <v>785274</v>
      </c>
      <c r="CI187">
        <v>68428</v>
      </c>
      <c r="CJ187">
        <v>853702</v>
      </c>
      <c r="CK187">
        <v>79998076.140000001</v>
      </c>
      <c r="CL187">
        <v>4913788.6000000006</v>
      </c>
      <c r="CM187">
        <v>84911864.739999995</v>
      </c>
      <c r="CN187">
        <v>70339442</v>
      </c>
      <c r="CO187">
        <v>6124983</v>
      </c>
      <c r="CP187">
        <v>76464425</v>
      </c>
      <c r="CV187">
        <v>164.63874378517062</v>
      </c>
      <c r="CW187">
        <v>165.80458121542372</v>
      </c>
      <c r="CX187">
        <v>159.95296163581264</v>
      </c>
      <c r="CY187">
        <v>150.82006999526652</v>
      </c>
      <c r="CZ187">
        <v>151.14005975420099</v>
      </c>
      <c r="DB187">
        <v>4.2977596908328305E-4</v>
      </c>
      <c r="DC187">
        <v>4.4136453218884743E-4</v>
      </c>
      <c r="DD187">
        <v>3.298593038874309E-4</v>
      </c>
      <c r="DE187">
        <v>1.3606241526006315E-4</v>
      </c>
      <c r="DF187">
        <v>1.4069427764030877E-4</v>
      </c>
    </row>
    <row r="188" spans="1:110" x14ac:dyDescent="0.35">
      <c r="A188" t="s">
        <v>7</v>
      </c>
      <c r="B188">
        <v>185835.97541271744</v>
      </c>
      <c r="C188">
        <v>189013.2892999879</v>
      </c>
      <c r="D188">
        <v>192498.86901643567</v>
      </c>
      <c r="E188">
        <v>193936.76128459294</v>
      </c>
      <c r="F188">
        <v>193954.92430134738</v>
      </c>
      <c r="G188">
        <v>23002.235653617859</v>
      </c>
      <c r="H188">
        <v>19357.20440946268</v>
      </c>
      <c r="I188">
        <v>15874.110985044681</v>
      </c>
      <c r="J188">
        <v>14647.63838715079</v>
      </c>
      <c r="K188">
        <v>14981.027983037857</v>
      </c>
      <c r="L188">
        <v>208838.21106633529</v>
      </c>
      <c r="M188">
        <v>208370.49370945059</v>
      </c>
      <c r="N188">
        <v>208372.98000148035</v>
      </c>
      <c r="O188">
        <v>208584.39967174374</v>
      </c>
      <c r="P188">
        <v>208935.95228438522</v>
      </c>
      <c r="R188" t="s">
        <v>7</v>
      </c>
      <c r="S188">
        <v>185835.97541271744</v>
      </c>
      <c r="T188">
        <v>189013.2892999879</v>
      </c>
      <c r="U188">
        <v>192498.86901643567</v>
      </c>
      <c r="V188">
        <v>193936.76128459294</v>
      </c>
      <c r="W188">
        <v>193954.92430134738</v>
      </c>
      <c r="X188">
        <v>23002.235653617859</v>
      </c>
      <c r="Y188">
        <v>19357.20440946268</v>
      </c>
      <c r="Z188">
        <v>15874.110985044681</v>
      </c>
      <c r="AA188">
        <v>14647.63838715079</v>
      </c>
      <c r="AB188">
        <v>14981.027983037857</v>
      </c>
      <c r="AC188">
        <v>208838.21106633529</v>
      </c>
      <c r="AD188">
        <v>208370.49370945059</v>
      </c>
      <c r="AE188">
        <v>208372.98000148035</v>
      </c>
      <c r="AF188">
        <v>208584.39967174374</v>
      </c>
      <c r="AG188">
        <v>208935.95228438522</v>
      </c>
      <c r="AI188" t="s">
        <v>7</v>
      </c>
      <c r="AJ188">
        <v>185835.97541271744</v>
      </c>
      <c r="AK188">
        <v>189013.2892999879</v>
      </c>
      <c r="AL188">
        <v>192498.86901643567</v>
      </c>
      <c r="AM188">
        <v>193936.76128459294</v>
      </c>
      <c r="AN188">
        <v>193954.92430134738</v>
      </c>
      <c r="AO188">
        <v>23002.235653617859</v>
      </c>
      <c r="AP188">
        <v>19357.20440946268</v>
      </c>
      <c r="AQ188">
        <v>15874.110985044681</v>
      </c>
      <c r="AR188">
        <v>14647.63838715079</v>
      </c>
      <c r="AS188">
        <v>14981.027983037857</v>
      </c>
      <c r="AT188">
        <v>208838.21106633529</v>
      </c>
      <c r="AU188">
        <v>208370.49370945059</v>
      </c>
      <c r="AV188">
        <v>208372.98000148035</v>
      </c>
      <c r="AW188">
        <v>208584.39967174374</v>
      </c>
      <c r="AX188">
        <v>208935.95228438522</v>
      </c>
      <c r="AZ188" t="s">
        <v>7</v>
      </c>
      <c r="BA188">
        <v>185835.97541271744</v>
      </c>
      <c r="BB188">
        <v>189013.2892999879</v>
      </c>
      <c r="BC188">
        <v>192498.86901643567</v>
      </c>
      <c r="BD188">
        <v>193936.76128459294</v>
      </c>
      <c r="BE188">
        <v>193954.92430134738</v>
      </c>
      <c r="BF188">
        <v>23002.235653617859</v>
      </c>
      <c r="BG188">
        <v>19357.20440946268</v>
      </c>
      <c r="BH188">
        <v>15874.110985044681</v>
      </c>
      <c r="BI188">
        <v>14647.63838715079</v>
      </c>
      <c r="BJ188">
        <v>14981.027983037857</v>
      </c>
      <c r="BK188">
        <v>208838.21106633529</v>
      </c>
      <c r="BL188">
        <v>208370.49370945059</v>
      </c>
      <c r="BM188">
        <v>208372.98000148035</v>
      </c>
      <c r="BN188">
        <v>208584.39967174374</v>
      </c>
      <c r="BO188">
        <v>208935.95228438522</v>
      </c>
      <c r="BQ188" t="s">
        <v>7</v>
      </c>
      <c r="BR188">
        <v>185105.04167398525</v>
      </c>
      <c r="BS188">
        <v>188075.62207829536</v>
      </c>
      <c r="BT188">
        <v>191352.81762642754</v>
      </c>
      <c r="BU188">
        <v>192580.96268672662</v>
      </c>
      <c r="BV188">
        <v>192387.90465921449</v>
      </c>
      <c r="BW188">
        <v>23652.713986141887</v>
      </c>
      <c r="BX188">
        <v>20209.978194411498</v>
      </c>
      <c r="BY188">
        <v>16933.246654270992</v>
      </c>
      <c r="BZ188">
        <v>15912.951260713815</v>
      </c>
      <c r="CA188">
        <v>16446.831268385544</v>
      </c>
      <c r="CB188">
        <v>208757.75566012715</v>
      </c>
      <c r="CC188">
        <v>208285.60027270686</v>
      </c>
      <c r="CD188">
        <v>208286.06428069854</v>
      </c>
      <c r="CE188">
        <v>208493.91394744042</v>
      </c>
      <c r="CF188">
        <v>208834.73592760004</v>
      </c>
      <c r="CH188">
        <v>185119</v>
      </c>
      <c r="CI188">
        <v>24183</v>
      </c>
      <c r="CJ188">
        <v>209302</v>
      </c>
      <c r="CK188">
        <v>19444728.709999997</v>
      </c>
      <c r="CL188">
        <v>1526392.2999999998</v>
      </c>
      <c r="CM188">
        <v>20971121.009999998</v>
      </c>
      <c r="CN188">
        <v>15242491</v>
      </c>
      <c r="CO188">
        <v>2066594</v>
      </c>
      <c r="CP188">
        <v>17309085</v>
      </c>
      <c r="CV188">
        <v>80.45540620814441</v>
      </c>
      <c r="CW188">
        <v>84.893436743710978</v>
      </c>
      <c r="CX188">
        <v>86.915720781830402</v>
      </c>
      <c r="CY188">
        <v>90.485724303309908</v>
      </c>
      <c r="CZ188">
        <v>101.21635678520035</v>
      </c>
      <c r="DB188">
        <v>3.1238241707171421E-3</v>
      </c>
      <c r="DC188">
        <v>3.9356589533475813E-3</v>
      </c>
      <c r="DD188">
        <v>4.8976828802109549E-3</v>
      </c>
      <c r="DE188">
        <v>5.4634455030067412E-3</v>
      </c>
      <c r="DF188">
        <v>5.926767006804853E-3</v>
      </c>
    </row>
    <row r="189" spans="1:110" x14ac:dyDescent="0.35">
      <c r="A189" t="s">
        <v>17</v>
      </c>
      <c r="B189">
        <v>1354.2108287270912</v>
      </c>
      <c r="C189">
        <v>1581.7019739440902</v>
      </c>
      <c r="D189">
        <v>1909.7827385408561</v>
      </c>
      <c r="E189">
        <v>1985.5267306445312</v>
      </c>
      <c r="F189">
        <v>2097.752844755998</v>
      </c>
      <c r="G189">
        <v>20146.407424491834</v>
      </c>
      <c r="H189">
        <v>20714.069800300698</v>
      </c>
      <c r="I189">
        <v>20998.596548477697</v>
      </c>
      <c r="J189">
        <v>21544.100021049715</v>
      </c>
      <c r="K189">
        <v>22276.465957338169</v>
      </c>
      <c r="L189">
        <v>21500.618253218927</v>
      </c>
      <c r="M189">
        <v>22295.771774244789</v>
      </c>
      <c r="N189">
        <v>22908.379287018553</v>
      </c>
      <c r="O189">
        <v>23529.626751694246</v>
      </c>
      <c r="P189">
        <v>24374.218802094168</v>
      </c>
      <c r="R189" t="s">
        <v>17</v>
      </c>
      <c r="S189">
        <v>1354.2108287270912</v>
      </c>
      <c r="T189">
        <v>1581.7019739440902</v>
      </c>
      <c r="U189">
        <v>1909.7827385408561</v>
      </c>
      <c r="V189">
        <v>1985.5267306445312</v>
      </c>
      <c r="W189">
        <v>2097.752844755998</v>
      </c>
      <c r="X189">
        <v>20146.407424491834</v>
      </c>
      <c r="Y189">
        <v>20714.069800300698</v>
      </c>
      <c r="Z189">
        <v>20998.596548477697</v>
      </c>
      <c r="AA189">
        <v>21544.100021049715</v>
      </c>
      <c r="AB189">
        <v>22276.465957338169</v>
      </c>
      <c r="AC189">
        <v>21500.618253218927</v>
      </c>
      <c r="AD189">
        <v>22295.771774244789</v>
      </c>
      <c r="AE189">
        <v>22908.379287018553</v>
      </c>
      <c r="AF189">
        <v>23529.626751694246</v>
      </c>
      <c r="AG189">
        <v>24374.218802094168</v>
      </c>
      <c r="AI189" t="s">
        <v>17</v>
      </c>
      <c r="AJ189">
        <v>1354.2108287270912</v>
      </c>
      <c r="AK189">
        <v>1581.7019739440902</v>
      </c>
      <c r="AL189">
        <v>1909.7827385408561</v>
      </c>
      <c r="AM189">
        <v>1985.5267306445312</v>
      </c>
      <c r="AN189">
        <v>2097.752844755998</v>
      </c>
      <c r="AO189">
        <v>20146.407424491834</v>
      </c>
      <c r="AP189">
        <v>20714.069800300698</v>
      </c>
      <c r="AQ189">
        <v>20998.596548477697</v>
      </c>
      <c r="AR189">
        <v>21544.100021049715</v>
      </c>
      <c r="AS189">
        <v>22276.465957338169</v>
      </c>
      <c r="AT189">
        <v>21500.618253218927</v>
      </c>
      <c r="AU189">
        <v>22295.771774244789</v>
      </c>
      <c r="AV189">
        <v>22908.379287018553</v>
      </c>
      <c r="AW189">
        <v>23529.626751694246</v>
      </c>
      <c r="AX189">
        <v>24374.218802094168</v>
      </c>
      <c r="AZ189" t="s">
        <v>17</v>
      </c>
      <c r="BA189">
        <v>1354.2108287270912</v>
      </c>
      <c r="BB189">
        <v>1581.7019739440902</v>
      </c>
      <c r="BC189">
        <v>1909.7827385408561</v>
      </c>
      <c r="BD189">
        <v>1985.5267306445312</v>
      </c>
      <c r="BE189">
        <v>2097.752844755998</v>
      </c>
      <c r="BF189">
        <v>20146.407424491834</v>
      </c>
      <c r="BG189">
        <v>20714.069800300698</v>
      </c>
      <c r="BH189">
        <v>20998.596548477697</v>
      </c>
      <c r="BI189">
        <v>21544.100021049715</v>
      </c>
      <c r="BJ189">
        <v>22276.465957338169</v>
      </c>
      <c r="BK189">
        <v>21500.618253218927</v>
      </c>
      <c r="BL189">
        <v>22295.771774244789</v>
      </c>
      <c r="BM189">
        <v>22908.379287018553</v>
      </c>
      <c r="BN189">
        <v>23529.626751694246</v>
      </c>
      <c r="BO189">
        <v>24374.218802094168</v>
      </c>
      <c r="BQ189" t="s">
        <v>17</v>
      </c>
      <c r="BR189">
        <v>1278.9586648408249</v>
      </c>
      <c r="BS189">
        <v>1481.3710009599886</v>
      </c>
      <c r="BT189">
        <v>1783.7866524622541</v>
      </c>
      <c r="BU189">
        <v>1832.5841567585185</v>
      </c>
      <c r="BV189">
        <v>1914.9462037402918</v>
      </c>
      <c r="BW189">
        <v>20208.940205926163</v>
      </c>
      <c r="BX189">
        <v>20797.500494478321</v>
      </c>
      <c r="BY189">
        <v>21107.837083152706</v>
      </c>
      <c r="BZ189">
        <v>21680.085363448379</v>
      </c>
      <c r="CA189">
        <v>22441.891126451268</v>
      </c>
      <c r="CB189">
        <v>21487.898870766989</v>
      </c>
      <c r="CC189">
        <v>22278.87149543831</v>
      </c>
      <c r="CD189">
        <v>22891.623735614961</v>
      </c>
      <c r="CE189">
        <v>23512.669520206899</v>
      </c>
      <c r="CF189">
        <v>24356.83733019156</v>
      </c>
      <c r="CH189">
        <v>1167</v>
      </c>
      <c r="CI189">
        <v>19400</v>
      </c>
      <c r="CJ189">
        <v>20567</v>
      </c>
      <c r="CK189">
        <v>129933.3</v>
      </c>
      <c r="CL189">
        <v>4290668.4800000004</v>
      </c>
      <c r="CM189">
        <v>4420601.78</v>
      </c>
      <c r="CN189">
        <v>36727</v>
      </c>
      <c r="CO189">
        <v>820597</v>
      </c>
      <c r="CP189">
        <v>857324</v>
      </c>
      <c r="CV189">
        <v>12.719382451937205</v>
      </c>
      <c r="CW189">
        <v>16.900278806477825</v>
      </c>
      <c r="CX189">
        <v>16.755551403591177</v>
      </c>
      <c r="CY189">
        <v>16.957231487347563</v>
      </c>
      <c r="CZ189">
        <v>17.381471902608318</v>
      </c>
      <c r="DB189">
        <v>2.8472359826254217E-4</v>
      </c>
      <c r="DC189">
        <v>4.7828527399982701E-4</v>
      </c>
      <c r="DD189">
        <v>4.7252935482929151E-4</v>
      </c>
      <c r="DE189">
        <v>4.6339785615944981E-4</v>
      </c>
      <c r="DF189">
        <v>4.5727332305226252E-4</v>
      </c>
    </row>
    <row r="190" spans="1:110" x14ac:dyDescent="0.35">
      <c r="A190" t="s">
        <v>18</v>
      </c>
      <c r="B190">
        <v>3564588.0953316712</v>
      </c>
      <c r="C190">
        <v>3622425.2565520718</v>
      </c>
      <c r="D190">
        <v>3683385.075867956</v>
      </c>
      <c r="E190">
        <v>3737613.0456967438</v>
      </c>
      <c r="F190">
        <v>3782859.1065472155</v>
      </c>
      <c r="G190">
        <v>735297.34994543775</v>
      </c>
      <c r="H190">
        <v>814590.82709690626</v>
      </c>
      <c r="I190">
        <v>878369.5085714478</v>
      </c>
      <c r="J190">
        <v>944114.09915584081</v>
      </c>
      <c r="K190">
        <v>1015605.0040116432</v>
      </c>
      <c r="L190">
        <v>4299885.4452771088</v>
      </c>
      <c r="M190">
        <v>4437016.0836489778</v>
      </c>
      <c r="N190">
        <v>4561754.5844394034</v>
      </c>
      <c r="O190">
        <v>4681727.1448525842</v>
      </c>
      <c r="P190">
        <v>4798464.1105588591</v>
      </c>
      <c r="R190" t="s">
        <v>18</v>
      </c>
      <c r="S190">
        <v>3564588.0953316712</v>
      </c>
      <c r="T190">
        <v>3622425.2565520718</v>
      </c>
      <c r="U190">
        <v>3683385.075867956</v>
      </c>
      <c r="V190">
        <v>3737613.0456967438</v>
      </c>
      <c r="W190">
        <v>3782859.1065472155</v>
      </c>
      <c r="X190">
        <v>735297.34994543775</v>
      </c>
      <c r="Y190">
        <v>814590.82709690626</v>
      </c>
      <c r="Z190">
        <v>878369.5085714478</v>
      </c>
      <c r="AA190">
        <v>944114.09915584081</v>
      </c>
      <c r="AB190">
        <v>1015605.0040116432</v>
      </c>
      <c r="AC190">
        <v>4299885.4452771088</v>
      </c>
      <c r="AD190">
        <v>4437016.0836489778</v>
      </c>
      <c r="AE190">
        <v>4561754.5844394034</v>
      </c>
      <c r="AF190">
        <v>4681727.1448525842</v>
      </c>
      <c r="AG190">
        <v>4798464.1105588591</v>
      </c>
      <c r="AI190" t="s">
        <v>18</v>
      </c>
      <c r="AJ190">
        <v>3564588.0953316712</v>
      </c>
      <c r="AK190">
        <v>3622425.2565520718</v>
      </c>
      <c r="AL190">
        <v>3683385.075867956</v>
      </c>
      <c r="AM190">
        <v>3737613.0456967438</v>
      </c>
      <c r="AN190">
        <v>3782859.1065472155</v>
      </c>
      <c r="AO190">
        <v>693089.52717448643</v>
      </c>
      <c r="AP190">
        <v>744947.91952483659</v>
      </c>
      <c r="AQ190">
        <v>784351.5833491534</v>
      </c>
      <c r="AR190">
        <v>826591.69262797292</v>
      </c>
      <c r="AS190">
        <v>874578.11617820186</v>
      </c>
      <c r="AT190">
        <v>4257677.6225061575</v>
      </c>
      <c r="AU190">
        <v>4367373.1760769086</v>
      </c>
      <c r="AV190">
        <v>4467736.659217109</v>
      </c>
      <c r="AW190">
        <v>4564204.7383247158</v>
      </c>
      <c r="AX190">
        <v>4657437.2227254184</v>
      </c>
      <c r="AZ190" t="s">
        <v>18</v>
      </c>
      <c r="BA190">
        <v>3564588.0953316712</v>
      </c>
      <c r="BB190">
        <v>3622425.2565520718</v>
      </c>
      <c r="BC190">
        <v>3683385.075867956</v>
      </c>
      <c r="BD190">
        <v>3737613.0456967438</v>
      </c>
      <c r="BE190">
        <v>3782859.1065472155</v>
      </c>
      <c r="BF190">
        <v>693089.52717448643</v>
      </c>
      <c r="BG190">
        <v>744947.91952483659</v>
      </c>
      <c r="BH190">
        <v>784351.5833491534</v>
      </c>
      <c r="BI190">
        <v>826591.69262797292</v>
      </c>
      <c r="BJ190">
        <v>874578.11617820186</v>
      </c>
      <c r="BK190">
        <v>4257677.6225061575</v>
      </c>
      <c r="BL190">
        <v>4367373.1760769086</v>
      </c>
      <c r="BM190">
        <v>4467736.659217109</v>
      </c>
      <c r="BN190">
        <v>4564204.7383247158</v>
      </c>
      <c r="BO190">
        <v>4657437.2227254184</v>
      </c>
      <c r="BQ190" t="s">
        <v>18</v>
      </c>
      <c r="BR190">
        <v>3549686.2236528993</v>
      </c>
      <c r="BS190">
        <v>3602772.0772597259</v>
      </c>
      <c r="BT190">
        <v>3658812.5242422619</v>
      </c>
      <c r="BU190">
        <v>3707945.7148976335</v>
      </c>
      <c r="BV190">
        <v>3747928.327376775</v>
      </c>
      <c r="BW190">
        <v>705320.58375587908</v>
      </c>
      <c r="BX190">
        <v>761674.75401894585</v>
      </c>
      <c r="BY190">
        <v>805820.43896745879</v>
      </c>
      <c r="BZ190">
        <v>852973.78421713714</v>
      </c>
      <c r="CA190">
        <v>905989.51413935202</v>
      </c>
      <c r="CB190">
        <v>4255006.807408778</v>
      </c>
      <c r="CC190">
        <v>4364446.8312786724</v>
      </c>
      <c r="CD190">
        <v>4464632.9632097213</v>
      </c>
      <c r="CE190">
        <v>4560919.4991147704</v>
      </c>
      <c r="CF190">
        <v>4653917.8415161269</v>
      </c>
      <c r="CH190">
        <v>3497815</v>
      </c>
      <c r="CI190">
        <v>697394</v>
      </c>
      <c r="CJ190">
        <v>4195209</v>
      </c>
      <c r="CK190">
        <v>237949915.92000005</v>
      </c>
      <c r="CL190">
        <v>46381250.958000004</v>
      </c>
      <c r="CM190">
        <v>284331166.87800002</v>
      </c>
      <c r="CN190">
        <v>143832660</v>
      </c>
      <c r="CO190">
        <v>24502943</v>
      </c>
      <c r="CP190">
        <v>168335603</v>
      </c>
      <c r="CV190">
        <v>2670.8150973788552</v>
      </c>
      <c r="CW190">
        <v>2926.3447982367079</v>
      </c>
      <c r="CX190">
        <v>3103.6960073888567</v>
      </c>
      <c r="CY190">
        <v>3285.2392099462418</v>
      </c>
      <c r="CZ190">
        <v>3519.38120929039</v>
      </c>
    </row>
    <row r="192" spans="1:110" x14ac:dyDescent="0.35">
      <c r="B192" t="s">
        <v>53</v>
      </c>
      <c r="S192" t="s">
        <v>53</v>
      </c>
      <c r="AJ192" t="s">
        <v>53</v>
      </c>
      <c r="BA192" t="s">
        <v>53</v>
      </c>
      <c r="BR192" t="s">
        <v>53</v>
      </c>
      <c r="CH192" t="s">
        <v>53</v>
      </c>
      <c r="CS192" t="s">
        <v>53</v>
      </c>
    </row>
    <row r="193" spans="1:106" x14ac:dyDescent="0.35">
      <c r="B193" t="s">
        <v>30</v>
      </c>
      <c r="G193" t="s">
        <v>31</v>
      </c>
      <c r="L193" t="s">
        <v>32</v>
      </c>
      <c r="S193" t="s">
        <v>30</v>
      </c>
      <c r="X193" t="s">
        <v>31</v>
      </c>
      <c r="AC193" t="s">
        <v>32</v>
      </c>
      <c r="AJ193" t="s">
        <v>30</v>
      </c>
      <c r="AO193" t="s">
        <v>31</v>
      </c>
      <c r="AT193" t="s">
        <v>32</v>
      </c>
      <c r="BA193" t="s">
        <v>30</v>
      </c>
      <c r="BF193" t="s">
        <v>31</v>
      </c>
      <c r="BK193" t="s">
        <v>32</v>
      </c>
      <c r="BR193" t="s">
        <v>30</v>
      </c>
      <c r="BW193" t="s">
        <v>33</v>
      </c>
      <c r="CB193" t="s">
        <v>34</v>
      </c>
      <c r="CH193" t="s">
        <v>80</v>
      </c>
      <c r="CI193" t="s">
        <v>79</v>
      </c>
      <c r="CJ193" t="s">
        <v>78</v>
      </c>
      <c r="CK193" t="s">
        <v>77</v>
      </c>
      <c r="CL193" t="s">
        <v>76</v>
      </c>
      <c r="CM193" t="s">
        <v>80</v>
      </c>
      <c r="CN193" t="s">
        <v>79</v>
      </c>
      <c r="CO193" t="s">
        <v>78</v>
      </c>
      <c r="CP193" t="s">
        <v>77</v>
      </c>
      <c r="CQ193" t="s">
        <v>76</v>
      </c>
      <c r="CS193" t="s">
        <v>80</v>
      </c>
      <c r="CT193" t="s">
        <v>79</v>
      </c>
      <c r="CU193" t="s">
        <v>78</v>
      </c>
      <c r="CV193" t="s">
        <v>77</v>
      </c>
      <c r="CW193" t="s">
        <v>76</v>
      </c>
      <c r="CX193" t="s">
        <v>80</v>
      </c>
      <c r="CY193" t="s">
        <v>79</v>
      </c>
      <c r="CZ193" t="s">
        <v>78</v>
      </c>
      <c r="DA193" t="s">
        <v>77</v>
      </c>
      <c r="DB193" t="s">
        <v>76</v>
      </c>
    </row>
    <row r="194" spans="1:106" x14ac:dyDescent="0.35">
      <c r="B194" t="s">
        <v>80</v>
      </c>
      <c r="C194" t="s">
        <v>79</v>
      </c>
      <c r="D194" t="s">
        <v>78</v>
      </c>
      <c r="E194" t="s">
        <v>77</v>
      </c>
      <c r="F194" t="s">
        <v>76</v>
      </c>
      <c r="G194" t="s">
        <v>80</v>
      </c>
      <c r="H194" t="s">
        <v>79</v>
      </c>
      <c r="I194" t="s">
        <v>78</v>
      </c>
      <c r="J194" t="s">
        <v>77</v>
      </c>
      <c r="K194" t="s">
        <v>76</v>
      </c>
      <c r="L194" t="s">
        <v>80</v>
      </c>
      <c r="M194" t="s">
        <v>79</v>
      </c>
      <c r="N194" t="s">
        <v>78</v>
      </c>
      <c r="O194" t="s">
        <v>77</v>
      </c>
      <c r="P194" t="s">
        <v>76</v>
      </c>
      <c r="S194" t="s">
        <v>80</v>
      </c>
      <c r="T194" t="s">
        <v>79</v>
      </c>
      <c r="U194" t="s">
        <v>78</v>
      </c>
      <c r="V194" t="s">
        <v>77</v>
      </c>
      <c r="W194" t="s">
        <v>76</v>
      </c>
      <c r="X194" t="s">
        <v>80</v>
      </c>
      <c r="Y194" t="s">
        <v>79</v>
      </c>
      <c r="Z194" t="s">
        <v>78</v>
      </c>
      <c r="AA194" t="s">
        <v>77</v>
      </c>
      <c r="AB194" t="s">
        <v>76</v>
      </c>
      <c r="AC194" t="s">
        <v>80</v>
      </c>
      <c r="AD194" t="s">
        <v>79</v>
      </c>
      <c r="AE194" t="s">
        <v>78</v>
      </c>
      <c r="AF194" t="s">
        <v>77</v>
      </c>
      <c r="AG194" t="s">
        <v>76</v>
      </c>
      <c r="AJ194" t="s">
        <v>80</v>
      </c>
      <c r="AK194" t="s">
        <v>79</v>
      </c>
      <c r="AL194" t="s">
        <v>78</v>
      </c>
      <c r="AM194" t="s">
        <v>77</v>
      </c>
      <c r="AN194" t="s">
        <v>76</v>
      </c>
      <c r="AO194" t="s">
        <v>80</v>
      </c>
      <c r="AP194" t="s">
        <v>79</v>
      </c>
      <c r="AQ194" t="s">
        <v>78</v>
      </c>
      <c r="AR194" t="s">
        <v>77</v>
      </c>
      <c r="AS194" t="s">
        <v>76</v>
      </c>
      <c r="AT194" t="s">
        <v>80</v>
      </c>
      <c r="AU194" t="s">
        <v>79</v>
      </c>
      <c r="AV194" t="s">
        <v>78</v>
      </c>
      <c r="AW194" t="s">
        <v>77</v>
      </c>
      <c r="AX194" t="s">
        <v>76</v>
      </c>
      <c r="BA194" t="s">
        <v>80</v>
      </c>
      <c r="BB194" t="s">
        <v>79</v>
      </c>
      <c r="BC194" t="s">
        <v>78</v>
      </c>
      <c r="BD194" t="s">
        <v>77</v>
      </c>
      <c r="BE194" t="s">
        <v>76</v>
      </c>
      <c r="BF194" t="s">
        <v>80</v>
      </c>
      <c r="BG194" t="s">
        <v>79</v>
      </c>
      <c r="BH194" t="s">
        <v>78</v>
      </c>
      <c r="BI194" t="s">
        <v>77</v>
      </c>
      <c r="BJ194" t="s">
        <v>76</v>
      </c>
      <c r="BK194" t="s">
        <v>80</v>
      </c>
      <c r="BL194" t="s">
        <v>79</v>
      </c>
      <c r="BM194" t="s">
        <v>78</v>
      </c>
      <c r="BN194" t="s">
        <v>77</v>
      </c>
      <c r="BO194" t="s">
        <v>76</v>
      </c>
      <c r="BR194" t="s">
        <v>80</v>
      </c>
      <c r="BS194" t="s">
        <v>79</v>
      </c>
      <c r="BT194" t="s">
        <v>78</v>
      </c>
      <c r="BU194" t="s">
        <v>77</v>
      </c>
      <c r="BV194" t="s">
        <v>76</v>
      </c>
      <c r="BW194" t="s">
        <v>80</v>
      </c>
      <c r="BX194" t="s">
        <v>79</v>
      </c>
      <c r="BY194" t="s">
        <v>78</v>
      </c>
      <c r="BZ194" t="s">
        <v>77</v>
      </c>
      <c r="CA194" t="s">
        <v>76</v>
      </c>
      <c r="CB194" t="s">
        <v>80</v>
      </c>
      <c r="CC194" t="s">
        <v>79</v>
      </c>
      <c r="CD194" t="s">
        <v>78</v>
      </c>
      <c r="CE194" t="s">
        <v>77</v>
      </c>
      <c r="CF194" t="s">
        <v>76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1.0000000000000002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1.004070700758553</v>
      </c>
      <c r="CY194">
        <v>1.0040797949684888</v>
      </c>
      <c r="CZ194">
        <v>1.0040693861618251</v>
      </c>
      <c r="DA194">
        <v>1.0040695497399592</v>
      </c>
      <c r="DB194">
        <v>1.0040864106825613</v>
      </c>
    </row>
    <row r="195" spans="1:106" x14ac:dyDescent="0.35">
      <c r="A195" t="s">
        <v>14</v>
      </c>
      <c r="B195">
        <v>3.5000000000000001E-3</v>
      </c>
      <c r="C195">
        <v>4.5000000000000005E-3</v>
      </c>
      <c r="D195">
        <v>5.5000000000000005E-3</v>
      </c>
      <c r="E195">
        <v>6.5000000000000006E-3</v>
      </c>
      <c r="F195">
        <v>7.5000000000000006E-3</v>
      </c>
      <c r="G195">
        <v>11256.998345617958</v>
      </c>
      <c r="H195">
        <v>15091.382549038792</v>
      </c>
      <c r="I195">
        <v>19125.573291400615</v>
      </c>
      <c r="J195">
        <v>23375.807926524401</v>
      </c>
      <c r="K195">
        <v>27839.261414049291</v>
      </c>
      <c r="L195">
        <v>635415.77339952928</v>
      </c>
      <c r="M195">
        <v>720790.29495110014</v>
      </c>
      <c r="N195">
        <v>790542.043613218</v>
      </c>
      <c r="O195">
        <v>859187.6546176729</v>
      </c>
      <c r="P195">
        <v>933434.8128647483</v>
      </c>
      <c r="R195" t="s">
        <v>14</v>
      </c>
      <c r="S195">
        <v>3.5000000000000001E-3</v>
      </c>
      <c r="T195">
        <v>4.5000000000000005E-3</v>
      </c>
      <c r="U195">
        <v>5.5000000000000005E-3</v>
      </c>
      <c r="V195">
        <v>6.5000000000000006E-3</v>
      </c>
      <c r="W195">
        <v>7.5000000000000006E-3</v>
      </c>
      <c r="X195">
        <v>11256.998345617958</v>
      </c>
      <c r="Y195">
        <v>15091.382549038792</v>
      </c>
      <c r="Z195">
        <v>19125.573291400615</v>
      </c>
      <c r="AA195">
        <v>23375.807926524401</v>
      </c>
      <c r="AB195">
        <v>27839.261414049291</v>
      </c>
      <c r="AC195">
        <v>635415.77339952928</v>
      </c>
      <c r="AD195">
        <v>720790.29495110014</v>
      </c>
      <c r="AE195">
        <v>790542.043613218</v>
      </c>
      <c r="AF195">
        <v>859187.6546176729</v>
      </c>
      <c r="AG195">
        <v>933434.8128647483</v>
      </c>
      <c r="AI195" t="s">
        <v>14</v>
      </c>
      <c r="AJ195">
        <v>3.5000000000000001E-3</v>
      </c>
      <c r="AK195">
        <v>4.5000000000000005E-3</v>
      </c>
      <c r="AL195">
        <v>5.5000000000000005E-3</v>
      </c>
      <c r="AM195">
        <v>6.5000000000000006E-3</v>
      </c>
      <c r="AN195">
        <v>7.5000000000000006E-3</v>
      </c>
      <c r="AO195">
        <v>11116.685295059266</v>
      </c>
      <c r="AP195">
        <v>14793.718434639279</v>
      </c>
      <c r="AQ195">
        <v>18634.427502641414</v>
      </c>
      <c r="AR195">
        <v>22650.251647675585</v>
      </c>
      <c r="AS195">
        <v>26834.645027950926</v>
      </c>
      <c r="AT195">
        <v>595186.01733220101</v>
      </c>
      <c r="AU195">
        <v>654345.04985903087</v>
      </c>
      <c r="AV195">
        <v>700751.66350460437</v>
      </c>
      <c r="AW195">
        <v>746838.05543900584</v>
      </c>
      <c r="AX195">
        <v>798481.3449988683</v>
      </c>
      <c r="AZ195" t="s">
        <v>14</v>
      </c>
      <c r="BA195">
        <v>3.5000000000000001E-3</v>
      </c>
      <c r="BB195">
        <v>4.5000000000000005E-3</v>
      </c>
      <c r="BC195">
        <v>5.5000000000000005E-3</v>
      </c>
      <c r="BD195">
        <v>6.5000000000000006E-3</v>
      </c>
      <c r="BE195">
        <v>7.5000000000000006E-3</v>
      </c>
      <c r="BF195">
        <v>11116.685295059266</v>
      </c>
      <c r="BG195">
        <v>14793.718434639279</v>
      </c>
      <c r="BH195">
        <v>18634.427502641414</v>
      </c>
      <c r="BI195">
        <v>22650.251647675585</v>
      </c>
      <c r="BJ195">
        <v>26834.645027950926</v>
      </c>
      <c r="BK195">
        <v>595186.01733220101</v>
      </c>
      <c r="BL195">
        <v>654345.04985903087</v>
      </c>
      <c r="BM195">
        <v>700751.66350460437</v>
      </c>
      <c r="BN195">
        <v>746838.05543900584</v>
      </c>
      <c r="BO195">
        <v>798481.3449988683</v>
      </c>
      <c r="BQ195" t="s">
        <v>14</v>
      </c>
      <c r="BR195">
        <v>479184.6306913023</v>
      </c>
      <c r="BS195">
        <v>532704.38094014116</v>
      </c>
      <c r="BT195">
        <v>572599.89193721325</v>
      </c>
      <c r="BU195">
        <v>610658.63104532659</v>
      </c>
      <c r="BV195">
        <v>655946.13530975801</v>
      </c>
      <c r="BW195">
        <v>0.81969322852158966</v>
      </c>
      <c r="BX195">
        <v>0.83225292660043881</v>
      </c>
      <c r="BY195">
        <v>0.83879162316190159</v>
      </c>
      <c r="BZ195">
        <v>0.84259444198776401</v>
      </c>
      <c r="CA195">
        <v>0.84944746774793756</v>
      </c>
      <c r="CB195">
        <v>485892.02707475063</v>
      </c>
      <c r="CC195">
        <v>542367.83319475048</v>
      </c>
      <c r="CD195">
        <v>585402.39685158269</v>
      </c>
      <c r="CE195">
        <v>626731.08126905304</v>
      </c>
      <c r="CF195">
        <v>675507.55526327738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1.0023969797398757</v>
      </c>
      <c r="CY195">
        <v>1.0024036277900163</v>
      </c>
      <c r="CZ195">
        <v>1.0022893671362203</v>
      </c>
      <c r="DA195">
        <v>1.0021073182745899</v>
      </c>
      <c r="DB195">
        <v>1.0021029911414538</v>
      </c>
    </row>
    <row r="196" spans="1:106" x14ac:dyDescent="0.35">
      <c r="A196" t="s">
        <v>15</v>
      </c>
      <c r="B196">
        <v>3.5000000000000001E-3</v>
      </c>
      <c r="C196">
        <v>4.5000000000000005E-3</v>
      </c>
      <c r="D196">
        <v>5.5000000000000005E-3</v>
      </c>
      <c r="E196">
        <v>6.5000000000000006E-3</v>
      </c>
      <c r="F196">
        <v>7.5000000000000006E-3</v>
      </c>
      <c r="G196">
        <v>2986.4148102334821</v>
      </c>
      <c r="H196">
        <v>3837.1916327049826</v>
      </c>
      <c r="I196">
        <v>4692.0294469293658</v>
      </c>
      <c r="J196">
        <v>5546.6773432650516</v>
      </c>
      <c r="K196">
        <v>6399.3931319935591</v>
      </c>
      <c r="L196">
        <v>70976.34662365017</v>
      </c>
      <c r="M196">
        <v>72657.832117786471</v>
      </c>
      <c r="N196">
        <v>74772.360163037316</v>
      </c>
      <c r="O196">
        <v>77657.191399756848</v>
      </c>
      <c r="P196">
        <v>79151.351752561721</v>
      </c>
      <c r="R196" t="s">
        <v>15</v>
      </c>
      <c r="S196">
        <v>3.5000000000000001E-3</v>
      </c>
      <c r="T196">
        <v>4.5000000000000005E-3</v>
      </c>
      <c r="U196">
        <v>5.5000000000000005E-3</v>
      </c>
      <c r="V196">
        <v>6.5000000000000006E-3</v>
      </c>
      <c r="W196">
        <v>7.5000000000000006E-3</v>
      </c>
      <c r="X196">
        <v>2986.4148102334821</v>
      </c>
      <c r="Y196">
        <v>3837.1916327049826</v>
      </c>
      <c r="Z196">
        <v>4692.0294469293658</v>
      </c>
      <c r="AA196">
        <v>5546.6773432650516</v>
      </c>
      <c r="AB196">
        <v>6399.3931319935591</v>
      </c>
      <c r="AC196">
        <v>70976.34662365017</v>
      </c>
      <c r="AD196">
        <v>72657.832117786471</v>
      </c>
      <c r="AE196">
        <v>74772.360163037316</v>
      </c>
      <c r="AF196">
        <v>77657.191399756848</v>
      </c>
      <c r="AG196">
        <v>79151.351752561721</v>
      </c>
      <c r="AI196" t="s">
        <v>15</v>
      </c>
      <c r="AJ196">
        <v>3.5000000000000001E-3</v>
      </c>
      <c r="AK196">
        <v>4.5000000000000005E-3</v>
      </c>
      <c r="AL196">
        <v>5.5000000000000005E-3</v>
      </c>
      <c r="AM196">
        <v>6.5000000000000006E-3</v>
      </c>
      <c r="AN196">
        <v>7.5000000000000006E-3</v>
      </c>
      <c r="AO196">
        <v>2979.0004810938462</v>
      </c>
      <c r="AP196">
        <v>3821.4626630301832</v>
      </c>
      <c r="AQ196">
        <v>4666.0766469659466</v>
      </c>
      <c r="AR196">
        <v>5508.3379796827285</v>
      </c>
      <c r="AS196">
        <v>6346.3078593411101</v>
      </c>
      <c r="AT196">
        <v>68850.552540328776</v>
      </c>
      <c r="AU196">
        <v>69146.77655371181</v>
      </c>
      <c r="AV196">
        <v>70027.716460634038</v>
      </c>
      <c r="AW196">
        <v>71720.488408124744</v>
      </c>
      <c r="AX196">
        <v>72020.230126249473</v>
      </c>
      <c r="AZ196" t="s">
        <v>15</v>
      </c>
      <c r="BA196">
        <v>3.5000000000000001E-3</v>
      </c>
      <c r="BB196">
        <v>4.5000000000000005E-3</v>
      </c>
      <c r="BC196">
        <v>5.5000000000000005E-3</v>
      </c>
      <c r="BD196">
        <v>6.5000000000000006E-3</v>
      </c>
      <c r="BE196">
        <v>7.5000000000000006E-3</v>
      </c>
      <c r="BF196">
        <v>2979.0004810938462</v>
      </c>
      <c r="BG196">
        <v>3821.4626630301832</v>
      </c>
      <c r="BH196">
        <v>4666.0766469659466</v>
      </c>
      <c r="BI196">
        <v>5508.3379796827285</v>
      </c>
      <c r="BJ196">
        <v>6346.3078593411101</v>
      </c>
      <c r="BK196">
        <v>68850.552540328776</v>
      </c>
      <c r="BL196">
        <v>69146.77655371181</v>
      </c>
      <c r="BM196">
        <v>70027.716460634038</v>
      </c>
      <c r="BN196">
        <v>71720.488408124744</v>
      </c>
      <c r="BO196">
        <v>72020.230126249473</v>
      </c>
      <c r="BQ196" t="s">
        <v>15</v>
      </c>
      <c r="BR196">
        <v>60277.337002845947</v>
      </c>
      <c r="BS196">
        <v>59625.953347411145</v>
      </c>
      <c r="BT196">
        <v>59591.383004953233</v>
      </c>
      <c r="BU196">
        <v>60754.343261504466</v>
      </c>
      <c r="BV196">
        <v>59986.547317237222</v>
      </c>
      <c r="BW196">
        <v>0.91487031804720464</v>
      </c>
      <c r="BX196">
        <v>0.91254447404235817</v>
      </c>
      <c r="BY196">
        <v>0.91151588207536283</v>
      </c>
      <c r="BZ196">
        <v>0.91739720778846312</v>
      </c>
      <c r="CA196">
        <v>0.91321767831003742</v>
      </c>
      <c r="CB196">
        <v>62838.703800406736</v>
      </c>
      <c r="CC196">
        <v>62948.204787572358</v>
      </c>
      <c r="CD196">
        <v>63685.576074422199</v>
      </c>
      <c r="CE196">
        <v>65657.813895746353</v>
      </c>
      <c r="CF196">
        <v>65632.12357277979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1.0034015295773366</v>
      </c>
      <c r="CY196">
        <v>1.0042005704274923</v>
      </c>
      <c r="CZ196">
        <v>1.0051328444306284</v>
      </c>
      <c r="DA196">
        <v>1.0056862943159199</v>
      </c>
      <c r="DB196">
        <v>1.0061541554803788</v>
      </c>
    </row>
    <row r="197" spans="1:106" x14ac:dyDescent="0.35">
      <c r="A197" t="s">
        <v>7</v>
      </c>
      <c r="B197">
        <v>3.5000000000000001E-3</v>
      </c>
      <c r="C197">
        <v>4.5000000000000005E-3</v>
      </c>
      <c r="D197">
        <v>5.5000000000000005E-3</v>
      </c>
      <c r="E197">
        <v>6.5000000000000006E-3</v>
      </c>
      <c r="F197">
        <v>7.5000000000000006E-3</v>
      </c>
      <c r="G197">
        <v>730.93373873217354</v>
      </c>
      <c r="H197">
        <v>937.66722169252773</v>
      </c>
      <c r="I197">
        <v>1146.0513900081421</v>
      </c>
      <c r="J197">
        <v>1355.7985978663344</v>
      </c>
      <c r="K197">
        <v>1567.0196421328892</v>
      </c>
      <c r="L197">
        <v>23733.169392350032</v>
      </c>
      <c r="M197">
        <v>20294.871631155209</v>
      </c>
      <c r="N197">
        <v>17020.162375052823</v>
      </c>
      <c r="O197">
        <v>16003.436985017124</v>
      </c>
      <c r="P197">
        <v>16548.047625170744</v>
      </c>
      <c r="R197" t="s">
        <v>7</v>
      </c>
      <c r="S197">
        <v>3.5000000000000001E-3</v>
      </c>
      <c r="T197">
        <v>4.5000000000000005E-3</v>
      </c>
      <c r="U197">
        <v>5.5000000000000005E-3</v>
      </c>
      <c r="V197">
        <v>6.5000000000000006E-3</v>
      </c>
      <c r="W197">
        <v>7.5000000000000006E-3</v>
      </c>
      <c r="X197">
        <v>730.93373873217354</v>
      </c>
      <c r="Y197">
        <v>937.66722169252773</v>
      </c>
      <c r="Z197">
        <v>1146.0513900081421</v>
      </c>
      <c r="AA197">
        <v>1355.7985978663344</v>
      </c>
      <c r="AB197">
        <v>1567.0196421328892</v>
      </c>
      <c r="AC197">
        <v>23733.169392350032</v>
      </c>
      <c r="AD197">
        <v>20294.871631155209</v>
      </c>
      <c r="AE197">
        <v>17020.162375052823</v>
      </c>
      <c r="AF197">
        <v>16003.436985017124</v>
      </c>
      <c r="AG197">
        <v>16548.047625170744</v>
      </c>
      <c r="AI197" t="s">
        <v>7</v>
      </c>
      <c r="AJ197">
        <v>3.5000000000000001E-3</v>
      </c>
      <c r="AK197">
        <v>4.5000000000000005E-3</v>
      </c>
      <c r="AL197">
        <v>5.5000000000000005E-3</v>
      </c>
      <c r="AM197">
        <v>6.5000000000000006E-3</v>
      </c>
      <c r="AN197">
        <v>7.5000000000000006E-3</v>
      </c>
      <c r="AO197">
        <v>730.93373873217354</v>
      </c>
      <c r="AP197">
        <v>937.66722169252773</v>
      </c>
      <c r="AQ197">
        <v>1146.0513900081421</v>
      </c>
      <c r="AR197">
        <v>1355.7985978663344</v>
      </c>
      <c r="AS197">
        <v>1567.0196421328892</v>
      </c>
      <c r="AT197">
        <v>23733.169392350032</v>
      </c>
      <c r="AU197">
        <v>20294.871631155209</v>
      </c>
      <c r="AV197">
        <v>17020.162375052823</v>
      </c>
      <c r="AW197">
        <v>16003.436985017124</v>
      </c>
      <c r="AX197">
        <v>16548.047625170744</v>
      </c>
      <c r="AZ197" t="s">
        <v>7</v>
      </c>
      <c r="BA197">
        <v>3.5000000000000001E-3</v>
      </c>
      <c r="BB197">
        <v>4.5000000000000005E-3</v>
      </c>
      <c r="BC197">
        <v>5.5000000000000005E-3</v>
      </c>
      <c r="BD197">
        <v>6.5000000000000006E-3</v>
      </c>
      <c r="BE197">
        <v>7.5000000000000006E-3</v>
      </c>
      <c r="BF197">
        <v>730.93373873217354</v>
      </c>
      <c r="BG197">
        <v>937.66722169252773</v>
      </c>
      <c r="BH197">
        <v>1146.0513900081421</v>
      </c>
      <c r="BI197">
        <v>1355.7985978663344</v>
      </c>
      <c r="BJ197">
        <v>1567.0196421328892</v>
      </c>
      <c r="BK197">
        <v>23733.169392350032</v>
      </c>
      <c r="BL197">
        <v>20294.871631155209</v>
      </c>
      <c r="BM197">
        <v>17020.162375052823</v>
      </c>
      <c r="BN197">
        <v>16003.436985017124</v>
      </c>
      <c r="BO197">
        <v>16548.047625170744</v>
      </c>
      <c r="BQ197" t="s">
        <v>7</v>
      </c>
      <c r="BR197">
        <v>17231.922340630594</v>
      </c>
      <c r="BS197">
        <v>13475.209713715885</v>
      </c>
      <c r="BT197">
        <v>9335.3254591885379</v>
      </c>
      <c r="BU197">
        <v>7861.5960098084706</v>
      </c>
      <c r="BV197">
        <v>8000.425117429003</v>
      </c>
      <c r="BW197">
        <v>0.74828789289960895</v>
      </c>
      <c r="BX197">
        <v>0.69485767139840948</v>
      </c>
      <c r="BY197">
        <v>0.58597063477018985</v>
      </c>
      <c r="BZ197">
        <v>0.5340798542974069</v>
      </c>
      <c r="CA197">
        <v>0.53116951727591999</v>
      </c>
      <c r="CB197">
        <v>17699.039510047223</v>
      </c>
      <c r="CC197">
        <v>14043.058387181405</v>
      </c>
      <c r="CD197">
        <v>9922.3852907233668</v>
      </c>
      <c r="CE197">
        <v>8498.7866907637708</v>
      </c>
      <c r="CF197">
        <v>8736.055425546856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1.0006293938386837</v>
      </c>
      <c r="CY197">
        <v>1.0008126110544373</v>
      </c>
      <c r="CZ197">
        <v>1.0007938071218565</v>
      </c>
      <c r="DA197">
        <v>1.0007821570442679</v>
      </c>
      <c r="DB197">
        <v>1.0007745101250456</v>
      </c>
    </row>
    <row r="198" spans="1:106" x14ac:dyDescent="0.35">
      <c r="A198" t="s">
        <v>17</v>
      </c>
      <c r="B198">
        <v>3.5000000000000001E-3</v>
      </c>
      <c r="C198">
        <v>4.5000000000000005E-3</v>
      </c>
      <c r="D198">
        <v>5.5000000000000005E-3</v>
      </c>
      <c r="E198">
        <v>6.5000000000000006E-3</v>
      </c>
      <c r="F198">
        <v>7.5000000000000006E-3</v>
      </c>
      <c r="G198">
        <v>75.252163886266246</v>
      </c>
      <c r="H198">
        <v>100.33097298410156</v>
      </c>
      <c r="I198">
        <v>125.99608607860206</v>
      </c>
      <c r="J198">
        <v>152.94257388601261</v>
      </c>
      <c r="K198">
        <v>182.80664101570628</v>
      </c>
      <c r="L198">
        <v>20221.659588378101</v>
      </c>
      <c r="M198">
        <v>20814.4007732848</v>
      </c>
      <c r="N198">
        <v>21124.592634556298</v>
      </c>
      <c r="O198">
        <v>21697.042594935727</v>
      </c>
      <c r="P198">
        <v>22459.272598353877</v>
      </c>
      <c r="R198" t="s">
        <v>17</v>
      </c>
      <c r="S198">
        <v>3.5000000000000001E-3</v>
      </c>
      <c r="T198">
        <v>4.5000000000000005E-3</v>
      </c>
      <c r="U198">
        <v>5.5000000000000005E-3</v>
      </c>
      <c r="V198">
        <v>6.5000000000000006E-3</v>
      </c>
      <c r="W198">
        <v>7.5000000000000006E-3</v>
      </c>
      <c r="X198">
        <v>75.252163886266246</v>
      </c>
      <c r="Y198">
        <v>100.33097298410156</v>
      </c>
      <c r="Z198">
        <v>125.99608607860206</v>
      </c>
      <c r="AA198">
        <v>152.94257388601261</v>
      </c>
      <c r="AB198">
        <v>182.80664101570628</v>
      </c>
      <c r="AC198">
        <v>20221.659588378101</v>
      </c>
      <c r="AD198">
        <v>20814.4007732848</v>
      </c>
      <c r="AE198">
        <v>21124.592634556298</v>
      </c>
      <c r="AF198">
        <v>21697.042594935727</v>
      </c>
      <c r="AG198">
        <v>22459.272598353877</v>
      </c>
      <c r="AI198" t="s">
        <v>17</v>
      </c>
      <c r="AJ198">
        <v>3.5000000000000001E-3</v>
      </c>
      <c r="AK198">
        <v>4.5000000000000005E-3</v>
      </c>
      <c r="AL198">
        <v>5.5000000000000005E-3</v>
      </c>
      <c r="AM198">
        <v>6.5000000000000006E-3</v>
      </c>
      <c r="AN198">
        <v>7.5000000000000006E-3</v>
      </c>
      <c r="AO198">
        <v>75.252163886266246</v>
      </c>
      <c r="AP198">
        <v>100.33097298410156</v>
      </c>
      <c r="AQ198">
        <v>125.99608607860206</v>
      </c>
      <c r="AR198">
        <v>152.94257388601261</v>
      </c>
      <c r="AS198">
        <v>182.80664101570628</v>
      </c>
      <c r="AT198">
        <v>20221.659588378101</v>
      </c>
      <c r="AU198">
        <v>20814.4007732848</v>
      </c>
      <c r="AV198">
        <v>21124.592634556298</v>
      </c>
      <c r="AW198">
        <v>21697.042594935727</v>
      </c>
      <c r="AX198">
        <v>22459.272598353877</v>
      </c>
      <c r="AZ198" t="s">
        <v>17</v>
      </c>
      <c r="BA198">
        <v>3.5000000000000001E-3</v>
      </c>
      <c r="BB198">
        <v>4.5000000000000005E-3</v>
      </c>
      <c r="BC198">
        <v>5.5000000000000005E-3</v>
      </c>
      <c r="BD198">
        <v>6.5000000000000006E-3</v>
      </c>
      <c r="BE198">
        <v>7.5000000000000006E-3</v>
      </c>
      <c r="BF198">
        <v>75.252163886266246</v>
      </c>
      <c r="BG198">
        <v>100.33097298410156</v>
      </c>
      <c r="BH198">
        <v>125.99608607860206</v>
      </c>
      <c r="BI198">
        <v>152.94257388601261</v>
      </c>
      <c r="BJ198">
        <v>182.80664101570628</v>
      </c>
      <c r="BK198">
        <v>20221.659588378101</v>
      </c>
      <c r="BL198">
        <v>20814.4007732848</v>
      </c>
      <c r="BM198">
        <v>21124.592634556298</v>
      </c>
      <c r="BN198">
        <v>21697.042594935727</v>
      </c>
      <c r="BO198">
        <v>22459.272598353877</v>
      </c>
      <c r="BQ198" t="s">
        <v>17</v>
      </c>
      <c r="BR198">
        <v>12000.142241804146</v>
      </c>
      <c r="BS198">
        <v>11958.080558615698</v>
      </c>
      <c r="BT198">
        <v>11649.38775333667</v>
      </c>
      <c r="BU198">
        <v>11858.821268146885</v>
      </c>
      <c r="BV198">
        <v>12203.730693705105</v>
      </c>
      <c r="BW198">
        <v>0.59539225927237183</v>
      </c>
      <c r="BX198">
        <v>0.57694916837597443</v>
      </c>
      <c r="BY198">
        <v>0.55441639911193752</v>
      </c>
      <c r="BZ198">
        <v>0.55009240801729098</v>
      </c>
      <c r="CA198">
        <v>0.54748043435673488</v>
      </c>
      <c r="CB198">
        <v>12032.24656670665</v>
      </c>
      <c r="CC198">
        <v>11999.100614588184</v>
      </c>
      <c r="CD198">
        <v>11702.531028682946</v>
      </c>
      <c r="CE198">
        <v>11926.050363599745</v>
      </c>
      <c r="CF198">
        <v>12286.496301696094</v>
      </c>
    </row>
    <row r="199" spans="1:106" x14ac:dyDescent="0.35">
      <c r="A199" t="s">
        <v>18</v>
      </c>
      <c r="G199">
        <v>15049.599058469879</v>
      </c>
      <c r="H199">
        <v>19966.572376420405</v>
      </c>
      <c r="I199">
        <v>25089.650214416724</v>
      </c>
      <c r="J199">
        <v>30431.226441541799</v>
      </c>
      <c r="K199">
        <v>35988.480829191445</v>
      </c>
      <c r="L199">
        <v>750346.94900390762</v>
      </c>
      <c r="M199">
        <v>834557.39947332675</v>
      </c>
      <c r="N199">
        <v>903459.15878586448</v>
      </c>
      <c r="O199">
        <v>974545.32559738262</v>
      </c>
      <c r="P199">
        <v>1051593.4848408347</v>
      </c>
      <c r="R199" t="s">
        <v>18</v>
      </c>
      <c r="X199">
        <v>15049.599058469879</v>
      </c>
      <c r="Y199">
        <v>19966.572376420405</v>
      </c>
      <c r="Z199">
        <v>25089.650214416724</v>
      </c>
      <c r="AA199">
        <v>30431.226441541799</v>
      </c>
      <c r="AB199">
        <v>35988.480829191445</v>
      </c>
      <c r="AC199">
        <v>750346.94900390762</v>
      </c>
      <c r="AD199">
        <v>834557.39947332675</v>
      </c>
      <c r="AE199">
        <v>903459.15878586448</v>
      </c>
      <c r="AF199">
        <v>974545.32559738262</v>
      </c>
      <c r="AG199">
        <v>1051593.4848408347</v>
      </c>
      <c r="AI199" t="s">
        <v>18</v>
      </c>
      <c r="AO199">
        <v>14901.871678771551</v>
      </c>
      <c r="AP199">
        <v>19653.179292346093</v>
      </c>
      <c r="AQ199">
        <v>24572.551625694105</v>
      </c>
      <c r="AR199">
        <v>29667.330799110659</v>
      </c>
      <c r="AS199">
        <v>34930.779170440626</v>
      </c>
      <c r="AT199">
        <v>707991.398853258</v>
      </c>
      <c r="AU199">
        <v>764601.09881718282</v>
      </c>
      <c r="AV199">
        <v>808924.13497484755</v>
      </c>
      <c r="AW199">
        <v>856259.02342708351</v>
      </c>
      <c r="AX199">
        <v>909508.89534864249</v>
      </c>
      <c r="AZ199" t="s">
        <v>18</v>
      </c>
      <c r="BF199">
        <v>14901.871678771551</v>
      </c>
      <c r="BG199">
        <v>19653.179292346093</v>
      </c>
      <c r="BH199">
        <v>24572.551625694105</v>
      </c>
      <c r="BI199">
        <v>29667.330799110659</v>
      </c>
      <c r="BJ199">
        <v>34930.779170440626</v>
      </c>
      <c r="BK199">
        <v>707991.398853258</v>
      </c>
      <c r="BL199">
        <v>764601.09881718282</v>
      </c>
      <c r="BM199">
        <v>808924.13497484755</v>
      </c>
      <c r="BN199">
        <v>856259.02342708351</v>
      </c>
      <c r="BO199">
        <v>909508.89534864249</v>
      </c>
      <c r="BQ199" t="s">
        <v>18</v>
      </c>
      <c r="BR199">
        <v>568694.0322765829</v>
      </c>
      <c r="BS199">
        <v>617763.62455988396</v>
      </c>
      <c r="BT199">
        <v>653175.98815469176</v>
      </c>
      <c r="BU199">
        <v>691133.39158478635</v>
      </c>
      <c r="BV199">
        <v>736136.8384381294</v>
      </c>
      <c r="BW199">
        <v>0.82014055774689365</v>
      </c>
      <c r="BX199">
        <v>0.82890786868378741</v>
      </c>
      <c r="BY199">
        <v>0.83233541470458594</v>
      </c>
      <c r="BZ199">
        <v>0.83568070368468161</v>
      </c>
      <c r="CA199">
        <v>0.84124840151965641</v>
      </c>
      <c r="CB199">
        <v>578462.01695191127</v>
      </c>
      <c r="CC199">
        <v>631358.19698409247</v>
      </c>
      <c r="CD199">
        <v>670712.88924541126</v>
      </c>
      <c r="CE199">
        <v>712813.73221916298</v>
      </c>
      <c r="CF199">
        <v>762162.23056330008</v>
      </c>
    </row>
    <row r="201" spans="1:106" x14ac:dyDescent="0.35">
      <c r="B201" t="s">
        <v>53</v>
      </c>
      <c r="S201" t="s">
        <v>53</v>
      </c>
      <c r="AJ201" t="s">
        <v>53</v>
      </c>
      <c r="BA201" t="s">
        <v>53</v>
      </c>
      <c r="BR201" t="s">
        <v>53</v>
      </c>
    </row>
    <row r="202" spans="1:106" x14ac:dyDescent="0.35">
      <c r="B202" t="s">
        <v>35</v>
      </c>
      <c r="G202" t="s">
        <v>36</v>
      </c>
      <c r="L202" t="s">
        <v>37</v>
      </c>
      <c r="S202" t="s">
        <v>35</v>
      </c>
      <c r="X202" t="s">
        <v>36</v>
      </c>
      <c r="AC202" t="s">
        <v>37</v>
      </c>
      <c r="AJ202" t="s">
        <v>35</v>
      </c>
      <c r="AO202" t="s">
        <v>36</v>
      </c>
      <c r="AT202" t="s">
        <v>37</v>
      </c>
      <c r="BA202" t="s">
        <v>35</v>
      </c>
      <c r="BF202" t="s">
        <v>36</v>
      </c>
      <c r="BK202" t="s">
        <v>37</v>
      </c>
      <c r="BR202" t="s">
        <v>35</v>
      </c>
      <c r="BW202" t="s">
        <v>36</v>
      </c>
      <c r="CB202" t="s">
        <v>37</v>
      </c>
      <c r="CH202" t="s">
        <v>38</v>
      </c>
    </row>
    <row r="203" spans="1:106" x14ac:dyDescent="0.35">
      <c r="B203" t="s">
        <v>80</v>
      </c>
      <c r="C203" t="s">
        <v>79</v>
      </c>
      <c r="D203" t="s">
        <v>78</v>
      </c>
      <c r="E203" t="s">
        <v>77</v>
      </c>
      <c r="F203" t="s">
        <v>76</v>
      </c>
      <c r="G203" t="s">
        <v>80</v>
      </c>
      <c r="H203" t="s">
        <v>79</v>
      </c>
      <c r="I203" t="s">
        <v>78</v>
      </c>
      <c r="J203" t="s">
        <v>77</v>
      </c>
      <c r="K203" t="s">
        <v>76</v>
      </c>
      <c r="L203" t="s">
        <v>80</v>
      </c>
      <c r="M203" t="s">
        <v>79</v>
      </c>
      <c r="N203" t="s">
        <v>78</v>
      </c>
      <c r="O203" t="s">
        <v>77</v>
      </c>
      <c r="P203" t="s">
        <v>76</v>
      </c>
      <c r="S203" t="s">
        <v>80</v>
      </c>
      <c r="T203" t="s">
        <v>79</v>
      </c>
      <c r="U203" t="s">
        <v>78</v>
      </c>
      <c r="V203" t="s">
        <v>77</v>
      </c>
      <c r="W203" t="s">
        <v>76</v>
      </c>
      <c r="X203" t="s">
        <v>80</v>
      </c>
      <c r="Y203" t="s">
        <v>79</v>
      </c>
      <c r="Z203" t="s">
        <v>78</v>
      </c>
      <c r="AA203" t="s">
        <v>77</v>
      </c>
      <c r="AB203" t="s">
        <v>76</v>
      </c>
      <c r="AC203" t="s">
        <v>80</v>
      </c>
      <c r="AD203" t="s">
        <v>79</v>
      </c>
      <c r="AE203" t="s">
        <v>78</v>
      </c>
      <c r="AF203" t="s">
        <v>77</v>
      </c>
      <c r="AG203" t="s">
        <v>76</v>
      </c>
      <c r="AJ203" t="s">
        <v>80</v>
      </c>
      <c r="AK203" t="s">
        <v>79</v>
      </c>
      <c r="AL203" t="s">
        <v>78</v>
      </c>
      <c r="AM203" t="s">
        <v>77</v>
      </c>
      <c r="AN203" t="s">
        <v>76</v>
      </c>
      <c r="AO203" t="s">
        <v>80</v>
      </c>
      <c r="AP203" t="s">
        <v>79</v>
      </c>
      <c r="AQ203" t="s">
        <v>78</v>
      </c>
      <c r="AR203" t="s">
        <v>77</v>
      </c>
      <c r="AS203" t="s">
        <v>76</v>
      </c>
      <c r="AT203" t="s">
        <v>80</v>
      </c>
      <c r="AU203" t="s">
        <v>79</v>
      </c>
      <c r="AV203" t="s">
        <v>78</v>
      </c>
      <c r="AW203" t="s">
        <v>77</v>
      </c>
      <c r="AX203" t="s">
        <v>76</v>
      </c>
      <c r="BA203" t="s">
        <v>80</v>
      </c>
      <c r="BB203" t="s">
        <v>79</v>
      </c>
      <c r="BC203" t="s">
        <v>78</v>
      </c>
      <c r="BD203" t="s">
        <v>77</v>
      </c>
      <c r="BE203" t="s">
        <v>76</v>
      </c>
      <c r="BF203" t="s">
        <v>80</v>
      </c>
      <c r="BG203" t="s">
        <v>79</v>
      </c>
      <c r="BH203" t="s">
        <v>78</v>
      </c>
      <c r="BI203" t="s">
        <v>77</v>
      </c>
      <c r="BJ203" t="s">
        <v>76</v>
      </c>
      <c r="BK203" t="s">
        <v>80</v>
      </c>
      <c r="BL203" t="s">
        <v>79</v>
      </c>
      <c r="BM203" t="s">
        <v>78</v>
      </c>
      <c r="BN203" t="s">
        <v>77</v>
      </c>
      <c r="BO203" t="s">
        <v>76</v>
      </c>
      <c r="BR203" t="s">
        <v>80</v>
      </c>
      <c r="BS203" t="s">
        <v>79</v>
      </c>
      <c r="BT203" t="s">
        <v>78</v>
      </c>
      <c r="BU203" t="s">
        <v>77</v>
      </c>
      <c r="BV203" t="s">
        <v>76</v>
      </c>
      <c r="BW203" t="s">
        <v>80</v>
      </c>
      <c r="BX203" t="s">
        <v>79</v>
      </c>
      <c r="BY203" t="s">
        <v>78</v>
      </c>
      <c r="BZ203" t="s">
        <v>77</v>
      </c>
      <c r="CA203" t="s">
        <v>76</v>
      </c>
      <c r="CB203" t="s">
        <v>80</v>
      </c>
      <c r="CC203" t="s">
        <v>79</v>
      </c>
      <c r="CD203" t="s">
        <v>78</v>
      </c>
      <c r="CE203" t="s">
        <v>77</v>
      </c>
      <c r="CF203" t="s">
        <v>76</v>
      </c>
      <c r="CH203" t="s">
        <v>36</v>
      </c>
    </row>
    <row r="204" spans="1:106" x14ac:dyDescent="0.35">
      <c r="A204" t="s">
        <v>14</v>
      </c>
      <c r="B204">
        <v>2580869.4682056014</v>
      </c>
      <c r="C204">
        <v>2632850.2715019644</v>
      </c>
      <c r="D204">
        <v>2686834.9184596208</v>
      </c>
      <c r="E204">
        <v>2737090.4879245427</v>
      </c>
      <c r="F204">
        <v>2778466.7090084902</v>
      </c>
      <c r="G204">
        <v>0.80593799113961162</v>
      </c>
      <c r="H204">
        <v>0.78957228766217047</v>
      </c>
      <c r="I204">
        <v>0.77816139039985421</v>
      </c>
      <c r="J204">
        <v>0.76758976542890212</v>
      </c>
      <c r="K204">
        <v>0.75602920871842427</v>
      </c>
      <c r="L204">
        <v>0.80243799113961156</v>
      </c>
      <c r="M204">
        <v>0.78507228766217052</v>
      </c>
      <c r="N204">
        <v>0.77266139039985426</v>
      </c>
      <c r="O204">
        <v>0.76108976542890217</v>
      </c>
      <c r="P204">
        <v>0.74852920871842432</v>
      </c>
      <c r="R204" t="s">
        <v>14</v>
      </c>
      <c r="S204">
        <v>2580869.4682056014</v>
      </c>
      <c r="T204">
        <v>2632850.2715019644</v>
      </c>
      <c r="U204">
        <v>2686834.9184596208</v>
      </c>
      <c r="V204">
        <v>2737090.4879245427</v>
      </c>
      <c r="W204">
        <v>2778466.7090084902</v>
      </c>
      <c r="X204">
        <v>0.80593799113961162</v>
      </c>
      <c r="Y204">
        <v>0.78957228766217047</v>
      </c>
      <c r="Z204">
        <v>0.77816139039985421</v>
      </c>
      <c r="AA204">
        <v>0.76758976542890212</v>
      </c>
      <c r="AB204">
        <v>0.75602920871842427</v>
      </c>
      <c r="AC204">
        <v>0.80243799113961156</v>
      </c>
      <c r="AD204">
        <v>0.78507228766217052</v>
      </c>
      <c r="AE204">
        <v>0.77266139039985426</v>
      </c>
      <c r="AF204">
        <v>0.76108976542890217</v>
      </c>
      <c r="AG204">
        <v>0.74852920871842432</v>
      </c>
      <c r="AI204" t="s">
        <v>14</v>
      </c>
      <c r="AJ204">
        <v>2581009.7812561602</v>
      </c>
      <c r="AK204">
        <v>2633147.9356163638</v>
      </c>
      <c r="AL204">
        <v>2687326.0642483798</v>
      </c>
      <c r="AM204">
        <v>2737816.0442033918</v>
      </c>
      <c r="AN204">
        <v>2779471.3253945885</v>
      </c>
      <c r="AO204">
        <v>0.81611041350261604</v>
      </c>
      <c r="AP204">
        <v>0.80545925595886614</v>
      </c>
      <c r="AQ204">
        <v>0.79867131429291272</v>
      </c>
      <c r="AR204">
        <v>0.79217799440534198</v>
      </c>
      <c r="AS204">
        <v>0.78433289340128087</v>
      </c>
      <c r="AT204">
        <v>0.81261041350261598</v>
      </c>
      <c r="AU204">
        <v>0.80095925595886608</v>
      </c>
      <c r="AV204">
        <v>0.79317131429291277</v>
      </c>
      <c r="AW204">
        <v>0.78567799440534203</v>
      </c>
      <c r="AX204">
        <v>0.77683289340128092</v>
      </c>
      <c r="AZ204" t="s">
        <v>14</v>
      </c>
      <c r="BA204">
        <v>2581009.7812561602</v>
      </c>
      <c r="BB204">
        <v>2633147.9356163638</v>
      </c>
      <c r="BC204">
        <v>2687326.0642483798</v>
      </c>
      <c r="BD204">
        <v>2737816.0442033918</v>
      </c>
      <c r="BE204">
        <v>2779471.3253945885</v>
      </c>
      <c r="BF204">
        <v>0.81611041350261604</v>
      </c>
      <c r="BG204">
        <v>0.80545925595886614</v>
      </c>
      <c r="BH204">
        <v>0.79867131429291272</v>
      </c>
      <c r="BI204">
        <v>0.79217799440534198</v>
      </c>
      <c r="BJ204">
        <v>0.78433289340128087</v>
      </c>
      <c r="BK204">
        <v>0.81261041350261598</v>
      </c>
      <c r="BL204">
        <v>0.80095925595886608</v>
      </c>
      <c r="BM204">
        <v>0.79317131429291277</v>
      </c>
      <c r="BN204">
        <v>0.78567799440534203</v>
      </c>
      <c r="BO204">
        <v>0.77683289340128092</v>
      </c>
      <c r="BQ204" t="s">
        <v>14</v>
      </c>
      <c r="BW204">
        <v>0.81322823467213723</v>
      </c>
      <c r="BX204">
        <v>0.80160755278746565</v>
      </c>
      <c r="BY204">
        <v>0.79383675160935874</v>
      </c>
      <c r="BZ204">
        <v>0.78636107403826994</v>
      </c>
      <c r="CA204">
        <v>0.77753908628061608</v>
      </c>
      <c r="CH204">
        <v>0.8118730392160014</v>
      </c>
    </row>
    <row r="205" spans="1:106" x14ac:dyDescent="0.35">
      <c r="A205" t="s">
        <v>15</v>
      </c>
      <c r="B205">
        <v>782285.0277287733</v>
      </c>
      <c r="C205">
        <v>780051.41959443188</v>
      </c>
      <c r="D205">
        <v>778323.90291502909</v>
      </c>
      <c r="E205">
        <v>775677.78448717413</v>
      </c>
      <c r="F205">
        <v>774101.06584657938</v>
      </c>
      <c r="G205">
        <v>0.92031757928217817</v>
      </c>
      <c r="H205">
        <v>0.9192917863305794</v>
      </c>
      <c r="I205">
        <v>0.91785179029708752</v>
      </c>
      <c r="J205">
        <v>0.91549565399971766</v>
      </c>
      <c r="K205">
        <v>0.91473571346533578</v>
      </c>
      <c r="L205">
        <v>0.91681757928217811</v>
      </c>
      <c r="M205">
        <v>0.91479178633057945</v>
      </c>
      <c r="N205">
        <v>0.91235179029708757</v>
      </c>
      <c r="O205">
        <v>0.90899565399971771</v>
      </c>
      <c r="P205">
        <v>0.90723571346533571</v>
      </c>
      <c r="R205" t="s">
        <v>15</v>
      </c>
      <c r="S205">
        <v>782285.0277287733</v>
      </c>
      <c r="T205">
        <v>780051.41959443188</v>
      </c>
      <c r="U205">
        <v>778323.90291502909</v>
      </c>
      <c r="V205">
        <v>775677.78448717413</v>
      </c>
      <c r="W205">
        <v>774101.06584657938</v>
      </c>
      <c r="X205">
        <v>0.92031757928217817</v>
      </c>
      <c r="Y205">
        <v>0.9192917863305794</v>
      </c>
      <c r="Z205">
        <v>0.91785179029708752</v>
      </c>
      <c r="AA205">
        <v>0.91549565399971766</v>
      </c>
      <c r="AB205">
        <v>0.91473571346533578</v>
      </c>
      <c r="AC205">
        <v>0.91681757928217811</v>
      </c>
      <c r="AD205">
        <v>0.91479178633057945</v>
      </c>
      <c r="AE205">
        <v>0.91235179029708757</v>
      </c>
      <c r="AF205">
        <v>0.90899565399971771</v>
      </c>
      <c r="AG205">
        <v>0.90723571346533571</v>
      </c>
      <c r="AI205" t="s">
        <v>15</v>
      </c>
      <c r="AJ205">
        <v>782292.44205791294</v>
      </c>
      <c r="AK205">
        <v>780067.14856410667</v>
      </c>
      <c r="AL205">
        <v>778349.8557149925</v>
      </c>
      <c r="AM205">
        <v>775716.12385075644</v>
      </c>
      <c r="AN205">
        <v>774154.15111923183</v>
      </c>
      <c r="AO205">
        <v>0.92260812521833924</v>
      </c>
      <c r="AP205">
        <v>0.92307555027242583</v>
      </c>
      <c r="AQ205">
        <v>0.92295689801646796</v>
      </c>
      <c r="AR205">
        <v>0.92186772500665204</v>
      </c>
      <c r="AS205">
        <v>0.92238724815771056</v>
      </c>
      <c r="AT205">
        <v>0.91910812521833918</v>
      </c>
      <c r="AU205">
        <v>0.91857555027242588</v>
      </c>
      <c r="AV205">
        <v>0.91745689801646801</v>
      </c>
      <c r="AW205">
        <v>0.91536772500665209</v>
      </c>
      <c r="AX205">
        <v>0.9148872481577105</v>
      </c>
      <c r="AZ205" t="s">
        <v>15</v>
      </c>
      <c r="BA205">
        <v>782292.44205791294</v>
      </c>
      <c r="BB205">
        <v>780067.14856410667</v>
      </c>
      <c r="BC205">
        <v>778349.8557149925</v>
      </c>
      <c r="BD205">
        <v>775716.12385075644</v>
      </c>
      <c r="BE205">
        <v>774154.15111923183</v>
      </c>
      <c r="BF205">
        <v>0.92260812521833924</v>
      </c>
      <c r="BG205">
        <v>0.92307555027242583</v>
      </c>
      <c r="BH205">
        <v>0.92295689801646796</v>
      </c>
      <c r="BI205">
        <v>0.92186772500665204</v>
      </c>
      <c r="BJ205">
        <v>0.92238724815771056</v>
      </c>
      <c r="BK205">
        <v>0.91910812521833918</v>
      </c>
      <c r="BL205">
        <v>0.91857555027242588</v>
      </c>
      <c r="BM205">
        <v>0.91745689801646801</v>
      </c>
      <c r="BN205">
        <v>0.91536772500665209</v>
      </c>
      <c r="BO205">
        <v>0.9148872481577105</v>
      </c>
      <c r="BQ205" t="s">
        <v>15</v>
      </c>
      <c r="BW205">
        <v>0.91928594502550309</v>
      </c>
      <c r="BX205">
        <v>0.91875493237191308</v>
      </c>
      <c r="BY205">
        <v>0.9176299078015594</v>
      </c>
      <c r="BZ205">
        <v>0.91553066391773708</v>
      </c>
      <c r="CA205">
        <v>0.91505069061014388</v>
      </c>
      <c r="CH205">
        <v>0.91984556672000295</v>
      </c>
    </row>
    <row r="206" spans="1:106" x14ac:dyDescent="0.35">
      <c r="A206" t="s">
        <v>7</v>
      </c>
      <c r="B206">
        <v>185105.04167398525</v>
      </c>
      <c r="C206">
        <v>188075.62207829536</v>
      </c>
      <c r="D206">
        <v>191352.81762642754</v>
      </c>
      <c r="E206">
        <v>192580.96268672662</v>
      </c>
      <c r="F206">
        <v>192387.90465921449</v>
      </c>
      <c r="G206">
        <v>0.88985619280989037</v>
      </c>
      <c r="H206">
        <v>0.90710198903471351</v>
      </c>
      <c r="I206">
        <v>0.92381876486609782</v>
      </c>
      <c r="J206">
        <v>0.92977596402126772</v>
      </c>
      <c r="K206">
        <v>0.92829846745261446</v>
      </c>
      <c r="L206">
        <v>0.88635619280989031</v>
      </c>
      <c r="M206">
        <v>0.90260198903471356</v>
      </c>
      <c r="N206">
        <v>0.91831876486609787</v>
      </c>
      <c r="O206">
        <v>0.92327596402126777</v>
      </c>
      <c r="P206">
        <v>0.9207984674526144</v>
      </c>
      <c r="R206" t="s">
        <v>7</v>
      </c>
      <c r="S206">
        <v>185105.04167398525</v>
      </c>
      <c r="T206">
        <v>188075.62207829536</v>
      </c>
      <c r="U206">
        <v>191352.81762642754</v>
      </c>
      <c r="V206">
        <v>192580.96268672662</v>
      </c>
      <c r="W206">
        <v>192387.90465921449</v>
      </c>
      <c r="X206">
        <v>0.88985619280989037</v>
      </c>
      <c r="Y206">
        <v>0.90710198903471351</v>
      </c>
      <c r="Z206">
        <v>0.92381876486609782</v>
      </c>
      <c r="AA206">
        <v>0.92977596402126772</v>
      </c>
      <c r="AB206">
        <v>0.92829846745261446</v>
      </c>
      <c r="AC206">
        <v>0.88635619280989031</v>
      </c>
      <c r="AD206">
        <v>0.90260198903471356</v>
      </c>
      <c r="AE206">
        <v>0.91831876486609787</v>
      </c>
      <c r="AF206">
        <v>0.92327596402126777</v>
      </c>
      <c r="AG206">
        <v>0.9207984674526144</v>
      </c>
      <c r="AI206" t="s">
        <v>7</v>
      </c>
      <c r="AJ206">
        <v>185105.04167398525</v>
      </c>
      <c r="AK206">
        <v>188075.62207829536</v>
      </c>
      <c r="AL206">
        <v>191352.81762642754</v>
      </c>
      <c r="AM206">
        <v>192580.96268672662</v>
      </c>
      <c r="AN206">
        <v>192387.90465921449</v>
      </c>
      <c r="AO206">
        <v>0.88985619280989037</v>
      </c>
      <c r="AP206">
        <v>0.90710198903471351</v>
      </c>
      <c r="AQ206">
        <v>0.92381876486609782</v>
      </c>
      <c r="AR206">
        <v>0.92977596402126772</v>
      </c>
      <c r="AS206">
        <v>0.92829846745261446</v>
      </c>
      <c r="AT206">
        <v>0.88635619280989031</v>
      </c>
      <c r="AU206">
        <v>0.90260198903471356</v>
      </c>
      <c r="AV206">
        <v>0.91831876486609787</v>
      </c>
      <c r="AW206">
        <v>0.92327596402126777</v>
      </c>
      <c r="AX206">
        <v>0.9207984674526144</v>
      </c>
      <c r="AZ206" t="s">
        <v>7</v>
      </c>
      <c r="BA206">
        <v>185105.04167398525</v>
      </c>
      <c r="BB206">
        <v>188075.62207829536</v>
      </c>
      <c r="BC206">
        <v>191352.81762642754</v>
      </c>
      <c r="BD206">
        <v>192580.96268672662</v>
      </c>
      <c r="BE206">
        <v>192387.90465921449</v>
      </c>
      <c r="BF206">
        <v>0.88985619280989037</v>
      </c>
      <c r="BG206">
        <v>0.90710198903471351</v>
      </c>
      <c r="BH206">
        <v>0.92381876486609782</v>
      </c>
      <c r="BI206">
        <v>0.92977596402126772</v>
      </c>
      <c r="BJ206">
        <v>0.92829846745261446</v>
      </c>
      <c r="BK206">
        <v>0.88635619280989031</v>
      </c>
      <c r="BL206">
        <v>0.90260198903471356</v>
      </c>
      <c r="BM206">
        <v>0.91831876486609787</v>
      </c>
      <c r="BN206">
        <v>0.92327596402126777</v>
      </c>
      <c r="BO206">
        <v>0.9207984674526144</v>
      </c>
      <c r="BQ206" t="s">
        <v>7</v>
      </c>
      <c r="BW206">
        <v>0.88669779519640823</v>
      </c>
      <c r="BX206">
        <v>0.90296987325119593</v>
      </c>
      <c r="BY206">
        <v>0.91870197023142763</v>
      </c>
      <c r="BZ206">
        <v>0.92367666298055429</v>
      </c>
      <c r="CA206">
        <v>0.92124475272117845</v>
      </c>
      <c r="CH206">
        <v>0.88445882026927602</v>
      </c>
    </row>
    <row r="207" spans="1:106" x14ac:dyDescent="0.35">
      <c r="A207" t="s">
        <v>17</v>
      </c>
      <c r="B207">
        <v>1278.9586648408249</v>
      </c>
      <c r="C207">
        <v>1481.3710009599886</v>
      </c>
      <c r="D207">
        <v>1783.7866524622541</v>
      </c>
      <c r="E207">
        <v>1832.5841567585185</v>
      </c>
      <c r="F207">
        <v>1914.9462037402918</v>
      </c>
      <c r="G207">
        <v>6.298473898648696E-2</v>
      </c>
      <c r="H207">
        <v>7.0941790665941917E-2</v>
      </c>
      <c r="I207">
        <v>8.3366121828752374E-2</v>
      </c>
      <c r="J207">
        <v>8.4384115039205357E-2</v>
      </c>
      <c r="K207">
        <v>8.6064413460330655E-2</v>
      </c>
      <c r="L207">
        <v>5.948473898648695E-2</v>
      </c>
      <c r="M207">
        <v>6.6441790665941913E-2</v>
      </c>
      <c r="N207">
        <v>7.7866121828752369E-2</v>
      </c>
      <c r="O207">
        <v>7.7884115039205351E-2</v>
      </c>
      <c r="P207">
        <v>7.8564413460330662E-2</v>
      </c>
      <c r="R207" t="s">
        <v>17</v>
      </c>
      <c r="S207">
        <v>1278.9586648408249</v>
      </c>
      <c r="T207">
        <v>1481.3710009599886</v>
      </c>
      <c r="U207">
        <v>1783.7866524622541</v>
      </c>
      <c r="V207">
        <v>1832.5841567585185</v>
      </c>
      <c r="W207">
        <v>1914.9462037402918</v>
      </c>
      <c r="X207">
        <v>6.298473898648696E-2</v>
      </c>
      <c r="Y207">
        <v>7.0941790665941917E-2</v>
      </c>
      <c r="Z207">
        <v>8.3366121828752374E-2</v>
      </c>
      <c r="AA207">
        <v>8.4384115039205357E-2</v>
      </c>
      <c r="AB207">
        <v>8.6064413460330655E-2</v>
      </c>
      <c r="AC207">
        <v>5.948473898648695E-2</v>
      </c>
      <c r="AD207">
        <v>6.6441790665941913E-2</v>
      </c>
      <c r="AE207">
        <v>7.7866121828752369E-2</v>
      </c>
      <c r="AF207">
        <v>7.7884115039205351E-2</v>
      </c>
      <c r="AG207">
        <v>7.8564413460330662E-2</v>
      </c>
      <c r="AI207" t="s">
        <v>17</v>
      </c>
      <c r="AJ207">
        <v>1278.9586648408249</v>
      </c>
      <c r="AK207">
        <v>1481.3710009599886</v>
      </c>
      <c r="AL207">
        <v>1783.7866524622541</v>
      </c>
      <c r="AM207">
        <v>1832.5841567585185</v>
      </c>
      <c r="AN207">
        <v>1914.9462037402918</v>
      </c>
      <c r="AO207">
        <v>6.298473898648696E-2</v>
      </c>
      <c r="AP207">
        <v>7.0941790665941917E-2</v>
      </c>
      <c r="AQ207">
        <v>8.3366121828752374E-2</v>
      </c>
      <c r="AR207">
        <v>8.4384115039205357E-2</v>
      </c>
      <c r="AS207">
        <v>8.6064413460330655E-2</v>
      </c>
      <c r="AT207">
        <v>5.948473898648695E-2</v>
      </c>
      <c r="AU207">
        <v>6.6441790665941913E-2</v>
      </c>
      <c r="AV207">
        <v>7.7866121828752369E-2</v>
      </c>
      <c r="AW207">
        <v>7.7884115039205351E-2</v>
      </c>
      <c r="AX207">
        <v>7.8564413460330662E-2</v>
      </c>
      <c r="AZ207" t="s">
        <v>17</v>
      </c>
      <c r="BA207">
        <v>1278.9586648408249</v>
      </c>
      <c r="BB207">
        <v>1481.3710009599886</v>
      </c>
      <c r="BC207">
        <v>1783.7866524622541</v>
      </c>
      <c r="BD207">
        <v>1832.5841567585185</v>
      </c>
      <c r="BE207">
        <v>1914.9462037402918</v>
      </c>
      <c r="BF207">
        <v>6.298473898648696E-2</v>
      </c>
      <c r="BG207">
        <v>7.0941790665941917E-2</v>
      </c>
      <c r="BH207">
        <v>8.3366121828752374E-2</v>
      </c>
      <c r="BI207">
        <v>8.4384115039205357E-2</v>
      </c>
      <c r="BJ207">
        <v>8.6064413460330655E-2</v>
      </c>
      <c r="BK207">
        <v>5.948473898648695E-2</v>
      </c>
      <c r="BL207">
        <v>6.6441790665941913E-2</v>
      </c>
      <c r="BM207">
        <v>7.7866121828752369E-2</v>
      </c>
      <c r="BN207">
        <v>7.7884115039205351E-2</v>
      </c>
      <c r="BO207">
        <v>7.8564413460330662E-2</v>
      </c>
      <c r="BQ207" t="s">
        <v>17</v>
      </c>
      <c r="BW207">
        <v>5.9519949927760142E-2</v>
      </c>
      <c r="BX207">
        <v>6.6492191997395617E-2</v>
      </c>
      <c r="BY207">
        <v>7.7923116029861406E-2</v>
      </c>
      <c r="BZ207">
        <v>7.7940284712613647E-2</v>
      </c>
      <c r="CA207">
        <v>7.8620478421745535E-2</v>
      </c>
      <c r="CH207">
        <v>5.6741381825254046E-2</v>
      </c>
    </row>
    <row r="208" spans="1:106" x14ac:dyDescent="0.35">
      <c r="A208" t="s">
        <v>18</v>
      </c>
      <c r="B208">
        <v>3549538.496273201</v>
      </c>
      <c r="C208">
        <v>3602458.6841756515</v>
      </c>
      <c r="D208">
        <v>3658295.4256535396</v>
      </c>
      <c r="E208">
        <v>3707181.8192552025</v>
      </c>
      <c r="F208">
        <v>3746870.6257180246</v>
      </c>
      <c r="G208">
        <v>0.82899606063852915</v>
      </c>
      <c r="H208">
        <v>0.81641021539255021</v>
      </c>
      <c r="I208">
        <v>0.80744919694547956</v>
      </c>
      <c r="J208">
        <v>0.79834064012169847</v>
      </c>
      <c r="K208">
        <v>0.78834790036736158</v>
      </c>
      <c r="L208">
        <v>0.82549606063852909</v>
      </c>
      <c r="M208">
        <v>0.81191021539255026</v>
      </c>
      <c r="N208">
        <v>0.80194919694547961</v>
      </c>
      <c r="O208">
        <v>0.79184064012169852</v>
      </c>
      <c r="P208">
        <v>0.78084790036736162</v>
      </c>
      <c r="R208" t="s">
        <v>18</v>
      </c>
      <c r="S208">
        <v>3549538.496273201</v>
      </c>
      <c r="T208">
        <v>3602458.6841756515</v>
      </c>
      <c r="U208">
        <v>3658295.4256535396</v>
      </c>
      <c r="V208">
        <v>3707181.8192552025</v>
      </c>
      <c r="W208">
        <v>3746870.6257180246</v>
      </c>
      <c r="X208">
        <v>0.82899606063852915</v>
      </c>
      <c r="Y208">
        <v>0.81641021539255021</v>
      </c>
      <c r="Z208">
        <v>0.80744919694547956</v>
      </c>
      <c r="AA208">
        <v>0.79834064012169847</v>
      </c>
      <c r="AB208">
        <v>0.78834790036736158</v>
      </c>
      <c r="AC208">
        <v>0.82549606063852909</v>
      </c>
      <c r="AD208">
        <v>0.81191021539255026</v>
      </c>
      <c r="AE208">
        <v>0.80194919694547961</v>
      </c>
      <c r="AF208">
        <v>0.79184064012169852</v>
      </c>
      <c r="AG208">
        <v>0.78084790036736162</v>
      </c>
      <c r="AI208" t="s">
        <v>18</v>
      </c>
      <c r="AJ208">
        <v>3549686.2236528993</v>
      </c>
      <c r="AK208">
        <v>3602772.0772597259</v>
      </c>
      <c r="AL208">
        <v>3658812.5242422619</v>
      </c>
      <c r="AM208">
        <v>3707945.7148976335</v>
      </c>
      <c r="AN208">
        <v>3747928.327376775</v>
      </c>
      <c r="AO208">
        <v>0.83721418373462497</v>
      </c>
      <c r="AP208">
        <v>0.82942883754348584</v>
      </c>
      <c r="AQ208">
        <v>0.82444095451977772</v>
      </c>
      <c r="AR208">
        <v>0.81889688565299301</v>
      </c>
      <c r="AS208">
        <v>0.81221902210279906</v>
      </c>
      <c r="AT208">
        <v>0.8337141837346248</v>
      </c>
      <c r="AU208">
        <v>0.82492883754348578</v>
      </c>
      <c r="AV208">
        <v>0.81894095451977766</v>
      </c>
      <c r="AW208">
        <v>0.81239688565299317</v>
      </c>
      <c r="AX208">
        <v>0.804719022102799</v>
      </c>
      <c r="AZ208" t="s">
        <v>18</v>
      </c>
      <c r="BA208">
        <v>3549686.2236528993</v>
      </c>
      <c r="BB208">
        <v>3602772.0772597259</v>
      </c>
      <c r="BC208">
        <v>3658812.5242422619</v>
      </c>
      <c r="BD208">
        <v>3707945.7148976335</v>
      </c>
      <c r="BE208">
        <v>3747928.327376775</v>
      </c>
      <c r="BF208">
        <v>0.83721418373462497</v>
      </c>
      <c r="BG208">
        <v>0.82942883754348584</v>
      </c>
      <c r="BH208">
        <v>0.82444095451977772</v>
      </c>
      <c r="BI208">
        <v>0.81889688565299301</v>
      </c>
      <c r="BJ208">
        <v>0.81221902210279906</v>
      </c>
      <c r="BK208">
        <v>0.8337141837346248</v>
      </c>
      <c r="BL208">
        <v>0.82492883754348578</v>
      </c>
      <c r="BM208">
        <v>0.81894095451977766</v>
      </c>
      <c r="BN208">
        <v>0.81239688565299317</v>
      </c>
      <c r="BO208">
        <v>0.804719022102799</v>
      </c>
      <c r="BQ208" t="s">
        <v>18</v>
      </c>
      <c r="BW208">
        <v>0.83423749580663864</v>
      </c>
      <c r="BX208">
        <v>0.82548194915326878</v>
      </c>
      <c r="BY208">
        <v>0.81951026084165768</v>
      </c>
      <c r="BZ208">
        <v>0.81298205671407031</v>
      </c>
      <c r="CA208">
        <v>0.80532756593653065</v>
      </c>
      <c r="CH208">
        <v>0.83376418195136404</v>
      </c>
    </row>
    <row r="212" spans="1:91" x14ac:dyDescent="0.35">
      <c r="B212" t="s">
        <v>61</v>
      </c>
      <c r="S212" t="s">
        <v>61</v>
      </c>
      <c r="AJ212" t="s">
        <v>61</v>
      </c>
      <c r="BA212" t="s">
        <v>61</v>
      </c>
      <c r="BR212" t="s">
        <v>61</v>
      </c>
      <c r="CH212" t="s">
        <v>61</v>
      </c>
    </row>
    <row r="213" spans="1:91" x14ac:dyDescent="0.35">
      <c r="B213" t="s">
        <v>62</v>
      </c>
      <c r="G213" t="s">
        <v>63</v>
      </c>
      <c r="S213" t="s">
        <v>62</v>
      </c>
      <c r="X213" t="s">
        <v>63</v>
      </c>
      <c r="AJ213" t="s">
        <v>62</v>
      </c>
      <c r="AO213" t="s">
        <v>63</v>
      </c>
      <c r="BA213" t="s">
        <v>62</v>
      </c>
      <c r="BF213" t="s">
        <v>63</v>
      </c>
      <c r="BR213" t="s">
        <v>62</v>
      </c>
      <c r="BW213" t="s">
        <v>63</v>
      </c>
      <c r="CH213" t="s">
        <v>38</v>
      </c>
    </row>
    <row r="214" spans="1:91" x14ac:dyDescent="0.35">
      <c r="B214" t="s">
        <v>80</v>
      </c>
      <c r="C214" t="s">
        <v>79</v>
      </c>
      <c r="D214" t="s">
        <v>78</v>
      </c>
      <c r="E214" t="s">
        <v>77</v>
      </c>
      <c r="F214" t="s">
        <v>76</v>
      </c>
      <c r="G214" t="s">
        <v>80</v>
      </c>
      <c r="H214" t="s">
        <v>79</v>
      </c>
      <c r="I214" t="s">
        <v>78</v>
      </c>
      <c r="J214" t="s">
        <v>77</v>
      </c>
      <c r="K214" t="s">
        <v>76</v>
      </c>
      <c r="S214" t="s">
        <v>80</v>
      </c>
      <c r="T214" t="s">
        <v>79</v>
      </c>
      <c r="U214" t="s">
        <v>78</v>
      </c>
      <c r="V214" t="s">
        <v>77</v>
      </c>
      <c r="W214" t="s">
        <v>76</v>
      </c>
      <c r="X214" t="s">
        <v>80</v>
      </c>
      <c r="Y214" t="s">
        <v>79</v>
      </c>
      <c r="Z214" t="s">
        <v>78</v>
      </c>
      <c r="AA214" t="s">
        <v>77</v>
      </c>
      <c r="AB214" t="s">
        <v>76</v>
      </c>
      <c r="AJ214" t="s">
        <v>80</v>
      </c>
      <c r="AK214" t="s">
        <v>79</v>
      </c>
      <c r="AL214" t="s">
        <v>78</v>
      </c>
      <c r="AM214" t="s">
        <v>77</v>
      </c>
      <c r="AN214" t="s">
        <v>76</v>
      </c>
      <c r="AO214" t="s">
        <v>80</v>
      </c>
      <c r="AP214" t="s">
        <v>79</v>
      </c>
      <c r="AQ214" t="s">
        <v>78</v>
      </c>
      <c r="AR214" t="s">
        <v>77</v>
      </c>
      <c r="AS214" t="s">
        <v>76</v>
      </c>
      <c r="BA214" t="s">
        <v>80</v>
      </c>
      <c r="BB214" t="s">
        <v>79</v>
      </c>
      <c r="BC214" t="s">
        <v>78</v>
      </c>
      <c r="BD214" t="s">
        <v>77</v>
      </c>
      <c r="BE214" t="s">
        <v>76</v>
      </c>
      <c r="BF214" t="s">
        <v>80</v>
      </c>
      <c r="BG214" t="s">
        <v>79</v>
      </c>
      <c r="BH214" t="s">
        <v>78</v>
      </c>
      <c r="BI214" t="s">
        <v>77</v>
      </c>
      <c r="BJ214" t="s">
        <v>76</v>
      </c>
      <c r="BR214" t="s">
        <v>80</v>
      </c>
      <c r="BS214" t="s">
        <v>79</v>
      </c>
      <c r="BT214" t="s">
        <v>78</v>
      </c>
      <c r="BU214" t="s">
        <v>77</v>
      </c>
      <c r="BV214" t="s">
        <v>76</v>
      </c>
      <c r="BW214" t="s">
        <v>80</v>
      </c>
      <c r="BX214" t="s">
        <v>79</v>
      </c>
      <c r="BY214" t="s">
        <v>78</v>
      </c>
      <c r="BZ214" t="s">
        <v>77</v>
      </c>
      <c r="CA214" t="s">
        <v>76</v>
      </c>
      <c r="CH214" t="s">
        <v>62</v>
      </c>
      <c r="CI214" t="s">
        <v>64</v>
      </c>
      <c r="CJ214" t="s">
        <v>18</v>
      </c>
      <c r="CK214" t="s">
        <v>63</v>
      </c>
      <c r="CL214" t="s">
        <v>65</v>
      </c>
      <c r="CM214" t="s">
        <v>44</v>
      </c>
    </row>
    <row r="215" spans="1:91" x14ac:dyDescent="0.35">
      <c r="A215" t="s">
        <v>14</v>
      </c>
      <c r="B215">
        <v>333450447.35979998</v>
      </c>
      <c r="C215">
        <v>345499783.09969997</v>
      </c>
      <c r="D215">
        <v>360049186.28789997</v>
      </c>
      <c r="E215">
        <v>374270146.91159999</v>
      </c>
      <c r="F215">
        <v>386108239.30500001</v>
      </c>
      <c r="G215">
        <v>128.6397</v>
      </c>
      <c r="H215">
        <v>130.4786</v>
      </c>
      <c r="I215">
        <v>133.05779999999999</v>
      </c>
      <c r="J215">
        <v>135.5822</v>
      </c>
      <c r="K215">
        <v>137.58590000000001</v>
      </c>
      <c r="R215" t="s">
        <v>14</v>
      </c>
      <c r="S215">
        <v>333450447.35979998</v>
      </c>
      <c r="T215">
        <v>345499783.09969997</v>
      </c>
      <c r="U215">
        <v>360049186.28789997</v>
      </c>
      <c r="V215">
        <v>374270146.91159999</v>
      </c>
      <c r="W215">
        <v>386108239.30500001</v>
      </c>
      <c r="X215">
        <v>128.6397</v>
      </c>
      <c r="Y215">
        <v>130.4786</v>
      </c>
      <c r="Z215">
        <v>133.05779999999999</v>
      </c>
      <c r="AA215">
        <v>135.5822</v>
      </c>
      <c r="AB215">
        <v>137.58590000000001</v>
      </c>
      <c r="AI215" t="s">
        <v>14</v>
      </c>
      <c r="AJ215">
        <v>333450447.35979998</v>
      </c>
      <c r="AK215">
        <v>345499783.09969997</v>
      </c>
      <c r="AL215">
        <v>360049186.28789997</v>
      </c>
      <c r="AM215">
        <v>374270146.91159999</v>
      </c>
      <c r="AN215">
        <v>386108239.30500001</v>
      </c>
      <c r="AO215">
        <v>128.6397</v>
      </c>
      <c r="AP215">
        <v>130.4786</v>
      </c>
      <c r="AQ215">
        <v>133.05779999999999</v>
      </c>
      <c r="AR215">
        <v>135.5822</v>
      </c>
      <c r="AS215">
        <v>137.58590000000001</v>
      </c>
      <c r="AZ215" t="s">
        <v>14</v>
      </c>
      <c r="BA215">
        <v>333450447.35979998</v>
      </c>
      <c r="BB215">
        <v>345499783.09969997</v>
      </c>
      <c r="BC215">
        <v>360049186.28789997</v>
      </c>
      <c r="BD215">
        <v>374270146.91159999</v>
      </c>
      <c r="BE215">
        <v>386108239.30500001</v>
      </c>
      <c r="BF215">
        <v>128.6397</v>
      </c>
      <c r="BG215">
        <v>130.4786</v>
      </c>
      <c r="BH215">
        <v>133.05779999999999</v>
      </c>
      <c r="BI215">
        <v>135.5822</v>
      </c>
      <c r="BJ215">
        <v>137.58590000000001</v>
      </c>
      <c r="BQ215" t="s">
        <v>14</v>
      </c>
      <c r="BR215">
        <v>332020399.97109997</v>
      </c>
      <c r="BS215">
        <v>343569519.0765</v>
      </c>
      <c r="BT215">
        <v>357569730.10970002</v>
      </c>
      <c r="BU215">
        <v>371199175.52380002</v>
      </c>
      <c r="BV215">
        <v>382416169.4975</v>
      </c>
      <c r="BW215">
        <v>128.6397</v>
      </c>
      <c r="BX215">
        <v>130.4786</v>
      </c>
      <c r="BY215">
        <v>133.05779999999999</v>
      </c>
      <c r="BZ215">
        <v>135.5822</v>
      </c>
      <c r="CA215">
        <v>137.58590000000001</v>
      </c>
      <c r="CH215">
        <v>319207257.12237471</v>
      </c>
      <c r="CI215">
        <v>771224560.76256096</v>
      </c>
      <c r="CJ215">
        <v>1090431817.8849356</v>
      </c>
      <c r="CK215">
        <v>126.35590000000001</v>
      </c>
      <c r="CL215">
        <v>1317.47</v>
      </c>
      <c r="CM215">
        <v>350.4366</v>
      </c>
    </row>
    <row r="216" spans="1:91" x14ac:dyDescent="0.35">
      <c r="A216" t="s">
        <v>15</v>
      </c>
      <c r="B216">
        <v>274537109.6925</v>
      </c>
      <c r="C216">
        <v>279870070.85820001</v>
      </c>
      <c r="D216">
        <v>284687188.91509998</v>
      </c>
      <c r="E216">
        <v>288633885.2748</v>
      </c>
      <c r="F216">
        <v>303131141.4145</v>
      </c>
      <c r="G216">
        <v>349.60789999999997</v>
      </c>
      <c r="H216">
        <v>357.02789999999999</v>
      </c>
      <c r="I216">
        <v>363.57780000000002</v>
      </c>
      <c r="J216">
        <v>369.46350000000001</v>
      </c>
      <c r="K216">
        <v>388.38049999999998</v>
      </c>
      <c r="R216" t="s">
        <v>15</v>
      </c>
      <c r="S216">
        <v>274537109.6925</v>
      </c>
      <c r="T216">
        <v>279870070.85820001</v>
      </c>
      <c r="U216">
        <v>284687188.91509998</v>
      </c>
      <c r="V216">
        <v>288633885.2748</v>
      </c>
      <c r="W216">
        <v>303131141.4145</v>
      </c>
      <c r="X216">
        <v>349.60789999999997</v>
      </c>
      <c r="Y216">
        <v>357.02789999999999</v>
      </c>
      <c r="Z216">
        <v>363.57780000000002</v>
      </c>
      <c r="AA216">
        <v>369.46350000000001</v>
      </c>
      <c r="AB216">
        <v>388.38049999999998</v>
      </c>
      <c r="AI216" t="s">
        <v>15</v>
      </c>
      <c r="AJ216">
        <v>274537109.6925</v>
      </c>
      <c r="AK216">
        <v>279870070.85820001</v>
      </c>
      <c r="AL216">
        <v>284687188.91509998</v>
      </c>
      <c r="AM216">
        <v>288633885.2748</v>
      </c>
      <c r="AN216">
        <v>303131141.4145</v>
      </c>
      <c r="AO216">
        <v>349.60789999999997</v>
      </c>
      <c r="AP216">
        <v>357.02789999999999</v>
      </c>
      <c r="AQ216">
        <v>363.57780000000002</v>
      </c>
      <c r="AR216">
        <v>369.46350000000001</v>
      </c>
      <c r="AS216">
        <v>388.38049999999998</v>
      </c>
      <c r="AZ216" t="s">
        <v>15</v>
      </c>
      <c r="BA216">
        <v>274537109.6925</v>
      </c>
      <c r="BB216">
        <v>279870070.85820001</v>
      </c>
      <c r="BC216">
        <v>284687188.91509998</v>
      </c>
      <c r="BD216">
        <v>288633885.2748</v>
      </c>
      <c r="BE216">
        <v>303131141.4145</v>
      </c>
      <c r="BF216">
        <v>349.60789999999997</v>
      </c>
      <c r="BG216">
        <v>357.02789999999999</v>
      </c>
      <c r="BH216">
        <v>363.57780000000002</v>
      </c>
      <c r="BI216">
        <v>369.46350000000001</v>
      </c>
      <c r="BJ216">
        <v>388.38049999999998</v>
      </c>
      <c r="BQ216" t="s">
        <v>15</v>
      </c>
      <c r="BR216">
        <v>273495627.55330002</v>
      </c>
      <c r="BS216">
        <v>278505702.23369998</v>
      </c>
      <c r="BT216">
        <v>282990707.1591</v>
      </c>
      <c r="BU216">
        <v>286598755.7184</v>
      </c>
      <c r="BV216">
        <v>300666359.33389997</v>
      </c>
      <c r="BW216">
        <v>349.60789999999997</v>
      </c>
      <c r="BX216">
        <v>357.02789999999999</v>
      </c>
      <c r="BY216">
        <v>363.57780000000002</v>
      </c>
      <c r="BZ216">
        <v>369.46350000000001</v>
      </c>
      <c r="CA216">
        <v>388.38049999999998</v>
      </c>
      <c r="CH216">
        <v>269227432.64355201</v>
      </c>
      <c r="CI216">
        <v>91812439.565441057</v>
      </c>
      <c r="CJ216">
        <v>361039872.20899308</v>
      </c>
      <c r="CK216">
        <v>342.84519999999998</v>
      </c>
      <c r="CL216">
        <v>1341.7379000000001</v>
      </c>
      <c r="CM216">
        <v>422.91090000000003</v>
      </c>
    </row>
    <row r="217" spans="1:91" x14ac:dyDescent="0.35">
      <c r="A217" t="s">
        <v>7</v>
      </c>
      <c r="B217">
        <v>60573725.917599998</v>
      </c>
      <c r="C217">
        <v>65368210.9811</v>
      </c>
      <c r="D217">
        <v>69831002.356600001</v>
      </c>
      <c r="E217">
        <v>72134294.030699998</v>
      </c>
      <c r="F217">
        <v>73526575.681500003</v>
      </c>
      <c r="G217">
        <v>325.95260000000002</v>
      </c>
      <c r="H217">
        <v>345.83920000000001</v>
      </c>
      <c r="I217">
        <v>362.76060000000001</v>
      </c>
      <c r="J217">
        <v>371.94749999999999</v>
      </c>
      <c r="K217">
        <v>379.09100000000001</v>
      </c>
      <c r="R217" t="s">
        <v>7</v>
      </c>
      <c r="S217">
        <v>60573725.917599998</v>
      </c>
      <c r="T217">
        <v>65368210.9811</v>
      </c>
      <c r="U217">
        <v>69831002.356600001</v>
      </c>
      <c r="V217">
        <v>72134294.030699998</v>
      </c>
      <c r="W217">
        <v>73526575.681500003</v>
      </c>
      <c r="X217">
        <v>325.95260000000002</v>
      </c>
      <c r="Y217">
        <v>345.83920000000001</v>
      </c>
      <c r="Z217">
        <v>362.76060000000001</v>
      </c>
      <c r="AA217">
        <v>371.94749999999999</v>
      </c>
      <c r="AB217">
        <v>379.09100000000001</v>
      </c>
      <c r="AI217" t="s">
        <v>7</v>
      </c>
      <c r="AJ217">
        <v>60573725.917599998</v>
      </c>
      <c r="AK217">
        <v>65368210.9811</v>
      </c>
      <c r="AL217">
        <v>69831002.356600001</v>
      </c>
      <c r="AM217">
        <v>72134294.030699998</v>
      </c>
      <c r="AN217">
        <v>73526575.681500003</v>
      </c>
      <c r="AO217">
        <v>325.95260000000002</v>
      </c>
      <c r="AP217">
        <v>345.83920000000001</v>
      </c>
      <c r="AQ217">
        <v>362.76060000000001</v>
      </c>
      <c r="AR217">
        <v>371.94749999999999</v>
      </c>
      <c r="AS217">
        <v>379.09100000000001</v>
      </c>
      <c r="AZ217" t="s">
        <v>7</v>
      </c>
      <c r="BA217">
        <v>60573725.917599998</v>
      </c>
      <c r="BB217">
        <v>65368210.9811</v>
      </c>
      <c r="BC217">
        <v>69831002.356600001</v>
      </c>
      <c r="BD217">
        <v>72134294.030699998</v>
      </c>
      <c r="BE217">
        <v>73526575.681500003</v>
      </c>
      <c r="BF217">
        <v>325.95260000000002</v>
      </c>
      <c r="BG217">
        <v>345.83920000000001</v>
      </c>
      <c r="BH217">
        <v>362.76060000000001</v>
      </c>
      <c r="BI217">
        <v>371.94749999999999</v>
      </c>
      <c r="BJ217">
        <v>379.09100000000001</v>
      </c>
      <c r="BQ217" t="s">
        <v>7</v>
      </c>
      <c r="BR217">
        <v>60335476.139200002</v>
      </c>
      <c r="BS217">
        <v>65043928.868500002</v>
      </c>
      <c r="BT217">
        <v>69415260.083800003</v>
      </c>
      <c r="BU217">
        <v>71630008.128199995</v>
      </c>
      <c r="BV217">
        <v>72932532.561800003</v>
      </c>
      <c r="BW217">
        <v>325.95260000000002</v>
      </c>
      <c r="BX217">
        <v>345.83920000000001</v>
      </c>
      <c r="BY217">
        <v>362.76060000000001</v>
      </c>
      <c r="BZ217">
        <v>371.94749999999999</v>
      </c>
      <c r="CA217">
        <v>379.09100000000001</v>
      </c>
      <c r="CH217">
        <v>59093174.737117857</v>
      </c>
      <c r="CI217">
        <v>46580070.443865098</v>
      </c>
      <c r="CJ217">
        <v>105673245.18098295</v>
      </c>
      <c r="CK217">
        <v>319.21719999999999</v>
      </c>
      <c r="CL217">
        <v>1926.1494</v>
      </c>
      <c r="CM217">
        <v>504.88409999999999</v>
      </c>
    </row>
    <row r="218" spans="1:91" x14ac:dyDescent="0.35">
      <c r="A218" t="s">
        <v>17</v>
      </c>
      <c r="B218">
        <v>14562317.6601</v>
      </c>
      <c r="C218">
        <v>18995607.187899999</v>
      </c>
      <c r="D218">
        <v>25127356.0561</v>
      </c>
      <c r="E218">
        <v>27350785.796100002</v>
      </c>
      <c r="F218">
        <v>30136135.535799999</v>
      </c>
      <c r="G218">
        <v>10753.3608</v>
      </c>
      <c r="H218">
        <v>12009.5995</v>
      </c>
      <c r="I218">
        <v>13157.180399999999</v>
      </c>
      <c r="J218">
        <v>13775.078100000001</v>
      </c>
      <c r="K218">
        <v>14365.9133</v>
      </c>
      <c r="R218" t="s">
        <v>17</v>
      </c>
      <c r="S218">
        <v>14562317.6601</v>
      </c>
      <c r="T218">
        <v>18995607.187899999</v>
      </c>
      <c r="U218">
        <v>25127356.0561</v>
      </c>
      <c r="V218">
        <v>27350785.796100002</v>
      </c>
      <c r="W218">
        <v>30136135.535799999</v>
      </c>
      <c r="X218">
        <v>10753.3608</v>
      </c>
      <c r="Y218">
        <v>12009.5995</v>
      </c>
      <c r="Z218">
        <v>13157.180399999999</v>
      </c>
      <c r="AA218">
        <v>13775.078100000001</v>
      </c>
      <c r="AB218">
        <v>14365.9133</v>
      </c>
      <c r="AI218" t="s">
        <v>17</v>
      </c>
      <c r="AJ218">
        <v>14562317.6601</v>
      </c>
      <c r="AK218">
        <v>18995607.187899999</v>
      </c>
      <c r="AL218">
        <v>25127356.0561</v>
      </c>
      <c r="AM218">
        <v>27350785.796100002</v>
      </c>
      <c r="AN218">
        <v>30136135.535799999</v>
      </c>
      <c r="AO218">
        <v>10753.3608</v>
      </c>
      <c r="AP218">
        <v>12009.5995</v>
      </c>
      <c r="AQ218">
        <v>13157.180399999999</v>
      </c>
      <c r="AR218">
        <v>13775.078100000001</v>
      </c>
      <c r="AS218">
        <v>14365.9133</v>
      </c>
      <c r="AZ218" t="s">
        <v>17</v>
      </c>
      <c r="BA218">
        <v>14562317.6601</v>
      </c>
      <c r="BB218">
        <v>18995607.187899999</v>
      </c>
      <c r="BC218">
        <v>25127356.0561</v>
      </c>
      <c r="BD218">
        <v>27350785.796100002</v>
      </c>
      <c r="BE218">
        <v>30136135.535799999</v>
      </c>
      <c r="BF218">
        <v>10753.3608</v>
      </c>
      <c r="BG218">
        <v>12009.5995</v>
      </c>
      <c r="BH218">
        <v>13157.180399999999</v>
      </c>
      <c r="BI218">
        <v>13775.078100000001</v>
      </c>
      <c r="BJ218">
        <v>14365.9133</v>
      </c>
      <c r="BQ218" t="s">
        <v>17</v>
      </c>
      <c r="BR218">
        <v>13753103.989700001</v>
      </c>
      <c r="BS218">
        <v>17790672.387899999</v>
      </c>
      <c r="BT218">
        <v>23469602.819200002</v>
      </c>
      <c r="BU218">
        <v>25243989.895100001</v>
      </c>
      <c r="BV218">
        <v>27509951.176600002</v>
      </c>
      <c r="BW218">
        <v>10753.3608</v>
      </c>
      <c r="BX218">
        <v>12009.5995</v>
      </c>
      <c r="BY218">
        <v>13157.180399999999</v>
      </c>
      <c r="BZ218">
        <v>13775.078100000001</v>
      </c>
      <c r="CA218">
        <v>14365.9133</v>
      </c>
      <c r="CH218">
        <v>11496191.336866004</v>
      </c>
      <c r="CI218">
        <v>291235898.27985716</v>
      </c>
      <c r="CJ218">
        <v>302732089.61672318</v>
      </c>
      <c r="CK218">
        <v>9851.0637000000006</v>
      </c>
      <c r="CL218">
        <v>15012.1597</v>
      </c>
      <c r="CM218">
        <v>14719.312</v>
      </c>
    </row>
    <row r="219" spans="1:91" x14ac:dyDescent="0.35">
      <c r="A219" t="s">
        <v>18</v>
      </c>
      <c r="B219">
        <v>683123600.63</v>
      </c>
      <c r="C219">
        <v>709733672.12699997</v>
      </c>
      <c r="D219">
        <v>739694733.61570001</v>
      </c>
      <c r="E219">
        <v>762389112.01339996</v>
      </c>
      <c r="F219">
        <v>792902091.93690002</v>
      </c>
      <c r="G219">
        <v>191.64169999999999</v>
      </c>
      <c r="H219">
        <v>195.92779999999999</v>
      </c>
      <c r="I219">
        <v>200.8193</v>
      </c>
      <c r="J219">
        <v>203.97749999999999</v>
      </c>
      <c r="K219">
        <v>209.60390000000001</v>
      </c>
      <c r="R219" t="s">
        <v>18</v>
      </c>
      <c r="S219">
        <v>683123600.63</v>
      </c>
      <c r="T219">
        <v>709733672.12699997</v>
      </c>
      <c r="U219">
        <v>739694733.61570001</v>
      </c>
      <c r="V219">
        <v>762389112.01339996</v>
      </c>
      <c r="W219">
        <v>792902091.93690002</v>
      </c>
      <c r="X219">
        <v>191.64169999999999</v>
      </c>
      <c r="Y219">
        <v>195.92779999999999</v>
      </c>
      <c r="Z219">
        <v>200.8193</v>
      </c>
      <c r="AA219">
        <v>203.97749999999999</v>
      </c>
      <c r="AB219">
        <v>209.60390000000001</v>
      </c>
      <c r="AI219" t="s">
        <v>18</v>
      </c>
      <c r="AJ219">
        <v>683123600.63</v>
      </c>
      <c r="AK219">
        <v>709733672.12699997</v>
      </c>
      <c r="AL219">
        <v>739694733.61570001</v>
      </c>
      <c r="AM219">
        <v>762389112.01339996</v>
      </c>
      <c r="AN219">
        <v>792902091.93690002</v>
      </c>
      <c r="AO219">
        <v>191.64169999999999</v>
      </c>
      <c r="AP219">
        <v>195.92779999999999</v>
      </c>
      <c r="AQ219">
        <v>200.8193</v>
      </c>
      <c r="AR219">
        <v>203.97749999999999</v>
      </c>
      <c r="AS219">
        <v>209.60390000000001</v>
      </c>
      <c r="AZ219" t="s">
        <v>18</v>
      </c>
      <c r="BA219">
        <v>683123600.63</v>
      </c>
      <c r="BB219">
        <v>709733672.12699997</v>
      </c>
      <c r="BC219">
        <v>739694733.61570001</v>
      </c>
      <c r="BD219">
        <v>762389112.01339996</v>
      </c>
      <c r="BE219">
        <v>792902091.93690002</v>
      </c>
      <c r="BF219">
        <v>191.64169999999999</v>
      </c>
      <c r="BG219">
        <v>195.92779999999999</v>
      </c>
      <c r="BH219">
        <v>200.8193</v>
      </c>
      <c r="BI219">
        <v>203.97749999999999</v>
      </c>
      <c r="BJ219">
        <v>209.60390000000001</v>
      </c>
      <c r="BQ219" t="s">
        <v>18</v>
      </c>
      <c r="BR219">
        <v>679604607.65330005</v>
      </c>
      <c r="BS219">
        <v>704909822.56659997</v>
      </c>
      <c r="BT219">
        <v>733445300.17180002</v>
      </c>
      <c r="BU219">
        <v>754671929.26549995</v>
      </c>
      <c r="BV219">
        <v>783525012.56980002</v>
      </c>
      <c r="BW219">
        <v>191.45480000000001</v>
      </c>
      <c r="BX219">
        <v>195.6576</v>
      </c>
      <c r="BY219">
        <v>200.4599</v>
      </c>
      <c r="BZ219">
        <v>203.5283</v>
      </c>
      <c r="CA219">
        <v>209.05549999999999</v>
      </c>
      <c r="CH219">
        <v>659024055.83991063</v>
      </c>
      <c r="CI219">
        <v>1200852969.0517242</v>
      </c>
      <c r="CJ219">
        <v>1859877024.8916349</v>
      </c>
      <c r="CK219">
        <v>188.4102</v>
      </c>
      <c r="CL219">
        <v>1721.9147</v>
      </c>
      <c r="CM219">
        <v>443.33359999999999</v>
      </c>
    </row>
    <row r="221" spans="1:91" x14ac:dyDescent="0.35">
      <c r="B221" t="s">
        <v>61</v>
      </c>
      <c r="S221" t="s">
        <v>61</v>
      </c>
      <c r="AJ221" t="s">
        <v>61</v>
      </c>
      <c r="BA221" t="s">
        <v>61</v>
      </c>
      <c r="BR221" t="s">
        <v>61</v>
      </c>
      <c r="CH221" t="s">
        <v>61</v>
      </c>
    </row>
    <row r="222" spans="1:91" x14ac:dyDescent="0.35">
      <c r="B222" t="s">
        <v>66</v>
      </c>
      <c r="G222" t="s">
        <v>67</v>
      </c>
      <c r="S222" t="s">
        <v>66</v>
      </c>
      <c r="X222" t="s">
        <v>67</v>
      </c>
      <c r="AJ222" t="s">
        <v>66</v>
      </c>
      <c r="AO222" t="s">
        <v>67</v>
      </c>
      <c r="BA222" t="s">
        <v>66</v>
      </c>
      <c r="BF222" t="s">
        <v>67</v>
      </c>
      <c r="BR222" t="s">
        <v>66</v>
      </c>
      <c r="BW222" t="s">
        <v>67</v>
      </c>
      <c r="CH222" t="s">
        <v>38</v>
      </c>
    </row>
    <row r="223" spans="1:91" x14ac:dyDescent="0.35">
      <c r="B223" t="s">
        <v>80</v>
      </c>
      <c r="C223" t="s">
        <v>79</v>
      </c>
      <c r="D223" t="s">
        <v>78</v>
      </c>
      <c r="E223" t="s">
        <v>77</v>
      </c>
      <c r="F223" t="s">
        <v>76</v>
      </c>
      <c r="G223" t="s">
        <v>80</v>
      </c>
      <c r="H223" t="s">
        <v>79</v>
      </c>
      <c r="I223" t="s">
        <v>78</v>
      </c>
      <c r="J223" t="s">
        <v>77</v>
      </c>
      <c r="K223" t="s">
        <v>76</v>
      </c>
      <c r="S223" t="s">
        <v>80</v>
      </c>
      <c r="T223" t="s">
        <v>79</v>
      </c>
      <c r="U223" t="s">
        <v>78</v>
      </c>
      <c r="V223" t="s">
        <v>77</v>
      </c>
      <c r="W223" t="s">
        <v>76</v>
      </c>
      <c r="X223" t="s">
        <v>80</v>
      </c>
      <c r="Y223" t="s">
        <v>79</v>
      </c>
      <c r="Z223" t="s">
        <v>78</v>
      </c>
      <c r="AA223" t="s">
        <v>77</v>
      </c>
      <c r="AB223" t="s">
        <v>76</v>
      </c>
      <c r="AJ223" t="s">
        <v>80</v>
      </c>
      <c r="AK223" t="s">
        <v>79</v>
      </c>
      <c r="AL223" t="s">
        <v>78</v>
      </c>
      <c r="AM223" t="s">
        <v>77</v>
      </c>
      <c r="AN223" t="s">
        <v>76</v>
      </c>
      <c r="AO223" t="s">
        <v>80</v>
      </c>
      <c r="AP223" t="s">
        <v>79</v>
      </c>
      <c r="AQ223" t="s">
        <v>78</v>
      </c>
      <c r="AR223" t="s">
        <v>77</v>
      </c>
      <c r="AS223" t="s">
        <v>76</v>
      </c>
      <c r="BA223" t="s">
        <v>80</v>
      </c>
      <c r="BB223" t="s">
        <v>79</v>
      </c>
      <c r="BC223" t="s">
        <v>78</v>
      </c>
      <c r="BD223" t="s">
        <v>77</v>
      </c>
      <c r="BE223" t="s">
        <v>76</v>
      </c>
      <c r="BF223" t="s">
        <v>80</v>
      </c>
      <c r="BG223" t="s">
        <v>79</v>
      </c>
      <c r="BH223" t="s">
        <v>78</v>
      </c>
      <c r="BI223" t="s">
        <v>77</v>
      </c>
      <c r="BJ223" t="s">
        <v>76</v>
      </c>
      <c r="BR223" t="s">
        <v>80</v>
      </c>
      <c r="BS223" t="s">
        <v>79</v>
      </c>
      <c r="BT223" t="s">
        <v>78</v>
      </c>
      <c r="BU223" t="s">
        <v>77</v>
      </c>
      <c r="BV223" t="s">
        <v>76</v>
      </c>
      <c r="BW223" t="s">
        <v>80</v>
      </c>
      <c r="BX223" t="s">
        <v>79</v>
      </c>
      <c r="BY223" t="s">
        <v>78</v>
      </c>
      <c r="BZ223" t="s">
        <v>77</v>
      </c>
      <c r="CA223" t="s">
        <v>76</v>
      </c>
      <c r="CH223" t="s">
        <v>66</v>
      </c>
      <c r="CI223" t="s">
        <v>68</v>
      </c>
      <c r="CJ223" t="s">
        <v>18</v>
      </c>
      <c r="CK223" t="s">
        <v>67</v>
      </c>
      <c r="CL223" t="s">
        <v>69</v>
      </c>
      <c r="CM223" t="s">
        <v>44</v>
      </c>
    </row>
    <row r="224" spans="1:91" x14ac:dyDescent="0.35">
      <c r="A224" t="s">
        <v>14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R224" t="s">
        <v>14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I224" t="s">
        <v>14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Z224" t="s">
        <v>14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Q224" t="s">
        <v>14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</row>
    <row r="225" spans="1:91" x14ac:dyDescent="0.35">
      <c r="A225" t="s">
        <v>15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R225" t="s">
        <v>15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I225" t="s">
        <v>15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Z225" t="s">
        <v>15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Q225" t="s">
        <v>15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</row>
    <row r="226" spans="1:91" x14ac:dyDescent="0.35">
      <c r="A226" t="s">
        <v>7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R226" t="s">
        <v>7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I226" t="s">
        <v>7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Z226" t="s">
        <v>7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Q226" t="s">
        <v>7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</row>
    <row r="227" spans="1:91" x14ac:dyDescent="0.35">
      <c r="A227" t="s">
        <v>17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R227" t="s">
        <v>17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I227" t="s">
        <v>17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Z227" t="s">
        <v>17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Q227" t="s">
        <v>17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</row>
    <row r="228" spans="1:91" x14ac:dyDescent="0.35">
      <c r="A228" t="s">
        <v>18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R228" t="s">
        <v>18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I228" t="s">
        <v>18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Z228" t="s">
        <v>18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Q228" t="s">
        <v>18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</row>
    <row r="230" spans="1:91" x14ac:dyDescent="0.35">
      <c r="B230" t="s">
        <v>61</v>
      </c>
      <c r="S230" t="s">
        <v>61</v>
      </c>
      <c r="AJ230" t="s">
        <v>61</v>
      </c>
      <c r="BA230" t="s">
        <v>61</v>
      </c>
      <c r="BR230" t="s">
        <v>61</v>
      </c>
      <c r="CH230" t="s">
        <v>61</v>
      </c>
    </row>
    <row r="231" spans="1:91" x14ac:dyDescent="0.35">
      <c r="B231" t="s">
        <v>70</v>
      </c>
      <c r="G231" t="s">
        <v>71</v>
      </c>
      <c r="S231" t="s">
        <v>70</v>
      </c>
      <c r="X231" t="s">
        <v>71</v>
      </c>
      <c r="AJ231" t="s">
        <v>70</v>
      </c>
      <c r="AO231" t="s">
        <v>71</v>
      </c>
      <c r="BA231" t="s">
        <v>70</v>
      </c>
      <c r="BF231" t="s">
        <v>71</v>
      </c>
      <c r="BR231" t="s">
        <v>70</v>
      </c>
      <c r="BW231" t="s">
        <v>71</v>
      </c>
      <c r="CH231" t="s">
        <v>38</v>
      </c>
    </row>
    <row r="232" spans="1:91" x14ac:dyDescent="0.35">
      <c r="B232" t="s">
        <v>80</v>
      </c>
      <c r="C232" t="s">
        <v>79</v>
      </c>
      <c r="D232" t="s">
        <v>78</v>
      </c>
      <c r="E232" t="s">
        <v>77</v>
      </c>
      <c r="F232" t="s">
        <v>76</v>
      </c>
      <c r="G232" t="s">
        <v>80</v>
      </c>
      <c r="H232" t="s">
        <v>79</v>
      </c>
      <c r="I232" t="s">
        <v>78</v>
      </c>
      <c r="J232" t="s">
        <v>77</v>
      </c>
      <c r="K232" t="s">
        <v>76</v>
      </c>
      <c r="S232" t="s">
        <v>80</v>
      </c>
      <c r="T232" t="s">
        <v>79</v>
      </c>
      <c r="U232" t="s">
        <v>78</v>
      </c>
      <c r="V232" t="s">
        <v>77</v>
      </c>
      <c r="W232" t="s">
        <v>76</v>
      </c>
      <c r="X232" t="s">
        <v>80</v>
      </c>
      <c r="Y232" t="s">
        <v>79</v>
      </c>
      <c r="Z232" t="s">
        <v>78</v>
      </c>
      <c r="AA232" t="s">
        <v>77</v>
      </c>
      <c r="AB232" t="s">
        <v>76</v>
      </c>
      <c r="AJ232" t="s">
        <v>80</v>
      </c>
      <c r="AK232" t="s">
        <v>79</v>
      </c>
      <c r="AL232" t="s">
        <v>78</v>
      </c>
      <c r="AM232" t="s">
        <v>77</v>
      </c>
      <c r="AN232" t="s">
        <v>76</v>
      </c>
      <c r="AO232" t="s">
        <v>80</v>
      </c>
      <c r="AP232" t="s">
        <v>79</v>
      </c>
      <c r="AQ232" t="s">
        <v>78</v>
      </c>
      <c r="AR232" t="s">
        <v>77</v>
      </c>
      <c r="AS232" t="s">
        <v>76</v>
      </c>
      <c r="BA232" t="s">
        <v>80</v>
      </c>
      <c r="BB232" t="s">
        <v>79</v>
      </c>
      <c r="BC232" t="s">
        <v>78</v>
      </c>
      <c r="BD232" t="s">
        <v>77</v>
      </c>
      <c r="BE232" t="s">
        <v>76</v>
      </c>
      <c r="BF232" t="s">
        <v>80</v>
      </c>
      <c r="BG232" t="s">
        <v>79</v>
      </c>
      <c r="BH232" t="s">
        <v>78</v>
      </c>
      <c r="BI232" t="s">
        <v>77</v>
      </c>
      <c r="BJ232" t="s">
        <v>76</v>
      </c>
      <c r="BR232" t="s">
        <v>80</v>
      </c>
      <c r="BS232" t="s">
        <v>79</v>
      </c>
      <c r="BT232" t="s">
        <v>78</v>
      </c>
      <c r="BU232" t="s">
        <v>77</v>
      </c>
      <c r="BV232" t="s">
        <v>76</v>
      </c>
      <c r="BW232" t="s">
        <v>80</v>
      </c>
      <c r="BX232" t="s">
        <v>79</v>
      </c>
      <c r="BY232" t="s">
        <v>78</v>
      </c>
      <c r="BZ232" t="s">
        <v>77</v>
      </c>
      <c r="CA232" t="s">
        <v>76</v>
      </c>
      <c r="CH232" t="s">
        <v>70</v>
      </c>
      <c r="CI232" t="s">
        <v>72</v>
      </c>
      <c r="CJ232" t="s">
        <v>18</v>
      </c>
      <c r="CK232" t="s">
        <v>71</v>
      </c>
      <c r="CL232" t="s">
        <v>73</v>
      </c>
      <c r="CM232" t="s">
        <v>44</v>
      </c>
    </row>
    <row r="233" spans="1:91" x14ac:dyDescent="0.35">
      <c r="A233" t="s">
        <v>14</v>
      </c>
      <c r="B233">
        <v>333450447.35979998</v>
      </c>
      <c r="C233">
        <v>345499783.09969997</v>
      </c>
      <c r="D233">
        <v>360049186.28789997</v>
      </c>
      <c r="E233">
        <v>374270146.91159999</v>
      </c>
      <c r="F233">
        <v>386108239.30500001</v>
      </c>
      <c r="G233">
        <v>128.6397</v>
      </c>
      <c r="H233">
        <v>130.4786</v>
      </c>
      <c r="I233">
        <v>133.05779999999999</v>
      </c>
      <c r="J233">
        <v>135.5822</v>
      </c>
      <c r="K233">
        <v>137.58590000000001</v>
      </c>
      <c r="R233" t="s">
        <v>14</v>
      </c>
      <c r="S233">
        <v>333450447.35979998</v>
      </c>
      <c r="T233">
        <v>345499783.09969997</v>
      </c>
      <c r="U233">
        <v>360049186.28789997</v>
      </c>
      <c r="V233">
        <v>374270146.91159999</v>
      </c>
      <c r="W233">
        <v>386108239.30500001</v>
      </c>
      <c r="X233">
        <v>128.6397</v>
      </c>
      <c r="Y233">
        <v>130.4786</v>
      </c>
      <c r="Z233">
        <v>133.05779999999999</v>
      </c>
      <c r="AA233">
        <v>135.5822</v>
      </c>
      <c r="AB233">
        <v>137.58590000000001</v>
      </c>
      <c r="AI233" t="s">
        <v>14</v>
      </c>
      <c r="AJ233">
        <v>333450447.35979998</v>
      </c>
      <c r="AK233">
        <v>345499783.09969997</v>
      </c>
      <c r="AL233">
        <v>360049186.28789997</v>
      </c>
      <c r="AM233">
        <v>374270146.91159999</v>
      </c>
      <c r="AN233">
        <v>386108239.30500001</v>
      </c>
      <c r="AO233">
        <v>128.6397</v>
      </c>
      <c r="AP233">
        <v>130.4786</v>
      </c>
      <c r="AQ233">
        <v>133.05779999999999</v>
      </c>
      <c r="AR233">
        <v>135.5822</v>
      </c>
      <c r="AS233">
        <v>137.58590000000001</v>
      </c>
      <c r="AZ233" t="s">
        <v>14</v>
      </c>
      <c r="BA233">
        <v>333450447.35979998</v>
      </c>
      <c r="BB233">
        <v>345499783.09969997</v>
      </c>
      <c r="BC233">
        <v>360049186.28789997</v>
      </c>
      <c r="BD233">
        <v>374270146.91159999</v>
      </c>
      <c r="BE233">
        <v>386108239.30500001</v>
      </c>
      <c r="BF233">
        <v>128.6397</v>
      </c>
      <c r="BG233">
        <v>130.4786</v>
      </c>
      <c r="BH233">
        <v>133.05779999999999</v>
      </c>
      <c r="BI233">
        <v>135.5822</v>
      </c>
      <c r="BJ233">
        <v>137.58590000000001</v>
      </c>
      <c r="BQ233" t="s">
        <v>14</v>
      </c>
      <c r="BR233">
        <v>332020399.97109997</v>
      </c>
      <c r="BS233">
        <v>343569519.0765</v>
      </c>
      <c r="BT233">
        <v>357569730.10970002</v>
      </c>
      <c r="BU233">
        <v>371199175.52380002</v>
      </c>
      <c r="BV233">
        <v>382416169.4975</v>
      </c>
      <c r="BW233">
        <v>128.6397</v>
      </c>
      <c r="BX233">
        <v>130.4786</v>
      </c>
      <c r="BY233">
        <v>133.05779999999999</v>
      </c>
      <c r="BZ233">
        <v>135.5822</v>
      </c>
      <c r="CA233">
        <v>137.58590000000001</v>
      </c>
      <c r="CH233">
        <v>319207257.12237471</v>
      </c>
      <c r="CI233">
        <v>771224560.76256096</v>
      </c>
      <c r="CJ233">
        <v>1090431817.8849356</v>
      </c>
      <c r="CK233">
        <v>126.35590000000001</v>
      </c>
      <c r="CL233">
        <v>1317.47</v>
      </c>
      <c r="CM233">
        <v>350.4366</v>
      </c>
    </row>
    <row r="234" spans="1:91" x14ac:dyDescent="0.35">
      <c r="A234" t="s">
        <v>15</v>
      </c>
      <c r="B234">
        <v>274537109.6925</v>
      </c>
      <c r="C234">
        <v>279870070.85820001</v>
      </c>
      <c r="D234">
        <v>284687188.91509998</v>
      </c>
      <c r="E234">
        <v>288633885.2748</v>
      </c>
      <c r="F234">
        <v>303131141.4145</v>
      </c>
      <c r="G234">
        <v>349.60789999999997</v>
      </c>
      <c r="H234">
        <v>357.02789999999999</v>
      </c>
      <c r="I234">
        <v>363.57780000000002</v>
      </c>
      <c r="J234">
        <v>369.46350000000001</v>
      </c>
      <c r="K234">
        <v>388.38049999999998</v>
      </c>
      <c r="R234" t="s">
        <v>15</v>
      </c>
      <c r="S234">
        <v>274537109.6925</v>
      </c>
      <c r="T234">
        <v>279870070.85820001</v>
      </c>
      <c r="U234">
        <v>284687188.91509998</v>
      </c>
      <c r="V234">
        <v>288633885.2748</v>
      </c>
      <c r="W234">
        <v>303131141.4145</v>
      </c>
      <c r="X234">
        <v>349.60789999999997</v>
      </c>
      <c r="Y234">
        <v>357.02789999999999</v>
      </c>
      <c r="Z234">
        <v>363.57780000000002</v>
      </c>
      <c r="AA234">
        <v>369.46350000000001</v>
      </c>
      <c r="AB234">
        <v>388.38049999999998</v>
      </c>
      <c r="AI234" t="s">
        <v>15</v>
      </c>
      <c r="AJ234">
        <v>274537109.6925</v>
      </c>
      <c r="AK234">
        <v>279870070.85820001</v>
      </c>
      <c r="AL234">
        <v>284687188.91509998</v>
      </c>
      <c r="AM234">
        <v>288633885.2748</v>
      </c>
      <c r="AN234">
        <v>303131141.4145</v>
      </c>
      <c r="AO234">
        <v>349.60789999999997</v>
      </c>
      <c r="AP234">
        <v>357.02789999999999</v>
      </c>
      <c r="AQ234">
        <v>363.57780000000002</v>
      </c>
      <c r="AR234">
        <v>369.46350000000001</v>
      </c>
      <c r="AS234">
        <v>388.38049999999998</v>
      </c>
      <c r="AZ234" t="s">
        <v>15</v>
      </c>
      <c r="BA234">
        <v>274537109.6925</v>
      </c>
      <c r="BB234">
        <v>279870070.85820001</v>
      </c>
      <c r="BC234">
        <v>284687188.91509998</v>
      </c>
      <c r="BD234">
        <v>288633885.2748</v>
      </c>
      <c r="BE234">
        <v>303131141.4145</v>
      </c>
      <c r="BF234">
        <v>349.60789999999997</v>
      </c>
      <c r="BG234">
        <v>357.02789999999999</v>
      </c>
      <c r="BH234">
        <v>363.57780000000002</v>
      </c>
      <c r="BI234">
        <v>369.46350000000001</v>
      </c>
      <c r="BJ234">
        <v>388.38049999999998</v>
      </c>
      <c r="BQ234" t="s">
        <v>15</v>
      </c>
      <c r="BR234">
        <v>273495627.55330002</v>
      </c>
      <c r="BS234">
        <v>278505702.23369998</v>
      </c>
      <c r="BT234">
        <v>282990707.1591</v>
      </c>
      <c r="BU234">
        <v>286598755.7184</v>
      </c>
      <c r="BV234">
        <v>300666359.33389997</v>
      </c>
      <c r="BW234">
        <v>349.60789999999997</v>
      </c>
      <c r="BX234">
        <v>357.02789999999999</v>
      </c>
      <c r="BY234">
        <v>363.57780000000002</v>
      </c>
      <c r="BZ234">
        <v>369.46350000000001</v>
      </c>
      <c r="CA234">
        <v>388.38049999999998</v>
      </c>
      <c r="CH234">
        <v>269227432.64355201</v>
      </c>
      <c r="CI234">
        <v>91812439.565441057</v>
      </c>
      <c r="CJ234">
        <v>361039872.20899308</v>
      </c>
      <c r="CK234">
        <v>342.84519999999998</v>
      </c>
      <c r="CL234">
        <v>1341.7379000000001</v>
      </c>
      <c r="CM234">
        <v>422.91090000000003</v>
      </c>
    </row>
    <row r="235" spans="1:91" x14ac:dyDescent="0.35">
      <c r="A235" t="s">
        <v>7</v>
      </c>
      <c r="B235">
        <v>60573725.917599998</v>
      </c>
      <c r="C235">
        <v>65368210.9811</v>
      </c>
      <c r="D235">
        <v>69831002.356600001</v>
      </c>
      <c r="E235">
        <v>72134294.030699998</v>
      </c>
      <c r="F235">
        <v>73526575.681500003</v>
      </c>
      <c r="G235">
        <v>325.95260000000002</v>
      </c>
      <c r="H235">
        <v>345.83920000000001</v>
      </c>
      <c r="I235">
        <v>362.76060000000001</v>
      </c>
      <c r="J235">
        <v>371.94749999999999</v>
      </c>
      <c r="K235">
        <v>379.09100000000001</v>
      </c>
      <c r="R235" t="s">
        <v>7</v>
      </c>
      <c r="S235">
        <v>60573725.917599998</v>
      </c>
      <c r="T235">
        <v>65368210.9811</v>
      </c>
      <c r="U235">
        <v>69831002.356600001</v>
      </c>
      <c r="V235">
        <v>72134294.030699998</v>
      </c>
      <c r="W235">
        <v>73526575.681500003</v>
      </c>
      <c r="X235">
        <v>325.95260000000002</v>
      </c>
      <c r="Y235">
        <v>345.83920000000001</v>
      </c>
      <c r="Z235">
        <v>362.76060000000001</v>
      </c>
      <c r="AA235">
        <v>371.94749999999999</v>
      </c>
      <c r="AB235">
        <v>379.09100000000001</v>
      </c>
      <c r="AI235" t="s">
        <v>7</v>
      </c>
      <c r="AJ235">
        <v>60573725.917599998</v>
      </c>
      <c r="AK235">
        <v>65368210.9811</v>
      </c>
      <c r="AL235">
        <v>69831002.356600001</v>
      </c>
      <c r="AM235">
        <v>72134294.030699998</v>
      </c>
      <c r="AN235">
        <v>73526575.681500003</v>
      </c>
      <c r="AO235">
        <v>325.95260000000002</v>
      </c>
      <c r="AP235">
        <v>345.83920000000001</v>
      </c>
      <c r="AQ235">
        <v>362.76060000000001</v>
      </c>
      <c r="AR235">
        <v>371.94749999999999</v>
      </c>
      <c r="AS235">
        <v>379.09100000000001</v>
      </c>
      <c r="AZ235" t="s">
        <v>7</v>
      </c>
      <c r="BA235">
        <v>60573725.917599998</v>
      </c>
      <c r="BB235">
        <v>65368210.9811</v>
      </c>
      <c r="BC235">
        <v>69831002.356600001</v>
      </c>
      <c r="BD235">
        <v>72134294.030699998</v>
      </c>
      <c r="BE235">
        <v>73526575.681500003</v>
      </c>
      <c r="BF235">
        <v>325.95260000000002</v>
      </c>
      <c r="BG235">
        <v>345.83920000000001</v>
      </c>
      <c r="BH235">
        <v>362.76060000000001</v>
      </c>
      <c r="BI235">
        <v>371.94749999999999</v>
      </c>
      <c r="BJ235">
        <v>379.09100000000001</v>
      </c>
      <c r="BQ235" t="s">
        <v>7</v>
      </c>
      <c r="BR235">
        <v>60335476.139200002</v>
      </c>
      <c r="BS235">
        <v>65043928.868500002</v>
      </c>
      <c r="BT235">
        <v>69415260.083800003</v>
      </c>
      <c r="BU235">
        <v>71630008.128199995</v>
      </c>
      <c r="BV235">
        <v>72932532.561800003</v>
      </c>
      <c r="BW235">
        <v>325.95260000000002</v>
      </c>
      <c r="BX235">
        <v>345.83920000000001</v>
      </c>
      <c r="BY235">
        <v>362.76060000000001</v>
      </c>
      <c r="BZ235">
        <v>371.94749999999999</v>
      </c>
      <c r="CA235">
        <v>379.09100000000001</v>
      </c>
      <c r="CH235">
        <v>59093174.737117857</v>
      </c>
      <c r="CI235">
        <v>46580070.443865098</v>
      </c>
      <c r="CJ235">
        <v>105673245.18098295</v>
      </c>
      <c r="CK235">
        <v>319.21719999999999</v>
      </c>
      <c r="CL235">
        <v>1926.1494</v>
      </c>
      <c r="CM235">
        <v>504.88409999999999</v>
      </c>
    </row>
    <row r="236" spans="1:91" x14ac:dyDescent="0.35">
      <c r="A236" t="s">
        <v>17</v>
      </c>
      <c r="B236">
        <v>14562317.6601</v>
      </c>
      <c r="C236">
        <v>18995607.187899999</v>
      </c>
      <c r="D236">
        <v>25127356.0561</v>
      </c>
      <c r="E236">
        <v>27350785.796100002</v>
      </c>
      <c r="F236">
        <v>30136135.535799999</v>
      </c>
      <c r="G236">
        <v>10753.3608</v>
      </c>
      <c r="H236">
        <v>12009.5995</v>
      </c>
      <c r="I236">
        <v>13157.180399999999</v>
      </c>
      <c r="J236">
        <v>13775.078100000001</v>
      </c>
      <c r="K236">
        <v>14365.9133</v>
      </c>
      <c r="R236" t="s">
        <v>17</v>
      </c>
      <c r="S236">
        <v>14562317.6601</v>
      </c>
      <c r="T236">
        <v>18995607.187899999</v>
      </c>
      <c r="U236">
        <v>25127356.0561</v>
      </c>
      <c r="V236">
        <v>27350785.796100002</v>
      </c>
      <c r="W236">
        <v>30136135.535799999</v>
      </c>
      <c r="X236">
        <v>10753.3608</v>
      </c>
      <c r="Y236">
        <v>12009.5995</v>
      </c>
      <c r="Z236">
        <v>13157.180399999999</v>
      </c>
      <c r="AA236">
        <v>13775.078100000001</v>
      </c>
      <c r="AB236">
        <v>14365.9133</v>
      </c>
      <c r="AI236" t="s">
        <v>17</v>
      </c>
      <c r="AJ236">
        <v>14562317.6601</v>
      </c>
      <c r="AK236">
        <v>18995607.187899999</v>
      </c>
      <c r="AL236">
        <v>25127356.0561</v>
      </c>
      <c r="AM236">
        <v>27350785.796100002</v>
      </c>
      <c r="AN236">
        <v>30136135.535799999</v>
      </c>
      <c r="AO236">
        <v>10753.3608</v>
      </c>
      <c r="AP236">
        <v>12009.5995</v>
      </c>
      <c r="AQ236">
        <v>13157.180399999999</v>
      </c>
      <c r="AR236">
        <v>13775.078100000001</v>
      </c>
      <c r="AS236">
        <v>14365.9133</v>
      </c>
      <c r="AZ236" t="s">
        <v>17</v>
      </c>
      <c r="BA236">
        <v>14562317.6601</v>
      </c>
      <c r="BB236">
        <v>18995607.187899999</v>
      </c>
      <c r="BC236">
        <v>25127356.0561</v>
      </c>
      <c r="BD236">
        <v>27350785.796100002</v>
      </c>
      <c r="BE236">
        <v>30136135.535799999</v>
      </c>
      <c r="BF236">
        <v>10753.3608</v>
      </c>
      <c r="BG236">
        <v>12009.5995</v>
      </c>
      <c r="BH236">
        <v>13157.180399999999</v>
      </c>
      <c r="BI236">
        <v>13775.078100000001</v>
      </c>
      <c r="BJ236">
        <v>14365.9133</v>
      </c>
      <c r="BQ236" t="s">
        <v>17</v>
      </c>
      <c r="BR236">
        <v>13753103.989700001</v>
      </c>
      <c r="BS236">
        <v>17790672.387899999</v>
      </c>
      <c r="BT236">
        <v>23469602.819200002</v>
      </c>
      <c r="BU236">
        <v>25243989.895100001</v>
      </c>
      <c r="BV236">
        <v>27509951.176600002</v>
      </c>
      <c r="BW236">
        <v>10753.3608</v>
      </c>
      <c r="BX236">
        <v>12009.5995</v>
      </c>
      <c r="BY236">
        <v>13157.180399999999</v>
      </c>
      <c r="BZ236">
        <v>13775.078100000001</v>
      </c>
      <c r="CA236">
        <v>14365.9133</v>
      </c>
      <c r="CH236">
        <v>11496191.336866004</v>
      </c>
      <c r="CI236">
        <v>291235898.27985716</v>
      </c>
      <c r="CJ236">
        <v>302732089.61672318</v>
      </c>
      <c r="CK236">
        <v>9851.0637000000006</v>
      </c>
      <c r="CL236">
        <v>15012.1597</v>
      </c>
      <c r="CM236">
        <v>14719.312</v>
      </c>
    </row>
    <row r="237" spans="1:91" x14ac:dyDescent="0.35">
      <c r="A237" t="s">
        <v>18</v>
      </c>
      <c r="B237">
        <v>683123600.63</v>
      </c>
      <c r="C237">
        <v>709733672.12699997</v>
      </c>
      <c r="D237">
        <v>739694733.61570001</v>
      </c>
      <c r="E237">
        <v>762389112.01339996</v>
      </c>
      <c r="F237">
        <v>792902091.93690002</v>
      </c>
      <c r="G237">
        <v>191.64169999999999</v>
      </c>
      <c r="H237">
        <v>195.92779999999999</v>
      </c>
      <c r="I237">
        <v>200.8193</v>
      </c>
      <c r="J237">
        <v>203.97749999999999</v>
      </c>
      <c r="K237">
        <v>209.60390000000001</v>
      </c>
      <c r="R237" t="s">
        <v>18</v>
      </c>
      <c r="S237">
        <v>683123600.63</v>
      </c>
      <c r="T237">
        <v>709733672.12699997</v>
      </c>
      <c r="U237">
        <v>739694733.61570001</v>
      </c>
      <c r="V237">
        <v>762389112.01339996</v>
      </c>
      <c r="W237">
        <v>792902091.93690002</v>
      </c>
      <c r="X237">
        <v>191.64169999999999</v>
      </c>
      <c r="Y237">
        <v>195.92779999999999</v>
      </c>
      <c r="Z237">
        <v>200.8193</v>
      </c>
      <c r="AA237">
        <v>203.97749999999999</v>
      </c>
      <c r="AB237">
        <v>209.60390000000001</v>
      </c>
      <c r="AI237" t="s">
        <v>18</v>
      </c>
      <c r="AJ237">
        <v>683123600.63</v>
      </c>
      <c r="AK237">
        <v>709733672.12699997</v>
      </c>
      <c r="AL237">
        <v>739694733.61570001</v>
      </c>
      <c r="AM237">
        <v>762389112.01339996</v>
      </c>
      <c r="AN237">
        <v>792902091.93690002</v>
      </c>
      <c r="AO237">
        <v>191.64169999999999</v>
      </c>
      <c r="AP237">
        <v>195.92779999999999</v>
      </c>
      <c r="AQ237">
        <v>200.8193</v>
      </c>
      <c r="AR237">
        <v>203.97749999999999</v>
      </c>
      <c r="AS237">
        <v>209.60390000000001</v>
      </c>
      <c r="AZ237" t="s">
        <v>18</v>
      </c>
      <c r="BA237">
        <v>683123600.63</v>
      </c>
      <c r="BB237">
        <v>709733672.12699997</v>
      </c>
      <c r="BC237">
        <v>739694733.61570001</v>
      </c>
      <c r="BD237">
        <v>762389112.01339996</v>
      </c>
      <c r="BE237">
        <v>792902091.93690002</v>
      </c>
      <c r="BF237">
        <v>191.64169999999999</v>
      </c>
      <c r="BG237">
        <v>195.92779999999999</v>
      </c>
      <c r="BH237">
        <v>200.8193</v>
      </c>
      <c r="BI237">
        <v>203.97749999999999</v>
      </c>
      <c r="BJ237">
        <v>209.60390000000001</v>
      </c>
      <c r="BQ237" t="s">
        <v>18</v>
      </c>
      <c r="BR237">
        <v>679604607.65330005</v>
      </c>
      <c r="BS237">
        <v>704909822.56659997</v>
      </c>
      <c r="BT237">
        <v>733445300.17180002</v>
      </c>
      <c r="BU237">
        <v>754671929.26549995</v>
      </c>
      <c r="BV237">
        <v>783525012.56980002</v>
      </c>
      <c r="BW237">
        <v>191.45480000000001</v>
      </c>
      <c r="BX237">
        <v>195.6576</v>
      </c>
      <c r="BY237">
        <v>200.4599</v>
      </c>
      <c r="BZ237">
        <v>203.5283</v>
      </c>
      <c r="CA237">
        <v>209.05549999999999</v>
      </c>
      <c r="CH237">
        <v>659024055.83991063</v>
      </c>
      <c r="CI237">
        <v>1200852969.0517242</v>
      </c>
      <c r="CJ237">
        <v>1859877024.8916349</v>
      </c>
      <c r="CK237">
        <v>188.4102</v>
      </c>
      <c r="CL237">
        <v>1721.9147</v>
      </c>
      <c r="CM237">
        <v>443.33359999999999</v>
      </c>
    </row>
    <row r="239" spans="1:91" x14ac:dyDescent="0.35">
      <c r="B239" t="s">
        <v>61</v>
      </c>
      <c r="S239" t="s">
        <v>61</v>
      </c>
      <c r="AJ239" t="s">
        <v>61</v>
      </c>
      <c r="BA239" t="s">
        <v>61</v>
      </c>
      <c r="BR239" t="s">
        <v>61</v>
      </c>
    </row>
    <row r="240" spans="1:91" x14ac:dyDescent="0.35">
      <c r="B240" t="s">
        <v>64</v>
      </c>
      <c r="G240" t="s">
        <v>65</v>
      </c>
      <c r="S240" t="s">
        <v>64</v>
      </c>
      <c r="X240" t="s">
        <v>65</v>
      </c>
      <c r="AJ240" t="s">
        <v>64</v>
      </c>
      <c r="AO240" t="s">
        <v>65</v>
      </c>
      <c r="BA240" t="s">
        <v>64</v>
      </c>
      <c r="BF240" t="s">
        <v>65</v>
      </c>
      <c r="BR240" t="s">
        <v>64</v>
      </c>
      <c r="BW240" t="s">
        <v>65</v>
      </c>
    </row>
    <row r="241" spans="1:79" x14ac:dyDescent="0.35">
      <c r="B241" t="s">
        <v>80</v>
      </c>
      <c r="C241" t="s">
        <v>79</v>
      </c>
      <c r="D241" t="s">
        <v>78</v>
      </c>
      <c r="E241" t="s">
        <v>77</v>
      </c>
      <c r="F241" t="s">
        <v>76</v>
      </c>
      <c r="G241" t="s">
        <v>80</v>
      </c>
      <c r="H241" t="s">
        <v>79</v>
      </c>
      <c r="I241" t="s">
        <v>78</v>
      </c>
      <c r="J241" t="s">
        <v>77</v>
      </c>
      <c r="K241" t="s">
        <v>76</v>
      </c>
      <c r="S241" t="s">
        <v>80</v>
      </c>
      <c r="T241" t="s">
        <v>79</v>
      </c>
      <c r="U241" t="s">
        <v>78</v>
      </c>
      <c r="V241" t="s">
        <v>77</v>
      </c>
      <c r="W241" t="s">
        <v>76</v>
      </c>
      <c r="X241" t="s">
        <v>80</v>
      </c>
      <c r="Y241" t="s">
        <v>79</v>
      </c>
      <c r="Z241" t="s">
        <v>78</v>
      </c>
      <c r="AA241" t="s">
        <v>77</v>
      </c>
      <c r="AB241" t="s">
        <v>76</v>
      </c>
      <c r="AJ241" t="s">
        <v>80</v>
      </c>
      <c r="AK241" t="s">
        <v>79</v>
      </c>
      <c r="AL241" t="s">
        <v>78</v>
      </c>
      <c r="AM241" t="s">
        <v>77</v>
      </c>
      <c r="AN241" t="s">
        <v>76</v>
      </c>
      <c r="AO241" t="s">
        <v>80</v>
      </c>
      <c r="AP241" t="s">
        <v>79</v>
      </c>
      <c r="AQ241" t="s">
        <v>78</v>
      </c>
      <c r="AR241" t="s">
        <v>77</v>
      </c>
      <c r="AS241" t="s">
        <v>76</v>
      </c>
      <c r="BA241" t="s">
        <v>80</v>
      </c>
      <c r="BB241" t="s">
        <v>79</v>
      </c>
      <c r="BC241" t="s">
        <v>78</v>
      </c>
      <c r="BD241" t="s">
        <v>77</v>
      </c>
      <c r="BE241" t="s">
        <v>76</v>
      </c>
      <c r="BF241" t="s">
        <v>80</v>
      </c>
      <c r="BG241" t="s">
        <v>79</v>
      </c>
      <c r="BH241" t="s">
        <v>78</v>
      </c>
      <c r="BI241" t="s">
        <v>77</v>
      </c>
      <c r="BJ241" t="s">
        <v>76</v>
      </c>
      <c r="BR241" t="s">
        <v>80</v>
      </c>
      <c r="BS241" t="s">
        <v>79</v>
      </c>
      <c r="BT241" t="s">
        <v>78</v>
      </c>
      <c r="BU241" t="s">
        <v>77</v>
      </c>
      <c r="BV241" t="s">
        <v>76</v>
      </c>
      <c r="BW241" t="s">
        <v>80</v>
      </c>
      <c r="BX241" t="s">
        <v>79</v>
      </c>
      <c r="BY241" t="s">
        <v>78</v>
      </c>
      <c r="BZ241" t="s">
        <v>77</v>
      </c>
      <c r="CA241" t="s">
        <v>76</v>
      </c>
    </row>
    <row r="242" spans="1:79" x14ac:dyDescent="0.35">
      <c r="A242" t="s">
        <v>14</v>
      </c>
      <c r="B242">
        <v>843772108.27250004</v>
      </c>
      <c r="C242">
        <v>976410028.32879996</v>
      </c>
      <c r="D242">
        <v>1104356594.4619</v>
      </c>
      <c r="E242">
        <v>1231765915.8083</v>
      </c>
      <c r="F242">
        <v>1364696808.0421</v>
      </c>
      <c r="G242">
        <v>1351.8549</v>
      </c>
      <c r="H242">
        <v>1383.6070999999999</v>
      </c>
      <c r="I242">
        <v>1431.5958000000001</v>
      </c>
      <c r="J242">
        <v>1473.7358999999999</v>
      </c>
      <c r="K242">
        <v>1506.9606000000001</v>
      </c>
      <c r="R242" t="s">
        <v>14</v>
      </c>
      <c r="S242">
        <v>843772108.27250004</v>
      </c>
      <c r="T242">
        <v>976410028.32879996</v>
      </c>
      <c r="U242">
        <v>1104356594.4619</v>
      </c>
      <c r="V242">
        <v>1231765915.8083</v>
      </c>
      <c r="W242">
        <v>1364696808.0421</v>
      </c>
      <c r="X242">
        <v>1351.8549</v>
      </c>
      <c r="Y242">
        <v>1383.6070999999999</v>
      </c>
      <c r="Z242">
        <v>1431.5958000000001</v>
      </c>
      <c r="AA242">
        <v>1473.7358999999999</v>
      </c>
      <c r="AB242">
        <v>1506.9606000000001</v>
      </c>
      <c r="AI242" t="s">
        <v>14</v>
      </c>
      <c r="AJ242">
        <v>789937302.22850001</v>
      </c>
      <c r="AK242">
        <v>887846604.64310002</v>
      </c>
      <c r="AL242">
        <v>984795459.06019998</v>
      </c>
      <c r="AM242">
        <v>1082313878.586</v>
      </c>
      <c r="AN242">
        <v>1185353648.1248</v>
      </c>
      <c r="AO242">
        <v>1352.4718</v>
      </c>
      <c r="AP242">
        <v>1388.2335</v>
      </c>
      <c r="AQ242">
        <v>1443.7334000000001</v>
      </c>
      <c r="AR242">
        <v>1494.521</v>
      </c>
      <c r="AS242">
        <v>1536.1351999999999</v>
      </c>
      <c r="AZ242" t="s">
        <v>14</v>
      </c>
      <c r="BA242">
        <v>789937302.22850001</v>
      </c>
      <c r="BB242">
        <v>887846604.64310002</v>
      </c>
      <c r="BC242">
        <v>984795459.06019998</v>
      </c>
      <c r="BD242">
        <v>1082313878.586</v>
      </c>
      <c r="BE242">
        <v>1185353648.1248</v>
      </c>
      <c r="BF242">
        <v>1352.4718</v>
      </c>
      <c r="BG242">
        <v>1388.2335</v>
      </c>
      <c r="BH242">
        <v>1443.7334000000001</v>
      </c>
      <c r="BI242">
        <v>1494.521</v>
      </c>
      <c r="BJ242">
        <v>1536.1351999999999</v>
      </c>
      <c r="BQ242" t="s">
        <v>14</v>
      </c>
      <c r="BR242">
        <v>801708789.05050004</v>
      </c>
      <c r="BS242">
        <v>904692779.60810006</v>
      </c>
      <c r="BT242">
        <v>1007598298.484</v>
      </c>
      <c r="BU242">
        <v>1111641275.7974999</v>
      </c>
      <c r="BV242">
        <v>1221583399.1438</v>
      </c>
      <c r="BW242">
        <v>1352.4718</v>
      </c>
      <c r="BX242">
        <v>1388.2335</v>
      </c>
      <c r="BY242">
        <v>1443.7334000000001</v>
      </c>
      <c r="BZ242">
        <v>1494.521</v>
      </c>
      <c r="CA242">
        <v>1536.1351999999999</v>
      </c>
    </row>
    <row r="243" spans="1:79" x14ac:dyDescent="0.35">
      <c r="A243" t="s">
        <v>15</v>
      </c>
      <c r="B243">
        <v>97361527.045900002</v>
      </c>
      <c r="C243">
        <v>112944730.00049999</v>
      </c>
      <c r="D243">
        <v>129549294.4809</v>
      </c>
      <c r="E243">
        <v>146985598.6243</v>
      </c>
      <c r="F243">
        <v>153057593.04030001</v>
      </c>
      <c r="G243">
        <v>1431.9992</v>
      </c>
      <c r="H243">
        <v>1641.1461999999999</v>
      </c>
      <c r="I243">
        <v>1848.5827999999999</v>
      </c>
      <c r="J243">
        <v>2038.338</v>
      </c>
      <c r="K243">
        <v>2103.8278</v>
      </c>
      <c r="R243" t="s">
        <v>15</v>
      </c>
      <c r="S243">
        <v>97361527.045900002</v>
      </c>
      <c r="T243">
        <v>112944730.00049999</v>
      </c>
      <c r="U243">
        <v>129549294.4809</v>
      </c>
      <c r="V243">
        <v>146985598.6243</v>
      </c>
      <c r="W243">
        <v>153057593.04030001</v>
      </c>
      <c r="X243">
        <v>1431.9992</v>
      </c>
      <c r="Y243">
        <v>1641.1461999999999</v>
      </c>
      <c r="Z243">
        <v>1848.5827999999999</v>
      </c>
      <c r="AA243">
        <v>2038.338</v>
      </c>
      <c r="AB243">
        <v>2103.8278</v>
      </c>
      <c r="AI243" t="s">
        <v>15</v>
      </c>
      <c r="AJ243">
        <v>88905169.362800002</v>
      </c>
      <c r="AK243">
        <v>99004853.143199995</v>
      </c>
      <c r="AL243">
        <v>110679203.6939</v>
      </c>
      <c r="AM243">
        <v>123336291.1224</v>
      </c>
      <c r="AN243">
        <v>124607018.1935</v>
      </c>
      <c r="AO243">
        <v>1349.6747</v>
      </c>
      <c r="AP243">
        <v>1515.5663999999999</v>
      </c>
      <c r="AQ243">
        <v>1693.3358000000001</v>
      </c>
      <c r="AR243">
        <v>1862.7440999999999</v>
      </c>
      <c r="AS243">
        <v>1897.3592000000001</v>
      </c>
      <c r="AZ243" t="s">
        <v>15</v>
      </c>
      <c r="BA243">
        <v>88905169.362800002</v>
      </c>
      <c r="BB243">
        <v>99004853.143199995</v>
      </c>
      <c r="BC243">
        <v>110679203.6939</v>
      </c>
      <c r="BD243">
        <v>123336291.1224</v>
      </c>
      <c r="BE243">
        <v>124607018.1935</v>
      </c>
      <c r="BF243">
        <v>1349.6747</v>
      </c>
      <c r="BG243">
        <v>1515.5663999999999</v>
      </c>
      <c r="BH243">
        <v>1693.3358000000001</v>
      </c>
      <c r="BI243">
        <v>1862.7440999999999</v>
      </c>
      <c r="BJ243">
        <v>1897.3592000000001</v>
      </c>
      <c r="BQ243" t="s">
        <v>15</v>
      </c>
      <c r="BR243">
        <v>92703642.285999998</v>
      </c>
      <c r="BS243">
        <v>104545245.8328</v>
      </c>
      <c r="BT243">
        <v>118309584.184</v>
      </c>
      <c r="BU243">
        <v>133315975.8831</v>
      </c>
      <c r="BV243">
        <v>136361476.5853</v>
      </c>
      <c r="BW243">
        <v>1349.6747</v>
      </c>
      <c r="BX243">
        <v>1515.5663999999999</v>
      </c>
      <c r="BY243">
        <v>1693.3358000000001</v>
      </c>
      <c r="BZ243">
        <v>1862.7440999999999</v>
      </c>
      <c r="CA243">
        <v>1897.3592000000001</v>
      </c>
    </row>
    <row r="244" spans="1:79" x14ac:dyDescent="0.35">
      <c r="A244" t="s">
        <v>7</v>
      </c>
      <c r="B244">
        <v>39137658.665399998</v>
      </c>
      <c r="C244">
        <v>34358405.525799997</v>
      </c>
      <c r="D244">
        <v>31193573.8675</v>
      </c>
      <c r="E244">
        <v>30853537.970199998</v>
      </c>
      <c r="F244">
        <v>31948146.5757</v>
      </c>
      <c r="G244">
        <v>1701.4719</v>
      </c>
      <c r="H244">
        <v>1774.9673</v>
      </c>
      <c r="I244">
        <v>1965.0596</v>
      </c>
      <c r="J244">
        <v>2106.3831</v>
      </c>
      <c r="K244">
        <v>2132.5736999999999</v>
      </c>
      <c r="R244" t="s">
        <v>7</v>
      </c>
      <c r="S244">
        <v>39137658.665399998</v>
      </c>
      <c r="T244">
        <v>34358405.525799997</v>
      </c>
      <c r="U244">
        <v>31193573.8675</v>
      </c>
      <c r="V244">
        <v>30853537.970199998</v>
      </c>
      <c r="W244">
        <v>31948146.5757</v>
      </c>
      <c r="X244">
        <v>1701.4719</v>
      </c>
      <c r="Y244">
        <v>1774.9673</v>
      </c>
      <c r="Z244">
        <v>1965.0596</v>
      </c>
      <c r="AA244">
        <v>2106.3831</v>
      </c>
      <c r="AB244">
        <v>2132.5736999999999</v>
      </c>
      <c r="AI244" t="s">
        <v>7</v>
      </c>
      <c r="AJ244">
        <v>39137658.665399998</v>
      </c>
      <c r="AK244">
        <v>34358405.525799997</v>
      </c>
      <c r="AL244">
        <v>31193573.8675</v>
      </c>
      <c r="AM244">
        <v>30853537.970199998</v>
      </c>
      <c r="AN244">
        <v>31948146.5757</v>
      </c>
      <c r="AO244">
        <v>1701.4719</v>
      </c>
      <c r="AP244">
        <v>1774.9673</v>
      </c>
      <c r="AQ244">
        <v>1965.0596</v>
      </c>
      <c r="AR244">
        <v>2106.3831</v>
      </c>
      <c r="AS244">
        <v>2132.5736999999999</v>
      </c>
      <c r="AZ244" t="s">
        <v>7</v>
      </c>
      <c r="BA244">
        <v>39137658.665399998</v>
      </c>
      <c r="BB244">
        <v>34358405.525799997</v>
      </c>
      <c r="BC244">
        <v>31193573.8675</v>
      </c>
      <c r="BD244">
        <v>30853537.970199998</v>
      </c>
      <c r="BE244">
        <v>31948146.5757</v>
      </c>
      <c r="BF244">
        <v>1701.4719</v>
      </c>
      <c r="BG244">
        <v>1774.9673</v>
      </c>
      <c r="BH244">
        <v>1965.0596</v>
      </c>
      <c r="BI244">
        <v>2106.3831</v>
      </c>
      <c r="BJ244">
        <v>2132.5736999999999</v>
      </c>
      <c r="BQ244" t="s">
        <v>7</v>
      </c>
      <c r="BR244">
        <v>40244429.299800001</v>
      </c>
      <c r="BS244">
        <v>35872051.138300002</v>
      </c>
      <c r="BT244">
        <v>33274838.561000001</v>
      </c>
      <c r="BU244">
        <v>33518771.624699999</v>
      </c>
      <c r="BV244">
        <v>35074080.140799999</v>
      </c>
      <c r="BW244">
        <v>1701.4719</v>
      </c>
      <c r="BX244">
        <v>1774.9673</v>
      </c>
      <c r="BY244">
        <v>1965.0596</v>
      </c>
      <c r="BZ244">
        <v>2106.3831</v>
      </c>
      <c r="CA244">
        <v>2132.5736999999999</v>
      </c>
    </row>
    <row r="245" spans="1:79" x14ac:dyDescent="0.35">
      <c r="A245" t="s">
        <v>17</v>
      </c>
      <c r="B245">
        <v>314005536.9447</v>
      </c>
      <c r="C245">
        <v>329829551.32029998</v>
      </c>
      <c r="D245">
        <v>347557704.38260001</v>
      </c>
      <c r="E245">
        <v>371311993.34780002</v>
      </c>
      <c r="F245">
        <v>399984860.83429998</v>
      </c>
      <c r="G245">
        <v>15586.180200000001</v>
      </c>
      <c r="H245">
        <v>15922.9719</v>
      </c>
      <c r="I245">
        <v>16551.473000000002</v>
      </c>
      <c r="J245">
        <v>17234.9735</v>
      </c>
      <c r="K245">
        <v>17955.490000000002</v>
      </c>
      <c r="R245" t="s">
        <v>17</v>
      </c>
      <c r="S245">
        <v>314005536.9447</v>
      </c>
      <c r="T245">
        <v>329829551.32029998</v>
      </c>
      <c r="U245">
        <v>347557704.38260001</v>
      </c>
      <c r="V245">
        <v>371311993.34780002</v>
      </c>
      <c r="W245">
        <v>399984860.83429998</v>
      </c>
      <c r="X245">
        <v>15586.180200000001</v>
      </c>
      <c r="Y245">
        <v>15922.9719</v>
      </c>
      <c r="Z245">
        <v>16551.473000000002</v>
      </c>
      <c r="AA245">
        <v>17234.9735</v>
      </c>
      <c r="AB245">
        <v>17955.490000000002</v>
      </c>
      <c r="AI245" t="s">
        <v>17</v>
      </c>
      <c r="AJ245">
        <v>314005536.9447</v>
      </c>
      <c r="AK245">
        <v>329829551.32029998</v>
      </c>
      <c r="AL245">
        <v>347557704.38260001</v>
      </c>
      <c r="AM245">
        <v>371311993.34780002</v>
      </c>
      <c r="AN245">
        <v>399984860.83429998</v>
      </c>
      <c r="AO245">
        <v>15586.180200000001</v>
      </c>
      <c r="AP245">
        <v>15922.9719</v>
      </c>
      <c r="AQ245">
        <v>16551.473000000002</v>
      </c>
      <c r="AR245">
        <v>17234.9735</v>
      </c>
      <c r="AS245">
        <v>17955.490000000002</v>
      </c>
      <c r="AZ245" t="s">
        <v>17</v>
      </c>
      <c r="BA245">
        <v>314005536.9447</v>
      </c>
      <c r="BB245">
        <v>329829551.32029998</v>
      </c>
      <c r="BC245">
        <v>347557704.38260001</v>
      </c>
      <c r="BD245">
        <v>371311993.34780002</v>
      </c>
      <c r="BE245">
        <v>399984860.83429998</v>
      </c>
      <c r="BF245">
        <v>15586.180200000001</v>
      </c>
      <c r="BG245">
        <v>15922.9719</v>
      </c>
      <c r="BH245">
        <v>16551.473000000002</v>
      </c>
      <c r="BI245">
        <v>17234.9735</v>
      </c>
      <c r="BJ245">
        <v>17955.490000000002</v>
      </c>
      <c r="BQ245" t="s">
        <v>17</v>
      </c>
      <c r="BR245">
        <v>314980184.14600003</v>
      </c>
      <c r="BS245">
        <v>331158015.91909999</v>
      </c>
      <c r="BT245">
        <v>349365796.14569998</v>
      </c>
      <c r="BU245">
        <v>373655697.12290001</v>
      </c>
      <c r="BV245">
        <v>402955150.7974</v>
      </c>
      <c r="BW245">
        <v>15586.180200000001</v>
      </c>
      <c r="BX245">
        <v>15922.9719</v>
      </c>
      <c r="BY245">
        <v>16551.473000000002</v>
      </c>
      <c r="BZ245">
        <v>17234.9735</v>
      </c>
      <c r="CA245">
        <v>17955.490000000002</v>
      </c>
    </row>
    <row r="246" spans="1:79" x14ac:dyDescent="0.35">
      <c r="A246" t="s">
        <v>18</v>
      </c>
      <c r="B246">
        <v>1294276830.9286001</v>
      </c>
      <c r="C246">
        <v>1453542715.1752999</v>
      </c>
      <c r="D246">
        <v>1612657167.1928999</v>
      </c>
      <c r="E246">
        <v>1780917045.7506001</v>
      </c>
      <c r="F246">
        <v>1949687408.4923999</v>
      </c>
      <c r="G246">
        <v>1760.2088000000001</v>
      </c>
      <c r="H246">
        <v>1784.3838000000001</v>
      </c>
      <c r="I246">
        <v>1835.9666999999999</v>
      </c>
      <c r="J246">
        <v>1886.3367000000001</v>
      </c>
      <c r="K246">
        <v>1919.73</v>
      </c>
      <c r="R246" t="s">
        <v>18</v>
      </c>
      <c r="S246">
        <v>1294276830.9286001</v>
      </c>
      <c r="T246">
        <v>1453542715.1752999</v>
      </c>
      <c r="U246">
        <v>1612657167.1928999</v>
      </c>
      <c r="V246">
        <v>1780917045.7506001</v>
      </c>
      <c r="W246">
        <v>1949687408.4923999</v>
      </c>
      <c r="X246">
        <v>1760.2088000000001</v>
      </c>
      <c r="Y246">
        <v>1784.3838000000001</v>
      </c>
      <c r="Z246">
        <v>1835.9666999999999</v>
      </c>
      <c r="AA246">
        <v>1886.3367000000001</v>
      </c>
      <c r="AB246">
        <v>1919.73</v>
      </c>
      <c r="AI246" t="s">
        <v>18</v>
      </c>
      <c r="AJ246">
        <v>1231985667.2014</v>
      </c>
      <c r="AK246">
        <v>1351039414.6322</v>
      </c>
      <c r="AL246">
        <v>1474225941.0041001</v>
      </c>
      <c r="AM246">
        <v>1607815701.0264001</v>
      </c>
      <c r="AN246">
        <v>1741893673.7282</v>
      </c>
      <c r="AO246">
        <v>1777.5274999999999</v>
      </c>
      <c r="AP246">
        <v>1813.6025</v>
      </c>
      <c r="AQ246">
        <v>1879.5473999999999</v>
      </c>
      <c r="AR246">
        <v>1945.1148000000001</v>
      </c>
      <c r="AS246">
        <v>1991.6958999999999</v>
      </c>
      <c r="AZ246" t="s">
        <v>18</v>
      </c>
      <c r="BA246">
        <v>1231985667.2014</v>
      </c>
      <c r="BB246">
        <v>1351039414.6322</v>
      </c>
      <c r="BC246">
        <v>1474225941.0041001</v>
      </c>
      <c r="BD246">
        <v>1607815701.0264001</v>
      </c>
      <c r="BE246">
        <v>1741893673.7282</v>
      </c>
      <c r="BF246">
        <v>1777.5274999999999</v>
      </c>
      <c r="BG246">
        <v>1813.6025</v>
      </c>
      <c r="BH246">
        <v>1879.5473999999999</v>
      </c>
      <c r="BI246">
        <v>1945.1148000000001</v>
      </c>
      <c r="BJ246">
        <v>1991.6958999999999</v>
      </c>
      <c r="BQ246" t="s">
        <v>18</v>
      </c>
      <c r="BR246">
        <v>1249637044.7823</v>
      </c>
      <c r="BS246">
        <v>1376268092.4983001</v>
      </c>
      <c r="BT246">
        <v>1508548517.3748</v>
      </c>
      <c r="BU246">
        <v>1652131720.4282999</v>
      </c>
      <c r="BV246">
        <v>1795974106.6672001</v>
      </c>
      <c r="BW246">
        <v>1771.7292</v>
      </c>
      <c r="BX246">
        <v>1806.8973000000001</v>
      </c>
      <c r="BY246">
        <v>1872.0653</v>
      </c>
      <c r="BZ246">
        <v>1936.9079999999999</v>
      </c>
      <c r="CA246">
        <v>1982.3343</v>
      </c>
    </row>
    <row r="248" spans="1:79" x14ac:dyDescent="0.35">
      <c r="B248" t="s">
        <v>61</v>
      </c>
      <c r="S248" t="s">
        <v>61</v>
      </c>
      <c r="AJ248" t="s">
        <v>61</v>
      </c>
      <c r="BA248" t="s">
        <v>61</v>
      </c>
      <c r="BR248" t="s">
        <v>61</v>
      </c>
    </row>
    <row r="249" spans="1:79" x14ac:dyDescent="0.35">
      <c r="B249" t="s">
        <v>68</v>
      </c>
      <c r="G249" t="s">
        <v>69</v>
      </c>
      <c r="S249" t="s">
        <v>68</v>
      </c>
      <c r="X249" t="s">
        <v>69</v>
      </c>
      <c r="AJ249" t="s">
        <v>68</v>
      </c>
      <c r="AO249" t="s">
        <v>69</v>
      </c>
      <c r="BA249" t="s">
        <v>68</v>
      </c>
      <c r="BF249" t="s">
        <v>69</v>
      </c>
      <c r="BR249" t="s">
        <v>68</v>
      </c>
      <c r="BW249" t="s">
        <v>69</v>
      </c>
    </row>
    <row r="250" spans="1:79" x14ac:dyDescent="0.35">
      <c r="B250" t="s">
        <v>80</v>
      </c>
      <c r="C250" t="s">
        <v>79</v>
      </c>
      <c r="D250" t="s">
        <v>78</v>
      </c>
      <c r="E250" t="s">
        <v>77</v>
      </c>
      <c r="F250" t="s">
        <v>76</v>
      </c>
      <c r="G250" t="s">
        <v>80</v>
      </c>
      <c r="H250" t="s">
        <v>79</v>
      </c>
      <c r="I250" t="s">
        <v>78</v>
      </c>
      <c r="J250" t="s">
        <v>77</v>
      </c>
      <c r="K250" t="s">
        <v>76</v>
      </c>
      <c r="S250" t="s">
        <v>80</v>
      </c>
      <c r="T250" t="s">
        <v>79</v>
      </c>
      <c r="U250" t="s">
        <v>78</v>
      </c>
      <c r="V250" t="s">
        <v>77</v>
      </c>
      <c r="W250" t="s">
        <v>76</v>
      </c>
      <c r="X250" t="s">
        <v>80</v>
      </c>
      <c r="Y250" t="s">
        <v>79</v>
      </c>
      <c r="Z250" t="s">
        <v>78</v>
      </c>
      <c r="AA250" t="s">
        <v>77</v>
      </c>
      <c r="AB250" t="s">
        <v>76</v>
      </c>
      <c r="AJ250" t="s">
        <v>80</v>
      </c>
      <c r="AK250" t="s">
        <v>79</v>
      </c>
      <c r="AL250" t="s">
        <v>78</v>
      </c>
      <c r="AM250" t="s">
        <v>77</v>
      </c>
      <c r="AN250" t="s">
        <v>76</v>
      </c>
      <c r="AO250" t="s">
        <v>80</v>
      </c>
      <c r="AP250" t="s">
        <v>79</v>
      </c>
      <c r="AQ250" t="s">
        <v>78</v>
      </c>
      <c r="AR250" t="s">
        <v>77</v>
      </c>
      <c r="AS250" t="s">
        <v>76</v>
      </c>
      <c r="BA250" t="s">
        <v>80</v>
      </c>
      <c r="BB250" t="s">
        <v>79</v>
      </c>
      <c r="BC250" t="s">
        <v>78</v>
      </c>
      <c r="BD250" t="s">
        <v>77</v>
      </c>
      <c r="BE250" t="s">
        <v>76</v>
      </c>
      <c r="BF250" t="s">
        <v>80</v>
      </c>
      <c r="BG250" t="s">
        <v>79</v>
      </c>
      <c r="BH250" t="s">
        <v>78</v>
      </c>
      <c r="BI250" t="s">
        <v>77</v>
      </c>
      <c r="BJ250" t="s">
        <v>76</v>
      </c>
      <c r="BR250" t="s">
        <v>80</v>
      </c>
      <c r="BS250" t="s">
        <v>79</v>
      </c>
      <c r="BT250" t="s">
        <v>78</v>
      </c>
      <c r="BU250" t="s">
        <v>77</v>
      </c>
      <c r="BV250" t="s">
        <v>76</v>
      </c>
      <c r="BW250" t="s">
        <v>80</v>
      </c>
      <c r="BX250" t="s">
        <v>79</v>
      </c>
      <c r="BY250" t="s">
        <v>78</v>
      </c>
      <c r="BZ250" t="s">
        <v>77</v>
      </c>
      <c r="CA250" t="s">
        <v>76</v>
      </c>
    </row>
    <row r="251" spans="1:79" x14ac:dyDescent="0.35">
      <c r="A251" t="s">
        <v>14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R251" t="s">
        <v>14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I251" t="s">
        <v>14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Z251" t="s">
        <v>14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Q251" t="s">
        <v>14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</row>
    <row r="252" spans="1:79" x14ac:dyDescent="0.35">
      <c r="A252" t="s">
        <v>15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R252" t="s">
        <v>15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I252" t="s">
        <v>15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Z252" t="s">
        <v>15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Q252" t="s">
        <v>15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</row>
    <row r="253" spans="1:79" x14ac:dyDescent="0.35">
      <c r="A253" t="s">
        <v>7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R253" t="s">
        <v>7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I253" t="s">
        <v>7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Z253" t="s">
        <v>7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Q253" t="s">
        <v>7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</row>
    <row r="254" spans="1:79" x14ac:dyDescent="0.35">
      <c r="A254" t="s">
        <v>17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R254" t="s">
        <v>17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I254" t="s">
        <v>17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Z254" t="s">
        <v>17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Q254" t="s">
        <v>17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</row>
    <row r="255" spans="1:79" x14ac:dyDescent="0.35">
      <c r="A255" t="s">
        <v>18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R255" t="s">
        <v>18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I255" t="s">
        <v>18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Z255" t="s">
        <v>18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Q255" t="s">
        <v>18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</row>
    <row r="257" spans="1:118" x14ac:dyDescent="0.35">
      <c r="B257" t="s">
        <v>61</v>
      </c>
      <c r="S257" t="s">
        <v>61</v>
      </c>
      <c r="AJ257" t="s">
        <v>61</v>
      </c>
      <c r="BA257" t="s">
        <v>61</v>
      </c>
      <c r="BR257" t="s">
        <v>61</v>
      </c>
      <c r="CH257" t="s">
        <v>61</v>
      </c>
      <c r="CS257" t="s">
        <v>61</v>
      </c>
      <c r="DD257" t="s">
        <v>45</v>
      </c>
      <c r="DJ257" t="s">
        <v>46</v>
      </c>
    </row>
    <row r="258" spans="1:118" x14ac:dyDescent="0.35">
      <c r="B258" t="s">
        <v>72</v>
      </c>
      <c r="G258" t="s">
        <v>73</v>
      </c>
      <c r="S258" t="s">
        <v>72</v>
      </c>
      <c r="X258" t="s">
        <v>73</v>
      </c>
      <c r="AJ258" t="s">
        <v>72</v>
      </c>
      <c r="AO258" t="s">
        <v>73</v>
      </c>
      <c r="BA258" t="s">
        <v>72</v>
      </c>
      <c r="BF258" t="s">
        <v>73</v>
      </c>
      <c r="BR258" t="s">
        <v>72</v>
      </c>
      <c r="BW258" t="s">
        <v>73</v>
      </c>
      <c r="CH258" t="s">
        <v>18</v>
      </c>
      <c r="CM258" t="s">
        <v>18</v>
      </c>
      <c r="CS258" t="s">
        <v>18</v>
      </c>
      <c r="CX258" t="s">
        <v>18</v>
      </c>
      <c r="DD258" t="s">
        <v>5</v>
      </c>
      <c r="DJ258" t="s">
        <v>48</v>
      </c>
    </row>
    <row r="259" spans="1:118" x14ac:dyDescent="0.35">
      <c r="B259" t="s">
        <v>80</v>
      </c>
      <c r="C259" t="s">
        <v>79</v>
      </c>
      <c r="D259" t="s">
        <v>78</v>
      </c>
      <c r="E259" t="s">
        <v>77</v>
      </c>
      <c r="F259" t="s">
        <v>76</v>
      </c>
      <c r="G259" t="s">
        <v>80</v>
      </c>
      <c r="H259" t="s">
        <v>79</v>
      </c>
      <c r="I259" t="s">
        <v>78</v>
      </c>
      <c r="J259" t="s">
        <v>77</v>
      </c>
      <c r="K259" t="s">
        <v>76</v>
      </c>
      <c r="S259" t="s">
        <v>80</v>
      </c>
      <c r="T259" t="s">
        <v>79</v>
      </c>
      <c r="U259" t="s">
        <v>78</v>
      </c>
      <c r="V259" t="s">
        <v>77</v>
      </c>
      <c r="W259" t="s">
        <v>76</v>
      </c>
      <c r="X259" t="s">
        <v>80</v>
      </c>
      <c r="Y259" t="s">
        <v>79</v>
      </c>
      <c r="Z259" t="s">
        <v>78</v>
      </c>
      <c r="AA259" t="s">
        <v>77</v>
      </c>
      <c r="AB259" t="s">
        <v>76</v>
      </c>
      <c r="AJ259" t="s">
        <v>80</v>
      </c>
      <c r="AK259" t="s">
        <v>79</v>
      </c>
      <c r="AL259" t="s">
        <v>78</v>
      </c>
      <c r="AM259" t="s">
        <v>77</v>
      </c>
      <c r="AN259" t="s">
        <v>76</v>
      </c>
      <c r="AO259" t="s">
        <v>80</v>
      </c>
      <c r="AP259" t="s">
        <v>79</v>
      </c>
      <c r="AQ259" t="s">
        <v>78</v>
      </c>
      <c r="AR259" t="s">
        <v>77</v>
      </c>
      <c r="AS259" t="s">
        <v>76</v>
      </c>
      <c r="BA259" t="s">
        <v>80</v>
      </c>
      <c r="BB259" t="s">
        <v>79</v>
      </c>
      <c r="BC259" t="s">
        <v>78</v>
      </c>
      <c r="BD259" t="s">
        <v>77</v>
      </c>
      <c r="BE259" t="s">
        <v>76</v>
      </c>
      <c r="BF259" t="s">
        <v>80</v>
      </c>
      <c r="BG259" t="s">
        <v>79</v>
      </c>
      <c r="BH259" t="s">
        <v>78</v>
      </c>
      <c r="BI259" t="s">
        <v>77</v>
      </c>
      <c r="BJ259" t="s">
        <v>76</v>
      </c>
      <c r="BR259" t="s">
        <v>80</v>
      </c>
      <c r="BS259" t="s">
        <v>79</v>
      </c>
      <c r="BT259" t="s">
        <v>78</v>
      </c>
      <c r="BU259" t="s">
        <v>77</v>
      </c>
      <c r="BV259" t="s">
        <v>76</v>
      </c>
      <c r="BW259" t="s">
        <v>80</v>
      </c>
      <c r="BX259" t="s">
        <v>79</v>
      </c>
      <c r="BY259" t="s">
        <v>78</v>
      </c>
      <c r="BZ259" t="s">
        <v>77</v>
      </c>
      <c r="CA259" t="s">
        <v>76</v>
      </c>
      <c r="CH259">
        <v>2025</v>
      </c>
      <c r="CI259">
        <v>2026</v>
      </c>
      <c r="CJ259">
        <v>2027</v>
      </c>
      <c r="CK259">
        <v>2028</v>
      </c>
      <c r="CL259">
        <v>2029</v>
      </c>
      <c r="CM259">
        <v>2025</v>
      </c>
      <c r="CN259">
        <v>2026</v>
      </c>
      <c r="CO259">
        <v>2027</v>
      </c>
      <c r="CP259">
        <v>2028</v>
      </c>
      <c r="CQ259">
        <v>2029</v>
      </c>
      <c r="CS259">
        <v>2025</v>
      </c>
      <c r="CT259">
        <v>2026</v>
      </c>
      <c r="CU259">
        <v>2027</v>
      </c>
      <c r="CV259">
        <v>2028</v>
      </c>
      <c r="CW259">
        <v>2029</v>
      </c>
      <c r="CX259">
        <v>2025</v>
      </c>
      <c r="CY259">
        <v>2026</v>
      </c>
      <c r="CZ259">
        <v>2027</v>
      </c>
      <c r="DA259">
        <v>2028</v>
      </c>
      <c r="DB259">
        <v>2029</v>
      </c>
      <c r="DD259" t="s">
        <v>80</v>
      </c>
      <c r="DE259" t="s">
        <v>79</v>
      </c>
      <c r="DF259" t="s">
        <v>78</v>
      </c>
      <c r="DG259" t="s">
        <v>77</v>
      </c>
      <c r="DH259" t="s">
        <v>76</v>
      </c>
      <c r="DJ259" t="s">
        <v>80</v>
      </c>
      <c r="DK259" t="s">
        <v>79</v>
      </c>
      <c r="DL259" t="s">
        <v>78</v>
      </c>
      <c r="DM259" t="s">
        <v>77</v>
      </c>
      <c r="DN259" t="s">
        <v>76</v>
      </c>
    </row>
    <row r="260" spans="1:118" x14ac:dyDescent="0.35">
      <c r="A260" t="s">
        <v>14</v>
      </c>
      <c r="B260">
        <v>843772108.27250004</v>
      </c>
      <c r="C260">
        <v>976410028.32879996</v>
      </c>
      <c r="D260">
        <v>1104356594.4619</v>
      </c>
      <c r="E260">
        <v>1231765915.8083</v>
      </c>
      <c r="F260">
        <v>1364696808.0421</v>
      </c>
      <c r="G260">
        <v>1351.8549</v>
      </c>
      <c r="H260">
        <v>1383.6070999999999</v>
      </c>
      <c r="I260">
        <v>1431.5958000000001</v>
      </c>
      <c r="J260">
        <v>1473.7358999999999</v>
      </c>
      <c r="K260">
        <v>1506.9606000000001</v>
      </c>
      <c r="R260" t="s">
        <v>14</v>
      </c>
      <c r="S260">
        <v>843772108.27250004</v>
      </c>
      <c r="T260">
        <v>976410028.32879996</v>
      </c>
      <c r="U260">
        <v>1104356594.4619</v>
      </c>
      <c r="V260">
        <v>1231765915.8083</v>
      </c>
      <c r="W260">
        <v>1364696808.0421</v>
      </c>
      <c r="X260">
        <v>1351.8549</v>
      </c>
      <c r="Y260">
        <v>1383.6070999999999</v>
      </c>
      <c r="Z260">
        <v>1431.5958000000001</v>
      </c>
      <c r="AA260">
        <v>1473.7358999999999</v>
      </c>
      <c r="AB260">
        <v>1506.9606000000001</v>
      </c>
      <c r="AI260" t="s">
        <v>14</v>
      </c>
      <c r="AJ260">
        <v>789937302.22850001</v>
      </c>
      <c r="AK260">
        <v>887846604.64310002</v>
      </c>
      <c r="AL260">
        <v>984795459.06019998</v>
      </c>
      <c r="AM260">
        <v>1082313878.586</v>
      </c>
      <c r="AN260">
        <v>1185353648.1248</v>
      </c>
      <c r="AO260">
        <v>1352.4718</v>
      </c>
      <c r="AP260">
        <v>1388.2335</v>
      </c>
      <c r="AQ260">
        <v>1443.7334000000001</v>
      </c>
      <c r="AR260">
        <v>1494.521</v>
      </c>
      <c r="AS260">
        <v>1536.1351999999999</v>
      </c>
      <c r="AZ260" t="s">
        <v>14</v>
      </c>
      <c r="BA260">
        <v>789937302.22850001</v>
      </c>
      <c r="BB260">
        <v>887846604.64310002</v>
      </c>
      <c r="BC260">
        <v>984795459.06019998</v>
      </c>
      <c r="BD260">
        <v>1082313878.586</v>
      </c>
      <c r="BE260">
        <v>1185353648.1248</v>
      </c>
      <c r="BF260">
        <v>1352.4718</v>
      </c>
      <c r="BG260">
        <v>1388.2335</v>
      </c>
      <c r="BH260">
        <v>1443.7334000000001</v>
      </c>
      <c r="BI260">
        <v>1494.521</v>
      </c>
      <c r="BJ260">
        <v>1536.1351999999999</v>
      </c>
      <c r="BQ260" t="s">
        <v>14</v>
      </c>
      <c r="BR260">
        <v>801708789.05050004</v>
      </c>
      <c r="BS260">
        <v>904692779.60810006</v>
      </c>
      <c r="BT260">
        <v>1007598298.484</v>
      </c>
      <c r="BU260">
        <v>1111641275.7974999</v>
      </c>
      <c r="BV260">
        <v>1221583399.1438</v>
      </c>
      <c r="BW260">
        <v>1352.4718</v>
      </c>
      <c r="BX260">
        <v>1388.2335</v>
      </c>
      <c r="BY260">
        <v>1443.7334000000001</v>
      </c>
      <c r="BZ260">
        <v>1494.521</v>
      </c>
      <c r="CA260">
        <v>1536.1351999999999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1.0000000000000002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1.004070700758553</v>
      </c>
      <c r="CY260">
        <v>1.0040797949684885</v>
      </c>
      <c r="CZ260">
        <v>1.0040693861618251</v>
      </c>
      <c r="DA260">
        <v>1.0040695497399592</v>
      </c>
      <c r="DB260">
        <v>1.0040864106825613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488298056.18159997</v>
      </c>
      <c r="DK260">
        <v>564873573.17309999</v>
      </c>
      <c r="DL260">
        <v>630526640.48389995</v>
      </c>
      <c r="DM260">
        <v>694252193.47539997</v>
      </c>
      <c r="DN260">
        <v>761186373.32939994</v>
      </c>
    </row>
    <row r="261" spans="1:118" x14ac:dyDescent="0.35">
      <c r="A261" t="s">
        <v>15</v>
      </c>
      <c r="B261">
        <v>97361527.045900002</v>
      </c>
      <c r="C261">
        <v>112944730.00049999</v>
      </c>
      <c r="D261">
        <v>129549294.4809</v>
      </c>
      <c r="E261">
        <v>146985598.6243</v>
      </c>
      <c r="F261">
        <v>153057593.04030001</v>
      </c>
      <c r="G261">
        <v>1431.9992</v>
      </c>
      <c r="H261">
        <v>1641.1461999999999</v>
      </c>
      <c r="I261">
        <v>1848.5827999999999</v>
      </c>
      <c r="J261">
        <v>2038.338</v>
      </c>
      <c r="K261">
        <v>2103.8278</v>
      </c>
      <c r="R261" t="s">
        <v>15</v>
      </c>
      <c r="S261">
        <v>97361527.045900002</v>
      </c>
      <c r="T261">
        <v>112944730.00049999</v>
      </c>
      <c r="U261">
        <v>129549294.4809</v>
      </c>
      <c r="V261">
        <v>146985598.6243</v>
      </c>
      <c r="W261">
        <v>153057593.04030001</v>
      </c>
      <c r="X261">
        <v>1431.9992</v>
      </c>
      <c r="Y261">
        <v>1641.1461999999999</v>
      </c>
      <c r="Z261">
        <v>1848.5827999999999</v>
      </c>
      <c r="AA261">
        <v>2038.338</v>
      </c>
      <c r="AB261">
        <v>2103.8278</v>
      </c>
      <c r="AI261" t="s">
        <v>15</v>
      </c>
      <c r="AJ261">
        <v>88905169.362800002</v>
      </c>
      <c r="AK261">
        <v>99004853.143199995</v>
      </c>
      <c r="AL261">
        <v>110679203.6939</v>
      </c>
      <c r="AM261">
        <v>123336291.1224</v>
      </c>
      <c r="AN261">
        <v>124607018.1935</v>
      </c>
      <c r="AO261">
        <v>1349.6747</v>
      </c>
      <c r="AP261">
        <v>1515.5663999999999</v>
      </c>
      <c r="AQ261">
        <v>1693.3358000000001</v>
      </c>
      <c r="AR261">
        <v>1862.7440999999999</v>
      </c>
      <c r="AS261">
        <v>1897.3592000000001</v>
      </c>
      <c r="AZ261" t="s">
        <v>15</v>
      </c>
      <c r="BA261">
        <v>88905169.362800002</v>
      </c>
      <c r="BB261">
        <v>99004853.143199995</v>
      </c>
      <c r="BC261">
        <v>110679203.6939</v>
      </c>
      <c r="BD261">
        <v>123336291.1224</v>
      </c>
      <c r="BE261">
        <v>124607018.1935</v>
      </c>
      <c r="BF261">
        <v>1349.6747</v>
      </c>
      <c r="BG261">
        <v>1515.5663999999999</v>
      </c>
      <c r="BH261">
        <v>1693.3358000000001</v>
      </c>
      <c r="BI261">
        <v>1862.7440999999999</v>
      </c>
      <c r="BJ261">
        <v>1897.3592000000001</v>
      </c>
      <c r="BQ261" t="s">
        <v>15</v>
      </c>
      <c r="BR261">
        <v>92703642.285999998</v>
      </c>
      <c r="BS261">
        <v>104545245.8328</v>
      </c>
      <c r="BT261">
        <v>118309584.184</v>
      </c>
      <c r="BU261">
        <v>133315975.8831</v>
      </c>
      <c r="BV261">
        <v>136361476.5853</v>
      </c>
      <c r="BW261">
        <v>1349.6747</v>
      </c>
      <c r="BX261">
        <v>1515.5663999999999</v>
      </c>
      <c r="BY261">
        <v>1693.3358000000001</v>
      </c>
      <c r="BZ261">
        <v>1862.7440999999999</v>
      </c>
      <c r="CA261">
        <v>1897.3592000000001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1.0023969797398757</v>
      </c>
      <c r="CY261">
        <v>1.0024036277900161</v>
      </c>
      <c r="CZ261">
        <v>1.0022893671362203</v>
      </c>
      <c r="DA261">
        <v>1.0021073182745897</v>
      </c>
      <c r="DB261">
        <v>1.0021029911414541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67498958.390499994</v>
      </c>
      <c r="DK261">
        <v>77748319.3354</v>
      </c>
      <c r="DL261">
        <v>88816397.252100006</v>
      </c>
      <c r="DM261">
        <v>101059179.22409999</v>
      </c>
      <c r="DN261">
        <v>100269378.98469999</v>
      </c>
    </row>
    <row r="262" spans="1:118" x14ac:dyDescent="0.35">
      <c r="A262" t="s">
        <v>7</v>
      </c>
      <c r="B262">
        <v>39137658.665399998</v>
      </c>
      <c r="C262">
        <v>34358405.525799997</v>
      </c>
      <c r="D262">
        <v>31193573.8675</v>
      </c>
      <c r="E262">
        <v>30853537.970199998</v>
      </c>
      <c r="F262">
        <v>31948146.5757</v>
      </c>
      <c r="G262">
        <v>1701.4719</v>
      </c>
      <c r="H262">
        <v>1774.9673</v>
      </c>
      <c r="I262">
        <v>1965.0596</v>
      </c>
      <c r="J262">
        <v>2106.3831</v>
      </c>
      <c r="K262">
        <v>2132.5736999999999</v>
      </c>
      <c r="R262" t="s">
        <v>7</v>
      </c>
      <c r="S262">
        <v>39137658.665399998</v>
      </c>
      <c r="T262">
        <v>34358405.525799997</v>
      </c>
      <c r="U262">
        <v>31193573.8675</v>
      </c>
      <c r="V262">
        <v>30853537.970199998</v>
      </c>
      <c r="W262">
        <v>31948146.5757</v>
      </c>
      <c r="X262">
        <v>1701.4719</v>
      </c>
      <c r="Y262">
        <v>1774.9673</v>
      </c>
      <c r="Z262">
        <v>1965.0596</v>
      </c>
      <c r="AA262">
        <v>2106.3831</v>
      </c>
      <c r="AB262">
        <v>2132.5736999999999</v>
      </c>
      <c r="AI262" t="s">
        <v>7</v>
      </c>
      <c r="AJ262">
        <v>39137658.665399998</v>
      </c>
      <c r="AK262">
        <v>34358405.525799997</v>
      </c>
      <c r="AL262">
        <v>31193573.8675</v>
      </c>
      <c r="AM262">
        <v>30853537.970199998</v>
      </c>
      <c r="AN262">
        <v>31948146.5757</v>
      </c>
      <c r="AO262">
        <v>1701.4719</v>
      </c>
      <c r="AP262">
        <v>1774.9673</v>
      </c>
      <c r="AQ262">
        <v>1965.0596</v>
      </c>
      <c r="AR262">
        <v>2106.3831</v>
      </c>
      <c r="AS262">
        <v>2132.5736999999999</v>
      </c>
      <c r="AZ262" t="s">
        <v>7</v>
      </c>
      <c r="BA262">
        <v>39137658.665399998</v>
      </c>
      <c r="BB262">
        <v>34358405.525799997</v>
      </c>
      <c r="BC262">
        <v>31193573.8675</v>
      </c>
      <c r="BD262">
        <v>30853537.970199998</v>
      </c>
      <c r="BE262">
        <v>31948146.5757</v>
      </c>
      <c r="BF262">
        <v>1701.4719</v>
      </c>
      <c r="BG262">
        <v>1774.9673</v>
      </c>
      <c r="BH262">
        <v>1965.0596</v>
      </c>
      <c r="BI262">
        <v>2106.3831</v>
      </c>
      <c r="BJ262">
        <v>2132.5736999999999</v>
      </c>
      <c r="BQ262" t="s">
        <v>7</v>
      </c>
      <c r="BR262">
        <v>40244429.299800001</v>
      </c>
      <c r="BS262">
        <v>35872051.138300002</v>
      </c>
      <c r="BT262">
        <v>33274838.561000001</v>
      </c>
      <c r="BU262">
        <v>33518771.624699999</v>
      </c>
      <c r="BV262">
        <v>35074080.140799999</v>
      </c>
      <c r="BW262">
        <v>1701.4719</v>
      </c>
      <c r="BX262">
        <v>1774.9673</v>
      </c>
      <c r="BY262">
        <v>1965.0596</v>
      </c>
      <c r="BZ262">
        <v>2106.3831</v>
      </c>
      <c r="CA262">
        <v>2132.5736999999999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1.0034015295773364</v>
      </c>
      <c r="CY262">
        <v>1.0042005704274923</v>
      </c>
      <c r="CZ262">
        <v>1.0051328444306282</v>
      </c>
      <c r="DA262">
        <v>1.0056862943159199</v>
      </c>
      <c r="DB262">
        <v>1.006154155480379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24784566.994399998</v>
      </c>
      <c r="DK262">
        <v>21967379.9932</v>
      </c>
      <c r="DL262">
        <v>19087363.619899999</v>
      </c>
      <c r="DM262">
        <v>18442424.985399999</v>
      </c>
      <c r="DN262">
        <v>19030129.511100002</v>
      </c>
    </row>
    <row r="263" spans="1:118" x14ac:dyDescent="0.35">
      <c r="A263" t="s">
        <v>17</v>
      </c>
      <c r="B263">
        <v>314005536.9447</v>
      </c>
      <c r="C263">
        <v>329829551.32029998</v>
      </c>
      <c r="D263">
        <v>347557704.38260001</v>
      </c>
      <c r="E263">
        <v>371311993.34780002</v>
      </c>
      <c r="F263">
        <v>399984860.83429998</v>
      </c>
      <c r="G263">
        <v>15586.180200000001</v>
      </c>
      <c r="H263">
        <v>15922.9719</v>
      </c>
      <c r="I263">
        <v>16551.473000000002</v>
      </c>
      <c r="J263">
        <v>17234.9735</v>
      </c>
      <c r="K263">
        <v>17955.490000000002</v>
      </c>
      <c r="R263" t="s">
        <v>17</v>
      </c>
      <c r="S263">
        <v>314005536.9447</v>
      </c>
      <c r="T263">
        <v>329829551.32029998</v>
      </c>
      <c r="U263">
        <v>347557704.38260001</v>
      </c>
      <c r="V263">
        <v>371311993.34780002</v>
      </c>
      <c r="W263">
        <v>399984860.83429998</v>
      </c>
      <c r="X263">
        <v>15586.180200000001</v>
      </c>
      <c r="Y263">
        <v>15922.9719</v>
      </c>
      <c r="Z263">
        <v>16551.473000000002</v>
      </c>
      <c r="AA263">
        <v>17234.9735</v>
      </c>
      <c r="AB263">
        <v>17955.490000000002</v>
      </c>
      <c r="AI263" t="s">
        <v>17</v>
      </c>
      <c r="AJ263">
        <v>314005536.9447</v>
      </c>
      <c r="AK263">
        <v>329829551.32029998</v>
      </c>
      <c r="AL263">
        <v>347557704.38260001</v>
      </c>
      <c r="AM263">
        <v>371311993.34780002</v>
      </c>
      <c r="AN263">
        <v>399984860.83429998</v>
      </c>
      <c r="AO263">
        <v>15586.180200000001</v>
      </c>
      <c r="AP263">
        <v>15922.9719</v>
      </c>
      <c r="AQ263">
        <v>16551.473000000002</v>
      </c>
      <c r="AR263">
        <v>17234.9735</v>
      </c>
      <c r="AS263">
        <v>17955.490000000002</v>
      </c>
      <c r="AZ263" t="s">
        <v>17</v>
      </c>
      <c r="BA263">
        <v>314005536.9447</v>
      </c>
      <c r="BB263">
        <v>329829551.32029998</v>
      </c>
      <c r="BC263">
        <v>347557704.38260001</v>
      </c>
      <c r="BD263">
        <v>371311993.34780002</v>
      </c>
      <c r="BE263">
        <v>399984860.83429998</v>
      </c>
      <c r="BF263">
        <v>15586.180200000001</v>
      </c>
      <c r="BG263">
        <v>15922.9719</v>
      </c>
      <c r="BH263">
        <v>16551.473000000002</v>
      </c>
      <c r="BI263">
        <v>17234.9735</v>
      </c>
      <c r="BJ263">
        <v>17955.490000000002</v>
      </c>
      <c r="BQ263" t="s">
        <v>17</v>
      </c>
      <c r="BR263">
        <v>314980184.14600003</v>
      </c>
      <c r="BS263">
        <v>331158015.91909999</v>
      </c>
      <c r="BT263">
        <v>349365796.14569998</v>
      </c>
      <c r="BU263">
        <v>373655697.12290001</v>
      </c>
      <c r="BV263">
        <v>402955150.7974</v>
      </c>
      <c r="BW263">
        <v>15586.180200000001</v>
      </c>
      <c r="BX263">
        <v>15922.9719</v>
      </c>
      <c r="BY263">
        <v>16551.473000000002</v>
      </c>
      <c r="BZ263">
        <v>17234.9735</v>
      </c>
      <c r="CA263">
        <v>17955.490000000002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1.0006293938386837</v>
      </c>
      <c r="CY263">
        <v>1.0008126110544373</v>
      </c>
      <c r="CZ263">
        <v>1.0007938071218565</v>
      </c>
      <c r="DA263">
        <v>1.0007821570442679</v>
      </c>
      <c r="DB263">
        <v>1.0007745101250456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179495879.57769999</v>
      </c>
      <c r="DK263">
        <v>183143806.81330001</v>
      </c>
      <c r="DL263">
        <v>185257580.0402</v>
      </c>
      <c r="DM263">
        <v>195801968.0645</v>
      </c>
      <c r="DN263">
        <v>208861595.99509999</v>
      </c>
    </row>
    <row r="264" spans="1:118" x14ac:dyDescent="0.35">
      <c r="A264" t="s">
        <v>18</v>
      </c>
      <c r="B264">
        <v>1294276830.9286001</v>
      </c>
      <c r="C264">
        <v>1453542715.1752999</v>
      </c>
      <c r="D264">
        <v>1612657167.1928999</v>
      </c>
      <c r="E264">
        <v>1780917045.7506001</v>
      </c>
      <c r="F264">
        <v>1949687408.4923999</v>
      </c>
      <c r="G264">
        <v>1760.2088000000001</v>
      </c>
      <c r="H264">
        <v>1784.3838000000001</v>
      </c>
      <c r="I264">
        <v>1835.9666999999999</v>
      </c>
      <c r="J264">
        <v>1886.3367000000001</v>
      </c>
      <c r="K264">
        <v>1919.73</v>
      </c>
      <c r="R264" t="s">
        <v>18</v>
      </c>
      <c r="S264">
        <v>1294276830.9286001</v>
      </c>
      <c r="T264">
        <v>1453542715.1752999</v>
      </c>
      <c r="U264">
        <v>1612657167.1928999</v>
      </c>
      <c r="V264">
        <v>1780917045.7506001</v>
      </c>
      <c r="W264">
        <v>1949687408.4923999</v>
      </c>
      <c r="X264">
        <v>1760.2088000000001</v>
      </c>
      <c r="Y264">
        <v>1784.3838000000001</v>
      </c>
      <c r="Z264">
        <v>1835.9666999999999</v>
      </c>
      <c r="AA264">
        <v>1886.3367000000001</v>
      </c>
      <c r="AB264">
        <v>1919.73</v>
      </c>
      <c r="AI264" t="s">
        <v>18</v>
      </c>
      <c r="AJ264">
        <v>1231985667.2014</v>
      </c>
      <c r="AK264">
        <v>1351039414.6322</v>
      </c>
      <c r="AL264">
        <v>1474225941.0041001</v>
      </c>
      <c r="AM264">
        <v>1607815701.0264001</v>
      </c>
      <c r="AN264">
        <v>1741893673.7282</v>
      </c>
      <c r="AO264">
        <v>1777.5274999999999</v>
      </c>
      <c r="AP264">
        <v>1813.6025</v>
      </c>
      <c r="AQ264">
        <v>1879.5473999999999</v>
      </c>
      <c r="AR264">
        <v>1945.1148000000001</v>
      </c>
      <c r="AS264">
        <v>1991.6958999999999</v>
      </c>
      <c r="AZ264" t="s">
        <v>18</v>
      </c>
      <c r="BA264">
        <v>1231985667.2014</v>
      </c>
      <c r="BB264">
        <v>1351039414.6322</v>
      </c>
      <c r="BC264">
        <v>1474225941.0041001</v>
      </c>
      <c r="BD264">
        <v>1607815701.0264001</v>
      </c>
      <c r="BE264">
        <v>1741893673.7282</v>
      </c>
      <c r="BF264">
        <v>1777.5274999999999</v>
      </c>
      <c r="BG264">
        <v>1813.6025</v>
      </c>
      <c r="BH264">
        <v>1879.5473999999999</v>
      </c>
      <c r="BI264">
        <v>1945.1148000000001</v>
      </c>
      <c r="BJ264">
        <v>1991.6958999999999</v>
      </c>
      <c r="BQ264" t="s">
        <v>18</v>
      </c>
      <c r="BR264">
        <v>1249637044.7823</v>
      </c>
      <c r="BS264">
        <v>1376268092.4983001</v>
      </c>
      <c r="BT264">
        <v>1508548517.3748</v>
      </c>
      <c r="BU264">
        <v>1652131720.4282999</v>
      </c>
      <c r="BV264">
        <v>1795974106.6672001</v>
      </c>
      <c r="BW264">
        <v>1771.7292</v>
      </c>
      <c r="BX264">
        <v>1806.8973000000001</v>
      </c>
      <c r="BY264">
        <v>1872.0653</v>
      </c>
      <c r="BZ264">
        <v>1936.9079999999999</v>
      </c>
      <c r="CA264">
        <v>1982.3343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760077461.14419997</v>
      </c>
      <c r="DK264">
        <v>847733079.31509995</v>
      </c>
      <c r="DL264">
        <v>923687981.39610004</v>
      </c>
      <c r="DM264">
        <v>1009555765.7494</v>
      </c>
      <c r="DN264">
        <v>1089347477.8203001</v>
      </c>
    </row>
    <row r="269" spans="1:118" x14ac:dyDescent="0.35">
      <c r="B269" t="s">
        <v>74</v>
      </c>
      <c r="S269" t="s">
        <v>74</v>
      </c>
      <c r="AJ269" t="s">
        <v>74</v>
      </c>
      <c r="BA269" t="s">
        <v>74</v>
      </c>
      <c r="BR269" t="s">
        <v>74</v>
      </c>
      <c r="CH269" t="s">
        <v>81</v>
      </c>
    </row>
    <row r="270" spans="1:118" x14ac:dyDescent="0.35">
      <c r="B270" t="s">
        <v>54</v>
      </c>
      <c r="G270" t="s">
        <v>55</v>
      </c>
      <c r="L270" t="s">
        <v>18</v>
      </c>
      <c r="S270" t="s">
        <v>54</v>
      </c>
      <c r="X270" t="s">
        <v>55</v>
      </c>
      <c r="AC270" t="s">
        <v>18</v>
      </c>
      <c r="AJ270" t="s">
        <v>54</v>
      </c>
      <c r="AO270" t="s">
        <v>55</v>
      </c>
      <c r="AT270" t="s">
        <v>18</v>
      </c>
      <c r="BA270" t="s">
        <v>54</v>
      </c>
      <c r="BF270" t="s">
        <v>55</v>
      </c>
      <c r="BK270" t="s">
        <v>18</v>
      </c>
      <c r="BR270" t="s">
        <v>54</v>
      </c>
      <c r="BW270" t="s">
        <v>55</v>
      </c>
      <c r="CB270" t="s">
        <v>18</v>
      </c>
      <c r="CH270" t="s">
        <v>23</v>
      </c>
      <c r="CK270" t="s">
        <v>27</v>
      </c>
      <c r="CN270" t="s">
        <v>8</v>
      </c>
    </row>
    <row r="271" spans="1:118" x14ac:dyDescent="0.35">
      <c r="B271" t="s">
        <v>80</v>
      </c>
      <c r="C271" t="s">
        <v>79</v>
      </c>
      <c r="D271" t="s">
        <v>78</v>
      </c>
      <c r="E271" t="s">
        <v>77</v>
      </c>
      <c r="F271" t="s">
        <v>76</v>
      </c>
      <c r="G271" t="s">
        <v>80</v>
      </c>
      <c r="H271" t="s">
        <v>79</v>
      </c>
      <c r="I271" t="s">
        <v>78</v>
      </c>
      <c r="J271" t="s">
        <v>77</v>
      </c>
      <c r="K271" t="s">
        <v>76</v>
      </c>
      <c r="L271" t="s">
        <v>80</v>
      </c>
      <c r="M271" t="s">
        <v>79</v>
      </c>
      <c r="N271" t="s">
        <v>78</v>
      </c>
      <c r="O271" t="s">
        <v>77</v>
      </c>
      <c r="P271" t="s">
        <v>76</v>
      </c>
      <c r="S271" t="s">
        <v>80</v>
      </c>
      <c r="T271" t="s">
        <v>79</v>
      </c>
      <c r="U271" t="s">
        <v>78</v>
      </c>
      <c r="V271" t="s">
        <v>77</v>
      </c>
      <c r="W271" t="s">
        <v>76</v>
      </c>
      <c r="X271" t="s">
        <v>80</v>
      </c>
      <c r="Y271" t="s">
        <v>79</v>
      </c>
      <c r="Z271" t="s">
        <v>78</v>
      </c>
      <c r="AA271" t="s">
        <v>77</v>
      </c>
      <c r="AB271" t="s">
        <v>76</v>
      </c>
      <c r="AC271" t="s">
        <v>80</v>
      </c>
      <c r="AD271" t="s">
        <v>79</v>
      </c>
      <c r="AE271" t="s">
        <v>78</v>
      </c>
      <c r="AF271" t="s">
        <v>77</v>
      </c>
      <c r="AG271" t="s">
        <v>76</v>
      </c>
      <c r="AJ271" t="s">
        <v>80</v>
      </c>
      <c r="AK271" t="s">
        <v>79</v>
      </c>
      <c r="AL271" t="s">
        <v>78</v>
      </c>
      <c r="AM271" t="s">
        <v>77</v>
      </c>
      <c r="AN271" t="s">
        <v>76</v>
      </c>
      <c r="AO271" t="s">
        <v>80</v>
      </c>
      <c r="AP271" t="s">
        <v>79</v>
      </c>
      <c r="AQ271" t="s">
        <v>78</v>
      </c>
      <c r="AR271" t="s">
        <v>77</v>
      </c>
      <c r="AS271" t="s">
        <v>76</v>
      </c>
      <c r="AT271" t="s">
        <v>80</v>
      </c>
      <c r="AU271" t="s">
        <v>79</v>
      </c>
      <c r="AV271" t="s">
        <v>78</v>
      </c>
      <c r="AW271" t="s">
        <v>77</v>
      </c>
      <c r="AX271" t="s">
        <v>76</v>
      </c>
      <c r="BA271" t="s">
        <v>80</v>
      </c>
      <c r="BB271" t="s">
        <v>79</v>
      </c>
      <c r="BC271" t="s">
        <v>78</v>
      </c>
      <c r="BD271" t="s">
        <v>77</v>
      </c>
      <c r="BE271" t="s">
        <v>76</v>
      </c>
      <c r="BF271" t="s">
        <v>80</v>
      </c>
      <c r="BG271" t="s">
        <v>79</v>
      </c>
      <c r="BH271" t="s">
        <v>78</v>
      </c>
      <c r="BI271" t="s">
        <v>77</v>
      </c>
      <c r="BJ271" t="s">
        <v>76</v>
      </c>
      <c r="BK271" t="s">
        <v>80</v>
      </c>
      <c r="BL271" t="s">
        <v>79</v>
      </c>
      <c r="BM271" t="s">
        <v>78</v>
      </c>
      <c r="BN271" t="s">
        <v>77</v>
      </c>
      <c r="BO271" t="s">
        <v>76</v>
      </c>
      <c r="BR271" t="s">
        <v>80</v>
      </c>
      <c r="BS271" t="s">
        <v>79</v>
      </c>
      <c r="BT271" t="s">
        <v>78</v>
      </c>
      <c r="BU271" t="s">
        <v>77</v>
      </c>
      <c r="BV271" t="s">
        <v>76</v>
      </c>
      <c r="BW271" t="s">
        <v>80</v>
      </c>
      <c r="BX271" t="s">
        <v>79</v>
      </c>
      <c r="BY271" t="s">
        <v>78</v>
      </c>
      <c r="BZ271" t="s">
        <v>77</v>
      </c>
      <c r="CA271" t="s">
        <v>76</v>
      </c>
      <c r="CB271" t="s">
        <v>80</v>
      </c>
      <c r="CC271" t="s">
        <v>79</v>
      </c>
      <c r="CD271" t="s">
        <v>78</v>
      </c>
      <c r="CE271" t="s">
        <v>77</v>
      </c>
      <c r="CF271" t="s">
        <v>76</v>
      </c>
      <c r="CH271" t="s">
        <v>54</v>
      </c>
      <c r="CI271" t="s">
        <v>55</v>
      </c>
      <c r="CJ271" t="s">
        <v>18</v>
      </c>
      <c r="CK271" t="s">
        <v>54</v>
      </c>
      <c r="CL271" t="s">
        <v>55</v>
      </c>
      <c r="CM271" t="s">
        <v>18</v>
      </c>
      <c r="CN271" t="s">
        <v>54</v>
      </c>
      <c r="CO271" t="s">
        <v>55</v>
      </c>
      <c r="CP271" t="s">
        <v>18</v>
      </c>
    </row>
    <row r="272" spans="1:118" x14ac:dyDescent="0.35">
      <c r="A272" t="s">
        <v>14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R272" t="s">
        <v>14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I272" t="s">
        <v>14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Z272" t="s">
        <v>14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Q272" t="s">
        <v>14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</row>
    <row r="273" spans="1:100" x14ac:dyDescent="0.35">
      <c r="A273" t="s">
        <v>15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R273" t="s">
        <v>15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I273" t="s">
        <v>15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Z273" t="s">
        <v>15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Q273" t="s">
        <v>15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</row>
    <row r="274" spans="1:100" x14ac:dyDescent="0.35">
      <c r="A274" t="s">
        <v>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R274" t="s">
        <v>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I274" t="s">
        <v>7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Z274" t="s">
        <v>7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Q274" t="s">
        <v>7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</row>
    <row r="275" spans="1:100" x14ac:dyDescent="0.35">
      <c r="A275" t="s">
        <v>17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R275" t="s">
        <v>17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I275" t="s">
        <v>17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Z275" t="s">
        <v>17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Q275" t="s">
        <v>17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</row>
    <row r="276" spans="1:100" x14ac:dyDescent="0.35">
      <c r="A276" t="s">
        <v>18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R276" t="s">
        <v>18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I276" t="s">
        <v>18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Z276" t="s">
        <v>18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Q276" t="s">
        <v>18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</row>
    <row r="278" spans="1:100" x14ac:dyDescent="0.35">
      <c r="B278" t="s">
        <v>74</v>
      </c>
      <c r="S278" t="s">
        <v>74</v>
      </c>
      <c r="AJ278" t="s">
        <v>74</v>
      </c>
      <c r="BA278" t="s">
        <v>74</v>
      </c>
      <c r="BR278" t="s">
        <v>74</v>
      </c>
      <c r="CH278" t="s">
        <v>81</v>
      </c>
    </row>
    <row r="279" spans="1:100" x14ac:dyDescent="0.35">
      <c r="B279" t="s">
        <v>56</v>
      </c>
      <c r="G279" t="s">
        <v>57</v>
      </c>
      <c r="L279" t="s">
        <v>18</v>
      </c>
      <c r="S279" t="s">
        <v>56</v>
      </c>
      <c r="X279" t="s">
        <v>57</v>
      </c>
      <c r="AC279" t="s">
        <v>18</v>
      </c>
      <c r="AJ279" t="s">
        <v>56</v>
      </c>
      <c r="AO279" t="s">
        <v>57</v>
      </c>
      <c r="AT279" t="s">
        <v>18</v>
      </c>
      <c r="BA279" t="s">
        <v>56</v>
      </c>
      <c r="BF279" t="s">
        <v>57</v>
      </c>
      <c r="BK279" t="s">
        <v>18</v>
      </c>
      <c r="BR279" t="s">
        <v>56</v>
      </c>
      <c r="BW279" t="s">
        <v>57</v>
      </c>
      <c r="CB279" t="s">
        <v>18</v>
      </c>
      <c r="CH279" t="s">
        <v>23</v>
      </c>
      <c r="CK279" t="s">
        <v>27</v>
      </c>
      <c r="CN279" t="s">
        <v>8</v>
      </c>
    </row>
    <row r="280" spans="1:100" x14ac:dyDescent="0.35">
      <c r="B280" t="s">
        <v>80</v>
      </c>
      <c r="C280" t="s">
        <v>79</v>
      </c>
      <c r="D280" t="s">
        <v>78</v>
      </c>
      <c r="E280" t="s">
        <v>77</v>
      </c>
      <c r="F280" t="s">
        <v>76</v>
      </c>
      <c r="G280" t="s">
        <v>80</v>
      </c>
      <c r="H280" t="s">
        <v>79</v>
      </c>
      <c r="I280" t="s">
        <v>78</v>
      </c>
      <c r="J280" t="s">
        <v>77</v>
      </c>
      <c r="K280" t="s">
        <v>76</v>
      </c>
      <c r="L280" t="s">
        <v>80</v>
      </c>
      <c r="M280" t="s">
        <v>79</v>
      </c>
      <c r="N280" t="s">
        <v>78</v>
      </c>
      <c r="O280" t="s">
        <v>77</v>
      </c>
      <c r="P280" t="s">
        <v>76</v>
      </c>
      <c r="S280" t="s">
        <v>80</v>
      </c>
      <c r="T280" t="s">
        <v>79</v>
      </c>
      <c r="U280" t="s">
        <v>78</v>
      </c>
      <c r="V280" t="s">
        <v>77</v>
      </c>
      <c r="W280" t="s">
        <v>76</v>
      </c>
      <c r="X280" t="s">
        <v>80</v>
      </c>
      <c r="Y280" t="s">
        <v>79</v>
      </c>
      <c r="Z280" t="s">
        <v>78</v>
      </c>
      <c r="AA280" t="s">
        <v>77</v>
      </c>
      <c r="AB280" t="s">
        <v>76</v>
      </c>
      <c r="AC280" t="s">
        <v>80</v>
      </c>
      <c r="AD280" t="s">
        <v>79</v>
      </c>
      <c r="AE280" t="s">
        <v>78</v>
      </c>
      <c r="AF280" t="s">
        <v>77</v>
      </c>
      <c r="AG280" t="s">
        <v>76</v>
      </c>
      <c r="AJ280" t="s">
        <v>80</v>
      </c>
      <c r="AK280" t="s">
        <v>79</v>
      </c>
      <c r="AL280" t="s">
        <v>78</v>
      </c>
      <c r="AM280" t="s">
        <v>77</v>
      </c>
      <c r="AN280" t="s">
        <v>76</v>
      </c>
      <c r="AO280" t="s">
        <v>80</v>
      </c>
      <c r="AP280" t="s">
        <v>79</v>
      </c>
      <c r="AQ280" t="s">
        <v>78</v>
      </c>
      <c r="AR280" t="s">
        <v>77</v>
      </c>
      <c r="AS280" t="s">
        <v>76</v>
      </c>
      <c r="AT280" t="s">
        <v>80</v>
      </c>
      <c r="AU280" t="s">
        <v>79</v>
      </c>
      <c r="AV280" t="s">
        <v>78</v>
      </c>
      <c r="AW280" t="s">
        <v>77</v>
      </c>
      <c r="AX280" t="s">
        <v>76</v>
      </c>
      <c r="BA280" t="s">
        <v>80</v>
      </c>
      <c r="BB280" t="s">
        <v>79</v>
      </c>
      <c r="BC280" t="s">
        <v>78</v>
      </c>
      <c r="BD280" t="s">
        <v>77</v>
      </c>
      <c r="BE280" t="s">
        <v>76</v>
      </c>
      <c r="BF280" t="s">
        <v>80</v>
      </c>
      <c r="BG280" t="s">
        <v>79</v>
      </c>
      <c r="BH280" t="s">
        <v>78</v>
      </c>
      <c r="BI280" t="s">
        <v>77</v>
      </c>
      <c r="BJ280" t="s">
        <v>76</v>
      </c>
      <c r="BK280" t="s">
        <v>80</v>
      </c>
      <c r="BL280" t="s">
        <v>79</v>
      </c>
      <c r="BM280" t="s">
        <v>78</v>
      </c>
      <c r="BN280" t="s">
        <v>77</v>
      </c>
      <c r="BO280" t="s">
        <v>76</v>
      </c>
      <c r="BR280" t="s">
        <v>80</v>
      </c>
      <c r="BS280" t="s">
        <v>79</v>
      </c>
      <c r="BT280" t="s">
        <v>78</v>
      </c>
      <c r="BU280" t="s">
        <v>77</v>
      </c>
      <c r="BV280" t="s">
        <v>76</v>
      </c>
      <c r="BW280" t="s">
        <v>80</v>
      </c>
      <c r="BX280" t="s">
        <v>79</v>
      </c>
      <c r="BY280" t="s">
        <v>78</v>
      </c>
      <c r="BZ280" t="s">
        <v>77</v>
      </c>
      <c r="CA280" t="s">
        <v>76</v>
      </c>
      <c r="CB280" t="s">
        <v>80</v>
      </c>
      <c r="CC280" t="s">
        <v>79</v>
      </c>
      <c r="CD280" t="s">
        <v>78</v>
      </c>
      <c r="CE280" t="s">
        <v>77</v>
      </c>
      <c r="CF280" t="s">
        <v>76</v>
      </c>
      <c r="CH280" t="s">
        <v>56</v>
      </c>
      <c r="CI280" t="s">
        <v>57</v>
      </c>
      <c r="CJ280" t="s">
        <v>18</v>
      </c>
      <c r="CK280" t="s">
        <v>56</v>
      </c>
      <c r="CL280" t="s">
        <v>57</v>
      </c>
      <c r="CM280" t="s">
        <v>18</v>
      </c>
      <c r="CN280" t="s">
        <v>56</v>
      </c>
      <c r="CO280" t="s">
        <v>57</v>
      </c>
      <c r="CP280" t="s">
        <v>18</v>
      </c>
    </row>
    <row r="281" spans="1:100" x14ac:dyDescent="0.35">
      <c r="A281" t="s">
        <v>14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R281" t="s">
        <v>14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I281" t="s">
        <v>14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Z281" t="s">
        <v>14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Q281" t="s">
        <v>14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</row>
    <row r="282" spans="1:100" x14ac:dyDescent="0.35">
      <c r="A282" t="s">
        <v>15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R282" t="s">
        <v>15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I282" t="s">
        <v>15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Z282" t="s">
        <v>15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Q282" t="s">
        <v>15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</row>
    <row r="283" spans="1:100" x14ac:dyDescent="0.35">
      <c r="A283" t="s">
        <v>7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R283" t="s">
        <v>7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I283" t="s">
        <v>7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Z283" t="s">
        <v>7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Q283" t="s">
        <v>7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</row>
    <row r="284" spans="1:100" x14ac:dyDescent="0.35">
      <c r="A284" t="s">
        <v>17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R284" t="s">
        <v>17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I284" t="s">
        <v>17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Z284" t="s">
        <v>17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Q284" t="s">
        <v>17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</row>
    <row r="285" spans="1:100" x14ac:dyDescent="0.35">
      <c r="A285" t="s">
        <v>18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R285" t="s">
        <v>18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I285" t="s">
        <v>18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Z285" t="s">
        <v>18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Q285" t="s">
        <v>18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</row>
    <row r="287" spans="1:100" x14ac:dyDescent="0.35">
      <c r="B287" t="s">
        <v>74</v>
      </c>
      <c r="S287" t="s">
        <v>74</v>
      </c>
      <c r="AJ287" t="s">
        <v>74</v>
      </c>
      <c r="BA287" t="s">
        <v>74</v>
      </c>
      <c r="BR287" t="s">
        <v>74</v>
      </c>
      <c r="CH287" t="s">
        <v>81</v>
      </c>
      <c r="CV287" t="s">
        <v>23</v>
      </c>
    </row>
    <row r="288" spans="1:100" x14ac:dyDescent="0.35">
      <c r="B288" t="s">
        <v>59</v>
      </c>
      <c r="G288" t="s">
        <v>60</v>
      </c>
      <c r="L288" t="s">
        <v>18</v>
      </c>
      <c r="S288" t="s">
        <v>59</v>
      </c>
      <c r="X288" t="s">
        <v>60</v>
      </c>
      <c r="AC288" t="s">
        <v>18</v>
      </c>
      <c r="AJ288" t="s">
        <v>59</v>
      </c>
      <c r="AO288" t="s">
        <v>60</v>
      </c>
      <c r="AT288" t="s">
        <v>18</v>
      </c>
      <c r="BA288" t="s">
        <v>59</v>
      </c>
      <c r="BF288" t="s">
        <v>60</v>
      </c>
      <c r="BK288" t="s">
        <v>18</v>
      </c>
      <c r="BR288" t="s">
        <v>59</v>
      </c>
      <c r="BW288" t="s">
        <v>60</v>
      </c>
      <c r="CB288" t="s">
        <v>18</v>
      </c>
      <c r="CH288" t="s">
        <v>23</v>
      </c>
      <c r="CK288" t="s">
        <v>27</v>
      </c>
      <c r="CN288" t="s">
        <v>8</v>
      </c>
      <c r="CV288" t="s">
        <v>5</v>
      </c>
    </row>
    <row r="289" spans="1:104" x14ac:dyDescent="0.35">
      <c r="B289" t="s">
        <v>80</v>
      </c>
      <c r="C289" t="s">
        <v>79</v>
      </c>
      <c r="D289" t="s">
        <v>78</v>
      </c>
      <c r="E289" t="s">
        <v>77</v>
      </c>
      <c r="F289" t="s">
        <v>76</v>
      </c>
      <c r="G289" t="s">
        <v>80</v>
      </c>
      <c r="H289" t="s">
        <v>79</v>
      </c>
      <c r="I289" t="s">
        <v>78</v>
      </c>
      <c r="J289" t="s">
        <v>77</v>
      </c>
      <c r="K289" t="s">
        <v>76</v>
      </c>
      <c r="L289" t="s">
        <v>80</v>
      </c>
      <c r="M289" t="s">
        <v>79</v>
      </c>
      <c r="N289" t="s">
        <v>78</v>
      </c>
      <c r="O289" t="s">
        <v>77</v>
      </c>
      <c r="P289" t="s">
        <v>76</v>
      </c>
      <c r="S289" t="s">
        <v>80</v>
      </c>
      <c r="T289" t="s">
        <v>79</v>
      </c>
      <c r="U289" t="s">
        <v>78</v>
      </c>
      <c r="V289" t="s">
        <v>77</v>
      </c>
      <c r="W289" t="s">
        <v>76</v>
      </c>
      <c r="X289" t="s">
        <v>80</v>
      </c>
      <c r="Y289" t="s">
        <v>79</v>
      </c>
      <c r="Z289" t="s">
        <v>78</v>
      </c>
      <c r="AA289" t="s">
        <v>77</v>
      </c>
      <c r="AB289" t="s">
        <v>76</v>
      </c>
      <c r="AC289" t="s">
        <v>80</v>
      </c>
      <c r="AD289" t="s">
        <v>79</v>
      </c>
      <c r="AE289" t="s">
        <v>78</v>
      </c>
      <c r="AF289" t="s">
        <v>77</v>
      </c>
      <c r="AG289" t="s">
        <v>76</v>
      </c>
      <c r="AJ289" t="s">
        <v>80</v>
      </c>
      <c r="AK289" t="s">
        <v>79</v>
      </c>
      <c r="AL289" t="s">
        <v>78</v>
      </c>
      <c r="AM289" t="s">
        <v>77</v>
      </c>
      <c r="AN289" t="s">
        <v>76</v>
      </c>
      <c r="AO289" t="s">
        <v>80</v>
      </c>
      <c r="AP289" t="s">
        <v>79</v>
      </c>
      <c r="AQ289" t="s">
        <v>78</v>
      </c>
      <c r="AR289" t="s">
        <v>77</v>
      </c>
      <c r="AS289" t="s">
        <v>76</v>
      </c>
      <c r="AT289" t="s">
        <v>80</v>
      </c>
      <c r="AU289" t="s">
        <v>79</v>
      </c>
      <c r="AV289" t="s">
        <v>78</v>
      </c>
      <c r="AW289" t="s">
        <v>77</v>
      </c>
      <c r="AX289" t="s">
        <v>76</v>
      </c>
      <c r="BA289" t="s">
        <v>80</v>
      </c>
      <c r="BB289" t="s">
        <v>79</v>
      </c>
      <c r="BC289" t="s">
        <v>78</v>
      </c>
      <c r="BD289" t="s">
        <v>77</v>
      </c>
      <c r="BE289" t="s">
        <v>76</v>
      </c>
      <c r="BF289" t="s">
        <v>80</v>
      </c>
      <c r="BG289" t="s">
        <v>79</v>
      </c>
      <c r="BH289" t="s">
        <v>78</v>
      </c>
      <c r="BI289" t="s">
        <v>77</v>
      </c>
      <c r="BJ289" t="s">
        <v>76</v>
      </c>
      <c r="BK289" t="s">
        <v>80</v>
      </c>
      <c r="BL289" t="s">
        <v>79</v>
      </c>
      <c r="BM289" t="s">
        <v>78</v>
      </c>
      <c r="BN289" t="s">
        <v>77</v>
      </c>
      <c r="BO289" t="s">
        <v>76</v>
      </c>
      <c r="BR289" t="s">
        <v>80</v>
      </c>
      <c r="BS289" t="s">
        <v>79</v>
      </c>
      <c r="BT289" t="s">
        <v>78</v>
      </c>
      <c r="BU289" t="s">
        <v>77</v>
      </c>
      <c r="BV289" t="s">
        <v>76</v>
      </c>
      <c r="BW289" t="s">
        <v>80</v>
      </c>
      <c r="BX289" t="s">
        <v>79</v>
      </c>
      <c r="BY289" t="s">
        <v>78</v>
      </c>
      <c r="BZ289" t="s">
        <v>77</v>
      </c>
      <c r="CA289" t="s">
        <v>76</v>
      </c>
      <c r="CB289" t="s">
        <v>80</v>
      </c>
      <c r="CC289" t="s">
        <v>79</v>
      </c>
      <c r="CD289" t="s">
        <v>78</v>
      </c>
      <c r="CE289" t="s">
        <v>77</v>
      </c>
      <c r="CF289" t="s">
        <v>76</v>
      </c>
      <c r="CH289" t="s">
        <v>25</v>
      </c>
      <c r="CI289" t="s">
        <v>26</v>
      </c>
      <c r="CJ289" t="s">
        <v>18</v>
      </c>
      <c r="CK289" t="s">
        <v>25</v>
      </c>
      <c r="CL289" t="s">
        <v>26</v>
      </c>
      <c r="CM289" t="s">
        <v>18</v>
      </c>
      <c r="CN289" t="s">
        <v>25</v>
      </c>
      <c r="CO289" t="s">
        <v>26</v>
      </c>
      <c r="CP289" t="s">
        <v>18</v>
      </c>
      <c r="CV289" t="s">
        <v>80</v>
      </c>
      <c r="CW289" t="s">
        <v>79</v>
      </c>
      <c r="CX289" t="s">
        <v>78</v>
      </c>
      <c r="CY289" t="s">
        <v>77</v>
      </c>
      <c r="CZ289" t="s">
        <v>76</v>
      </c>
    </row>
    <row r="290" spans="1:104" x14ac:dyDescent="0.35">
      <c r="A290" t="s">
        <v>14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R290" t="s">
        <v>14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I290" t="s">
        <v>14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Z290" t="s">
        <v>14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Q290" t="s">
        <v>14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2413.0015649336033</v>
      </c>
      <c r="BX290">
        <v>2658.7465014710956</v>
      </c>
      <c r="BY290">
        <v>2840.0717735676226</v>
      </c>
      <c r="BZ290">
        <v>3026.9761841603181</v>
      </c>
      <c r="CA290">
        <v>3249.6433208483804</v>
      </c>
      <c r="CB290">
        <v>2413.0015649336033</v>
      </c>
      <c r="CC290">
        <v>2658.7465014710956</v>
      </c>
      <c r="CD290">
        <v>2840.0717735676226</v>
      </c>
      <c r="CE290">
        <v>3026.9761841603181</v>
      </c>
      <c r="CF290">
        <v>3249.6433208483804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V290">
        <v>2413.0015649336033</v>
      </c>
      <c r="CW290">
        <v>2658.7465014710956</v>
      </c>
      <c r="CX290">
        <v>2840.0717735676226</v>
      </c>
      <c r="CY290">
        <v>3026.9761841603181</v>
      </c>
      <c r="CZ290">
        <v>3249.6433208483804</v>
      </c>
    </row>
    <row r="291" spans="1:104" x14ac:dyDescent="0.35">
      <c r="A291" t="s">
        <v>15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R291" t="s">
        <v>15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I291" t="s">
        <v>15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Z291" t="s">
        <v>15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Q291" t="s">
        <v>15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164.63874378517062</v>
      </c>
      <c r="BX291">
        <v>165.80458121542372</v>
      </c>
      <c r="BY291">
        <v>159.95296163581264</v>
      </c>
      <c r="BZ291">
        <v>150.82006999526652</v>
      </c>
      <c r="CA291">
        <v>151.14005975420099</v>
      </c>
      <c r="CB291">
        <v>164.63874378517062</v>
      </c>
      <c r="CC291">
        <v>165.80458121542372</v>
      </c>
      <c r="CD291">
        <v>159.95296163581264</v>
      </c>
      <c r="CE291">
        <v>150.82006999526652</v>
      </c>
      <c r="CF291">
        <v>151.14005975420099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V291">
        <v>164.63874378517062</v>
      </c>
      <c r="CW291">
        <v>165.80458121542372</v>
      </c>
      <c r="CX291">
        <v>159.95296163581264</v>
      </c>
      <c r="CY291">
        <v>150.82006999526652</v>
      </c>
      <c r="CZ291">
        <v>151.14005975420099</v>
      </c>
    </row>
    <row r="292" spans="1:104" x14ac:dyDescent="0.35">
      <c r="A292" t="s">
        <v>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R292" t="s">
        <v>7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I292" t="s">
        <v>7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Z292" t="s">
        <v>7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Q292" t="s">
        <v>7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80.45540620814441</v>
      </c>
      <c r="BX292">
        <v>84.893436743710978</v>
      </c>
      <c r="BY292">
        <v>86.915720781830402</v>
      </c>
      <c r="BZ292">
        <v>90.485724303309908</v>
      </c>
      <c r="CA292">
        <v>101.21635678520035</v>
      </c>
      <c r="CB292">
        <v>80.45540620814441</v>
      </c>
      <c r="CC292">
        <v>84.893436743710978</v>
      </c>
      <c r="CD292">
        <v>86.915720781830402</v>
      </c>
      <c r="CE292">
        <v>90.485724303309908</v>
      </c>
      <c r="CF292">
        <v>101.21635678520035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V292">
        <v>80.45540620814441</v>
      </c>
      <c r="CW292">
        <v>84.893436743710978</v>
      </c>
      <c r="CX292">
        <v>86.915720781830402</v>
      </c>
      <c r="CY292">
        <v>90.485724303309908</v>
      </c>
      <c r="CZ292">
        <v>101.21635678520035</v>
      </c>
    </row>
    <row r="293" spans="1:104" x14ac:dyDescent="0.35">
      <c r="A293" t="s">
        <v>17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R293" t="s">
        <v>17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I293" t="s">
        <v>17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Z293" t="s">
        <v>17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Q293" t="s">
        <v>17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12.719382451937205</v>
      </c>
      <c r="BX293">
        <v>16.900278806477825</v>
      </c>
      <c r="BY293">
        <v>16.755551403591177</v>
      </c>
      <c r="BZ293">
        <v>16.957231487347563</v>
      </c>
      <c r="CA293">
        <v>17.381471902608318</v>
      </c>
      <c r="CB293">
        <v>12.719382451937205</v>
      </c>
      <c r="CC293">
        <v>16.900278806477825</v>
      </c>
      <c r="CD293">
        <v>16.755551403591177</v>
      </c>
      <c r="CE293">
        <v>16.957231487347563</v>
      </c>
      <c r="CF293">
        <v>17.381471902608318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V293">
        <v>12.719382451937205</v>
      </c>
      <c r="CW293">
        <v>16.900278806477825</v>
      </c>
      <c r="CX293">
        <v>16.755551403591177</v>
      </c>
      <c r="CY293">
        <v>16.957231487347563</v>
      </c>
      <c r="CZ293">
        <v>17.381471902608318</v>
      </c>
    </row>
    <row r="294" spans="1:104" x14ac:dyDescent="0.35">
      <c r="A294" t="s">
        <v>18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R294" t="s">
        <v>18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I294" t="s">
        <v>18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Z294" t="s">
        <v>18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Q294" t="s">
        <v>18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2670.8150973788552</v>
      </c>
      <c r="BX294">
        <v>2926.3447982367079</v>
      </c>
      <c r="BY294">
        <v>3103.6960073888567</v>
      </c>
      <c r="BZ294">
        <v>3285.2392099462418</v>
      </c>
      <c r="CA294">
        <v>3519.38120929039</v>
      </c>
      <c r="CB294">
        <v>2670.8150973788552</v>
      </c>
      <c r="CC294">
        <v>2926.3447982367079</v>
      </c>
      <c r="CD294">
        <v>3103.6960073888567</v>
      </c>
      <c r="CE294">
        <v>3285.2392099462418</v>
      </c>
      <c r="CF294">
        <v>3519.38120929039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V294">
        <v>2670.8150973788552</v>
      </c>
      <c r="CW294">
        <v>2926.3447982367079</v>
      </c>
      <c r="CX294">
        <v>3103.6960073888567</v>
      </c>
      <c r="CY294">
        <v>3285.2392099462418</v>
      </c>
      <c r="CZ294">
        <v>3519.38120929039</v>
      </c>
    </row>
    <row r="296" spans="1:104" x14ac:dyDescent="0.35">
      <c r="B296" t="s">
        <v>74</v>
      </c>
      <c r="S296" t="s">
        <v>74</v>
      </c>
      <c r="AJ296" t="s">
        <v>74</v>
      </c>
      <c r="BA296" t="s">
        <v>74</v>
      </c>
      <c r="BR296" t="s">
        <v>74</v>
      </c>
    </row>
    <row r="297" spans="1:104" x14ac:dyDescent="0.35">
      <c r="B297" t="s">
        <v>30</v>
      </c>
      <c r="G297" t="s">
        <v>31</v>
      </c>
      <c r="L297" t="s">
        <v>32</v>
      </c>
      <c r="S297" t="s">
        <v>30</v>
      </c>
      <c r="X297" t="s">
        <v>31</v>
      </c>
      <c r="AC297" t="s">
        <v>32</v>
      </c>
      <c r="AJ297" t="s">
        <v>30</v>
      </c>
      <c r="AO297" t="s">
        <v>31</v>
      </c>
      <c r="AT297" t="s">
        <v>32</v>
      </c>
      <c r="BA297" t="s">
        <v>30</v>
      </c>
      <c r="BF297" t="s">
        <v>31</v>
      </c>
      <c r="BK297" t="s">
        <v>32</v>
      </c>
      <c r="BR297" t="s">
        <v>30</v>
      </c>
      <c r="BW297" t="s">
        <v>33</v>
      </c>
      <c r="CB297" t="s">
        <v>34</v>
      </c>
    </row>
    <row r="298" spans="1:104" x14ac:dyDescent="0.35">
      <c r="B298" t="s">
        <v>80</v>
      </c>
      <c r="C298" t="s">
        <v>79</v>
      </c>
      <c r="D298" t="s">
        <v>78</v>
      </c>
      <c r="E298" t="s">
        <v>77</v>
      </c>
      <c r="F298" t="s">
        <v>76</v>
      </c>
      <c r="G298" t="s">
        <v>80</v>
      </c>
      <c r="H298" t="s">
        <v>79</v>
      </c>
      <c r="I298" t="s">
        <v>78</v>
      </c>
      <c r="J298" t="s">
        <v>77</v>
      </c>
      <c r="K298" t="s">
        <v>76</v>
      </c>
      <c r="L298" t="s">
        <v>80</v>
      </c>
      <c r="M298" t="s">
        <v>79</v>
      </c>
      <c r="N298" t="s">
        <v>78</v>
      </c>
      <c r="O298" t="s">
        <v>77</v>
      </c>
      <c r="P298" t="s">
        <v>76</v>
      </c>
      <c r="S298" t="s">
        <v>80</v>
      </c>
      <c r="T298" t="s">
        <v>79</v>
      </c>
      <c r="U298" t="s">
        <v>78</v>
      </c>
      <c r="V298" t="s">
        <v>77</v>
      </c>
      <c r="W298" t="s">
        <v>76</v>
      </c>
      <c r="X298" t="s">
        <v>80</v>
      </c>
      <c r="Y298" t="s">
        <v>79</v>
      </c>
      <c r="Z298" t="s">
        <v>78</v>
      </c>
      <c r="AA298" t="s">
        <v>77</v>
      </c>
      <c r="AB298" t="s">
        <v>76</v>
      </c>
      <c r="AC298" t="s">
        <v>80</v>
      </c>
      <c r="AD298" t="s">
        <v>79</v>
      </c>
      <c r="AE298" t="s">
        <v>78</v>
      </c>
      <c r="AF298" t="s">
        <v>77</v>
      </c>
      <c r="AG298" t="s">
        <v>76</v>
      </c>
      <c r="AJ298" t="s">
        <v>80</v>
      </c>
      <c r="AK298" t="s">
        <v>79</v>
      </c>
      <c r="AL298" t="s">
        <v>78</v>
      </c>
      <c r="AM298" t="s">
        <v>77</v>
      </c>
      <c r="AN298" t="s">
        <v>76</v>
      </c>
      <c r="AO298" t="s">
        <v>80</v>
      </c>
      <c r="AP298" t="s">
        <v>79</v>
      </c>
      <c r="AQ298" t="s">
        <v>78</v>
      </c>
      <c r="AR298" t="s">
        <v>77</v>
      </c>
      <c r="AS298" t="s">
        <v>76</v>
      </c>
      <c r="AT298" t="s">
        <v>80</v>
      </c>
      <c r="AU298" t="s">
        <v>79</v>
      </c>
      <c r="AV298" t="s">
        <v>78</v>
      </c>
      <c r="AW298" t="s">
        <v>77</v>
      </c>
      <c r="AX298" t="s">
        <v>76</v>
      </c>
      <c r="BA298" t="s">
        <v>80</v>
      </c>
      <c r="BB298" t="s">
        <v>79</v>
      </c>
      <c r="BC298" t="s">
        <v>78</v>
      </c>
      <c r="BD298" t="s">
        <v>77</v>
      </c>
      <c r="BE298" t="s">
        <v>76</v>
      </c>
      <c r="BF298" t="s">
        <v>80</v>
      </c>
      <c r="BG298" t="s">
        <v>79</v>
      </c>
      <c r="BH298" t="s">
        <v>78</v>
      </c>
      <c r="BI298" t="s">
        <v>77</v>
      </c>
      <c r="BJ298" t="s">
        <v>76</v>
      </c>
      <c r="BK298" t="s">
        <v>80</v>
      </c>
      <c r="BL298" t="s">
        <v>79</v>
      </c>
      <c r="BM298" t="s">
        <v>78</v>
      </c>
      <c r="BN298" t="s">
        <v>77</v>
      </c>
      <c r="BO298" t="s">
        <v>76</v>
      </c>
      <c r="BR298" t="s">
        <v>80</v>
      </c>
      <c r="BS298" t="s">
        <v>79</v>
      </c>
      <c r="BT298" t="s">
        <v>78</v>
      </c>
      <c r="BU298" t="s">
        <v>77</v>
      </c>
      <c r="BV298" t="s">
        <v>76</v>
      </c>
      <c r="BW298" t="s">
        <v>80</v>
      </c>
      <c r="BX298" t="s">
        <v>79</v>
      </c>
      <c r="BY298" t="s">
        <v>78</v>
      </c>
      <c r="BZ298" t="s">
        <v>77</v>
      </c>
      <c r="CA298" t="s">
        <v>76</v>
      </c>
      <c r="CB298" t="s">
        <v>80</v>
      </c>
      <c r="CC298" t="s">
        <v>79</v>
      </c>
      <c r="CD298" t="s">
        <v>78</v>
      </c>
      <c r="CE298" t="s">
        <v>77</v>
      </c>
      <c r="CF298" t="s">
        <v>76</v>
      </c>
    </row>
    <row r="299" spans="1:104" x14ac:dyDescent="0.35">
      <c r="A299" t="s">
        <v>14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R299" t="s">
        <v>14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I299" t="s">
        <v>14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Z299" t="s">
        <v>14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Q299" t="s">
        <v>14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</row>
    <row r="300" spans="1:104" x14ac:dyDescent="0.35">
      <c r="A300" t="s">
        <v>15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R300" t="s">
        <v>15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I300" t="s">
        <v>15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Z300" t="s">
        <v>15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Q300" t="s">
        <v>15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</row>
    <row r="301" spans="1:104" x14ac:dyDescent="0.35">
      <c r="A301" t="s">
        <v>7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R301" t="s">
        <v>7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I301" t="s">
        <v>7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Z301" t="s">
        <v>7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Q301" t="s">
        <v>7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</row>
    <row r="302" spans="1:104" x14ac:dyDescent="0.35">
      <c r="A302" t="s">
        <v>17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R302" t="s">
        <v>17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I302" t="s">
        <v>17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Z302" t="s">
        <v>17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Q302" t="s">
        <v>17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</row>
    <row r="303" spans="1:104" x14ac:dyDescent="0.35">
      <c r="A303" t="s">
        <v>18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R303" t="s">
        <v>18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I303" t="s">
        <v>18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Z303" t="s">
        <v>18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Q303" t="s">
        <v>18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</row>
    <row r="305" spans="1:91" x14ac:dyDescent="0.35">
      <c r="B305" t="s">
        <v>74</v>
      </c>
      <c r="S305" t="s">
        <v>74</v>
      </c>
      <c r="AJ305" t="s">
        <v>74</v>
      </c>
      <c r="BA305" t="s">
        <v>74</v>
      </c>
      <c r="BR305" t="s">
        <v>74</v>
      </c>
    </row>
    <row r="306" spans="1:91" x14ac:dyDescent="0.35">
      <c r="B306" t="s">
        <v>35</v>
      </c>
      <c r="G306" t="s">
        <v>36</v>
      </c>
      <c r="L306" t="s">
        <v>37</v>
      </c>
      <c r="S306" t="s">
        <v>35</v>
      </c>
      <c r="X306" t="s">
        <v>36</v>
      </c>
      <c r="AC306" t="s">
        <v>37</v>
      </c>
      <c r="AJ306" t="s">
        <v>35</v>
      </c>
      <c r="AO306" t="s">
        <v>36</v>
      </c>
      <c r="AT306" t="s">
        <v>37</v>
      </c>
      <c r="BA306" t="s">
        <v>35</v>
      </c>
      <c r="BF306" t="s">
        <v>36</v>
      </c>
      <c r="BK306" t="s">
        <v>37</v>
      </c>
      <c r="BR306" t="s">
        <v>35</v>
      </c>
      <c r="BW306" t="s">
        <v>36</v>
      </c>
      <c r="CB306" t="s">
        <v>37</v>
      </c>
      <c r="CH306" t="s">
        <v>38</v>
      </c>
    </row>
    <row r="307" spans="1:91" x14ac:dyDescent="0.35">
      <c r="B307" t="s">
        <v>80</v>
      </c>
      <c r="C307" t="s">
        <v>79</v>
      </c>
      <c r="D307" t="s">
        <v>78</v>
      </c>
      <c r="E307" t="s">
        <v>77</v>
      </c>
      <c r="F307" t="s">
        <v>76</v>
      </c>
      <c r="G307" t="s">
        <v>80</v>
      </c>
      <c r="H307" t="s">
        <v>79</v>
      </c>
      <c r="I307" t="s">
        <v>78</v>
      </c>
      <c r="J307" t="s">
        <v>77</v>
      </c>
      <c r="K307" t="s">
        <v>76</v>
      </c>
      <c r="L307" t="s">
        <v>80</v>
      </c>
      <c r="M307" t="s">
        <v>79</v>
      </c>
      <c r="N307" t="s">
        <v>78</v>
      </c>
      <c r="O307" t="s">
        <v>77</v>
      </c>
      <c r="P307" t="s">
        <v>76</v>
      </c>
      <c r="S307" t="s">
        <v>80</v>
      </c>
      <c r="T307" t="s">
        <v>79</v>
      </c>
      <c r="U307" t="s">
        <v>78</v>
      </c>
      <c r="V307" t="s">
        <v>77</v>
      </c>
      <c r="W307" t="s">
        <v>76</v>
      </c>
      <c r="X307" t="s">
        <v>80</v>
      </c>
      <c r="Y307" t="s">
        <v>79</v>
      </c>
      <c r="Z307" t="s">
        <v>78</v>
      </c>
      <c r="AA307" t="s">
        <v>77</v>
      </c>
      <c r="AB307" t="s">
        <v>76</v>
      </c>
      <c r="AC307" t="s">
        <v>80</v>
      </c>
      <c r="AD307" t="s">
        <v>79</v>
      </c>
      <c r="AE307" t="s">
        <v>78</v>
      </c>
      <c r="AF307" t="s">
        <v>77</v>
      </c>
      <c r="AG307" t="s">
        <v>76</v>
      </c>
      <c r="AJ307" t="s">
        <v>80</v>
      </c>
      <c r="AK307" t="s">
        <v>79</v>
      </c>
      <c r="AL307" t="s">
        <v>78</v>
      </c>
      <c r="AM307" t="s">
        <v>77</v>
      </c>
      <c r="AN307" t="s">
        <v>76</v>
      </c>
      <c r="AO307" t="s">
        <v>80</v>
      </c>
      <c r="AP307" t="s">
        <v>79</v>
      </c>
      <c r="AQ307" t="s">
        <v>78</v>
      </c>
      <c r="AR307" t="s">
        <v>77</v>
      </c>
      <c r="AS307" t="s">
        <v>76</v>
      </c>
      <c r="AT307" t="s">
        <v>80</v>
      </c>
      <c r="AU307" t="s">
        <v>79</v>
      </c>
      <c r="AV307" t="s">
        <v>78</v>
      </c>
      <c r="AW307" t="s">
        <v>77</v>
      </c>
      <c r="AX307" t="s">
        <v>76</v>
      </c>
      <c r="BA307" t="s">
        <v>80</v>
      </c>
      <c r="BB307" t="s">
        <v>79</v>
      </c>
      <c r="BC307" t="s">
        <v>78</v>
      </c>
      <c r="BD307" t="s">
        <v>77</v>
      </c>
      <c r="BE307" t="s">
        <v>76</v>
      </c>
      <c r="BF307" t="s">
        <v>80</v>
      </c>
      <c r="BG307" t="s">
        <v>79</v>
      </c>
      <c r="BH307" t="s">
        <v>78</v>
      </c>
      <c r="BI307" t="s">
        <v>77</v>
      </c>
      <c r="BJ307" t="s">
        <v>76</v>
      </c>
      <c r="BK307" t="s">
        <v>80</v>
      </c>
      <c r="BL307" t="s">
        <v>79</v>
      </c>
      <c r="BM307" t="s">
        <v>78</v>
      </c>
      <c r="BN307" t="s">
        <v>77</v>
      </c>
      <c r="BO307" t="s">
        <v>76</v>
      </c>
      <c r="BR307" t="s">
        <v>80</v>
      </c>
      <c r="BS307" t="s">
        <v>79</v>
      </c>
      <c r="BT307" t="s">
        <v>78</v>
      </c>
      <c r="BU307" t="s">
        <v>77</v>
      </c>
      <c r="BV307" t="s">
        <v>76</v>
      </c>
      <c r="BW307" t="s">
        <v>80</v>
      </c>
      <c r="BX307" t="s">
        <v>79</v>
      </c>
      <c r="BY307" t="s">
        <v>78</v>
      </c>
      <c r="BZ307" t="s">
        <v>77</v>
      </c>
      <c r="CA307" t="s">
        <v>76</v>
      </c>
      <c r="CB307" t="s">
        <v>80</v>
      </c>
      <c r="CC307" t="s">
        <v>79</v>
      </c>
      <c r="CD307" t="s">
        <v>78</v>
      </c>
      <c r="CE307" t="s">
        <v>77</v>
      </c>
      <c r="CF307" t="s">
        <v>76</v>
      </c>
      <c r="CH307" t="s">
        <v>36</v>
      </c>
    </row>
    <row r="308" spans="1:91" x14ac:dyDescent="0.35">
      <c r="A308" t="s">
        <v>14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R308" t="s">
        <v>14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I308" t="s">
        <v>14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Z308" t="s">
        <v>14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Q308" t="s">
        <v>14</v>
      </c>
      <c r="BW308">
        <v>0</v>
      </c>
      <c r="BX308">
        <v>0</v>
      </c>
      <c r="BY308">
        <v>0</v>
      </c>
      <c r="BZ308">
        <v>0</v>
      </c>
      <c r="CA308">
        <v>0</v>
      </c>
      <c r="CH308">
        <v>0</v>
      </c>
    </row>
    <row r="309" spans="1:91" x14ac:dyDescent="0.35">
      <c r="A309" t="s">
        <v>15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R309" t="s">
        <v>15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I309" t="s">
        <v>15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Z309" t="s">
        <v>15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Q309" t="s">
        <v>15</v>
      </c>
      <c r="BW309">
        <v>0</v>
      </c>
      <c r="BX309">
        <v>0</v>
      </c>
      <c r="BY309">
        <v>0</v>
      </c>
      <c r="BZ309">
        <v>0</v>
      </c>
      <c r="CA309">
        <v>0</v>
      </c>
      <c r="CH309">
        <v>0</v>
      </c>
    </row>
    <row r="310" spans="1:91" x14ac:dyDescent="0.35">
      <c r="A310" t="s">
        <v>7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R310" t="s">
        <v>7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I310" t="s">
        <v>7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Z310" t="s">
        <v>7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Q310" t="s">
        <v>7</v>
      </c>
      <c r="BW310">
        <v>0</v>
      </c>
      <c r="BX310">
        <v>0</v>
      </c>
      <c r="BY310">
        <v>0</v>
      </c>
      <c r="BZ310">
        <v>0</v>
      </c>
      <c r="CA310">
        <v>0</v>
      </c>
      <c r="CH310">
        <v>0</v>
      </c>
    </row>
    <row r="311" spans="1:91" x14ac:dyDescent="0.35">
      <c r="A311" t="s">
        <v>17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R311" t="s">
        <v>17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I311" t="s">
        <v>17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Z311" t="s">
        <v>17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Q311" t="s">
        <v>17</v>
      </c>
      <c r="BW311">
        <v>0</v>
      </c>
      <c r="BX311">
        <v>0</v>
      </c>
      <c r="BY311">
        <v>0</v>
      </c>
      <c r="BZ311">
        <v>0</v>
      </c>
      <c r="CA311">
        <v>0</v>
      </c>
      <c r="CH311">
        <v>0</v>
      </c>
    </row>
    <row r="312" spans="1:91" x14ac:dyDescent="0.35">
      <c r="A312" t="s">
        <v>18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R312" t="s">
        <v>18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I312" t="s">
        <v>18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Z312" t="s">
        <v>18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Q312" t="s">
        <v>18</v>
      </c>
      <c r="BW312">
        <v>0</v>
      </c>
      <c r="BX312">
        <v>0</v>
      </c>
      <c r="BY312">
        <v>0</v>
      </c>
      <c r="BZ312">
        <v>0</v>
      </c>
      <c r="CA312">
        <v>0</v>
      </c>
      <c r="CH312">
        <v>0</v>
      </c>
    </row>
    <row r="316" spans="1:91" x14ac:dyDescent="0.35">
      <c r="B316" t="s">
        <v>75</v>
      </c>
      <c r="S316" t="s">
        <v>75</v>
      </c>
      <c r="AJ316" t="s">
        <v>75</v>
      </c>
      <c r="BA316" t="s">
        <v>75</v>
      </c>
      <c r="BR316" t="s">
        <v>75</v>
      </c>
      <c r="CH316" t="s">
        <v>39</v>
      </c>
    </row>
    <row r="317" spans="1:91" x14ac:dyDescent="0.35">
      <c r="B317" t="s">
        <v>62</v>
      </c>
      <c r="G317" t="s">
        <v>63</v>
      </c>
      <c r="S317" t="s">
        <v>62</v>
      </c>
      <c r="X317" t="s">
        <v>63</v>
      </c>
      <c r="AJ317" t="s">
        <v>62</v>
      </c>
      <c r="AO317" t="s">
        <v>63</v>
      </c>
      <c r="BA317" t="s">
        <v>62</v>
      </c>
      <c r="BF317" t="s">
        <v>63</v>
      </c>
      <c r="BR317" t="s">
        <v>62</v>
      </c>
      <c r="BW317" t="s">
        <v>63</v>
      </c>
      <c r="CH317" t="s">
        <v>38</v>
      </c>
    </row>
    <row r="318" spans="1:91" x14ac:dyDescent="0.35">
      <c r="B318" t="s">
        <v>80</v>
      </c>
      <c r="C318" t="s">
        <v>79</v>
      </c>
      <c r="D318" t="s">
        <v>78</v>
      </c>
      <c r="E318" t="s">
        <v>77</v>
      </c>
      <c r="F318" t="s">
        <v>76</v>
      </c>
      <c r="G318" t="s">
        <v>80</v>
      </c>
      <c r="H318" t="s">
        <v>79</v>
      </c>
      <c r="I318" t="s">
        <v>78</v>
      </c>
      <c r="J318" t="s">
        <v>77</v>
      </c>
      <c r="K318" t="s">
        <v>76</v>
      </c>
      <c r="S318" t="s">
        <v>80</v>
      </c>
      <c r="T318" t="s">
        <v>79</v>
      </c>
      <c r="U318" t="s">
        <v>78</v>
      </c>
      <c r="V318" t="s">
        <v>77</v>
      </c>
      <c r="W318" t="s">
        <v>76</v>
      </c>
      <c r="X318" t="s">
        <v>80</v>
      </c>
      <c r="Y318" t="s">
        <v>79</v>
      </c>
      <c r="Z318" t="s">
        <v>78</v>
      </c>
      <c r="AA318" t="s">
        <v>77</v>
      </c>
      <c r="AB318" t="s">
        <v>76</v>
      </c>
      <c r="AJ318" t="s">
        <v>80</v>
      </c>
      <c r="AK318" t="s">
        <v>79</v>
      </c>
      <c r="AL318" t="s">
        <v>78</v>
      </c>
      <c r="AM318" t="s">
        <v>77</v>
      </c>
      <c r="AN318" t="s">
        <v>76</v>
      </c>
      <c r="AO318" t="s">
        <v>80</v>
      </c>
      <c r="AP318" t="s">
        <v>79</v>
      </c>
      <c r="AQ318" t="s">
        <v>78</v>
      </c>
      <c r="AR318" t="s">
        <v>77</v>
      </c>
      <c r="AS318" t="s">
        <v>76</v>
      </c>
      <c r="BA318" t="s">
        <v>80</v>
      </c>
      <c r="BB318" t="s">
        <v>79</v>
      </c>
      <c r="BC318" t="s">
        <v>78</v>
      </c>
      <c r="BD318" t="s">
        <v>77</v>
      </c>
      <c r="BE318" t="s">
        <v>76</v>
      </c>
      <c r="BF318" t="s">
        <v>80</v>
      </c>
      <c r="BG318" t="s">
        <v>79</v>
      </c>
      <c r="BH318" t="s">
        <v>78</v>
      </c>
      <c r="BI318" t="s">
        <v>77</v>
      </c>
      <c r="BJ318" t="s">
        <v>76</v>
      </c>
      <c r="BR318" t="s">
        <v>80</v>
      </c>
      <c r="BS318" t="s">
        <v>79</v>
      </c>
      <c r="BT318" t="s">
        <v>78</v>
      </c>
      <c r="BU318" t="s">
        <v>77</v>
      </c>
      <c r="BV318" t="s">
        <v>76</v>
      </c>
      <c r="BW318" t="s">
        <v>80</v>
      </c>
      <c r="BX318" t="s">
        <v>79</v>
      </c>
      <c r="BY318" t="s">
        <v>78</v>
      </c>
      <c r="BZ318" t="s">
        <v>77</v>
      </c>
      <c r="CA318" t="s">
        <v>76</v>
      </c>
      <c r="CH318" t="s">
        <v>40</v>
      </c>
      <c r="CI318" t="s">
        <v>42</v>
      </c>
      <c r="CJ318" t="s">
        <v>18</v>
      </c>
      <c r="CK318" t="s">
        <v>41</v>
      </c>
      <c r="CL318" t="s">
        <v>43</v>
      </c>
      <c r="CM318" t="s">
        <v>44</v>
      </c>
    </row>
    <row r="319" spans="1:91" x14ac:dyDescent="0.35">
      <c r="A319" t="s">
        <v>14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R319" t="s">
        <v>14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I319" t="s">
        <v>14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Z319" t="s">
        <v>14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Q319" t="s">
        <v>14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</row>
    <row r="320" spans="1:91" x14ac:dyDescent="0.35">
      <c r="A320" t="s">
        <v>15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R320" t="s">
        <v>15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I320" t="s">
        <v>15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Z320" t="s">
        <v>15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Q320" t="s">
        <v>15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</row>
    <row r="321" spans="1:91" x14ac:dyDescent="0.35">
      <c r="A321" t="s">
        <v>7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R321" t="s">
        <v>7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I321" t="s">
        <v>7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Z321" t="s">
        <v>7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Q321" t="s">
        <v>7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</row>
    <row r="322" spans="1:91" x14ac:dyDescent="0.35">
      <c r="A322" t="s">
        <v>17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R322" t="s">
        <v>17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I322" t="s">
        <v>17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Z322" t="s">
        <v>17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Q322" t="s">
        <v>17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</row>
    <row r="323" spans="1:91" x14ac:dyDescent="0.35">
      <c r="A323" t="s">
        <v>18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R323" t="s">
        <v>18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I323" t="s">
        <v>18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Z323" t="s">
        <v>18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Q323" t="s">
        <v>18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</row>
    <row r="325" spans="1:91" x14ac:dyDescent="0.35">
      <c r="B325" t="s">
        <v>75</v>
      </c>
      <c r="S325" t="s">
        <v>75</v>
      </c>
      <c r="AJ325" t="s">
        <v>75</v>
      </c>
      <c r="BA325" t="s">
        <v>75</v>
      </c>
      <c r="BR325" t="s">
        <v>75</v>
      </c>
      <c r="CH325" t="s">
        <v>39</v>
      </c>
    </row>
    <row r="326" spans="1:91" x14ac:dyDescent="0.35">
      <c r="B326" t="s">
        <v>66</v>
      </c>
      <c r="G326" t="s">
        <v>67</v>
      </c>
      <c r="S326" t="s">
        <v>66</v>
      </c>
      <c r="X326" t="s">
        <v>67</v>
      </c>
      <c r="AJ326" t="s">
        <v>66</v>
      </c>
      <c r="AO326" t="s">
        <v>67</v>
      </c>
      <c r="BA326" t="s">
        <v>66</v>
      </c>
      <c r="BF326" t="s">
        <v>67</v>
      </c>
      <c r="BR326" t="s">
        <v>66</v>
      </c>
      <c r="BW326" t="s">
        <v>67</v>
      </c>
      <c r="CH326" t="s">
        <v>38</v>
      </c>
    </row>
    <row r="327" spans="1:91" x14ac:dyDescent="0.35">
      <c r="B327" t="s">
        <v>80</v>
      </c>
      <c r="C327" t="s">
        <v>79</v>
      </c>
      <c r="D327" t="s">
        <v>78</v>
      </c>
      <c r="E327" t="s">
        <v>77</v>
      </c>
      <c r="F327" t="s">
        <v>76</v>
      </c>
      <c r="G327" t="s">
        <v>80</v>
      </c>
      <c r="H327" t="s">
        <v>79</v>
      </c>
      <c r="I327" t="s">
        <v>78</v>
      </c>
      <c r="J327" t="s">
        <v>77</v>
      </c>
      <c r="K327" t="s">
        <v>76</v>
      </c>
      <c r="S327" t="s">
        <v>80</v>
      </c>
      <c r="T327" t="s">
        <v>79</v>
      </c>
      <c r="U327" t="s">
        <v>78</v>
      </c>
      <c r="V327" t="s">
        <v>77</v>
      </c>
      <c r="W327" t="s">
        <v>76</v>
      </c>
      <c r="X327" t="s">
        <v>80</v>
      </c>
      <c r="Y327" t="s">
        <v>79</v>
      </c>
      <c r="Z327" t="s">
        <v>78</v>
      </c>
      <c r="AA327" t="s">
        <v>77</v>
      </c>
      <c r="AB327" t="s">
        <v>76</v>
      </c>
      <c r="AJ327" t="s">
        <v>80</v>
      </c>
      <c r="AK327" t="s">
        <v>79</v>
      </c>
      <c r="AL327" t="s">
        <v>78</v>
      </c>
      <c r="AM327" t="s">
        <v>77</v>
      </c>
      <c r="AN327" t="s">
        <v>76</v>
      </c>
      <c r="AO327" t="s">
        <v>80</v>
      </c>
      <c r="AP327" t="s">
        <v>79</v>
      </c>
      <c r="AQ327" t="s">
        <v>78</v>
      </c>
      <c r="AR327" t="s">
        <v>77</v>
      </c>
      <c r="AS327" t="s">
        <v>76</v>
      </c>
      <c r="BA327" t="s">
        <v>80</v>
      </c>
      <c r="BB327" t="s">
        <v>79</v>
      </c>
      <c r="BC327" t="s">
        <v>78</v>
      </c>
      <c r="BD327" t="s">
        <v>77</v>
      </c>
      <c r="BE327" t="s">
        <v>76</v>
      </c>
      <c r="BF327" t="s">
        <v>80</v>
      </c>
      <c r="BG327" t="s">
        <v>79</v>
      </c>
      <c r="BH327" t="s">
        <v>78</v>
      </c>
      <c r="BI327" t="s">
        <v>77</v>
      </c>
      <c r="BJ327" t="s">
        <v>76</v>
      </c>
      <c r="BR327" t="s">
        <v>80</v>
      </c>
      <c r="BS327" t="s">
        <v>79</v>
      </c>
      <c r="BT327" t="s">
        <v>78</v>
      </c>
      <c r="BU327" t="s">
        <v>77</v>
      </c>
      <c r="BV327" t="s">
        <v>76</v>
      </c>
      <c r="BW327" t="s">
        <v>80</v>
      </c>
      <c r="BX327" t="s">
        <v>79</v>
      </c>
      <c r="BY327" t="s">
        <v>78</v>
      </c>
      <c r="BZ327" t="s">
        <v>77</v>
      </c>
      <c r="CA327" t="s">
        <v>76</v>
      </c>
      <c r="CH327" t="s">
        <v>40</v>
      </c>
      <c r="CI327" t="s">
        <v>42</v>
      </c>
      <c r="CJ327" t="s">
        <v>18</v>
      </c>
      <c r="CK327" t="s">
        <v>41</v>
      </c>
      <c r="CL327" t="s">
        <v>43</v>
      </c>
      <c r="CM327" t="s">
        <v>44</v>
      </c>
    </row>
    <row r="328" spans="1:91" x14ac:dyDescent="0.35">
      <c r="A328" t="s">
        <v>14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R328" t="s">
        <v>14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I328" t="s">
        <v>14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Z328" t="s">
        <v>14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Q328" t="s">
        <v>14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</row>
    <row r="329" spans="1:91" x14ac:dyDescent="0.35">
      <c r="A329" t="s">
        <v>15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R329" t="s">
        <v>15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I329" t="s">
        <v>15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Z329" t="s">
        <v>15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Q329" t="s">
        <v>15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</row>
    <row r="330" spans="1:91" x14ac:dyDescent="0.35">
      <c r="A330" t="s">
        <v>7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R330" t="s">
        <v>7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I330" t="s">
        <v>7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Z330" t="s">
        <v>7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Q330" t="s">
        <v>7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</row>
    <row r="331" spans="1:91" x14ac:dyDescent="0.35">
      <c r="A331" t="s">
        <v>17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R331" t="s">
        <v>17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I331" t="s">
        <v>17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Z331" t="s">
        <v>17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Q331" t="s">
        <v>17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</row>
    <row r="332" spans="1:91" x14ac:dyDescent="0.35">
      <c r="A332" t="s">
        <v>18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R332" t="s">
        <v>18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I332" t="s">
        <v>18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Z332" t="s">
        <v>18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Q332" t="s">
        <v>18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</row>
    <row r="334" spans="1:91" x14ac:dyDescent="0.35">
      <c r="B334" t="s">
        <v>75</v>
      </c>
      <c r="S334" t="s">
        <v>75</v>
      </c>
      <c r="AJ334" t="s">
        <v>75</v>
      </c>
      <c r="BA334" t="s">
        <v>75</v>
      </c>
      <c r="BR334" t="s">
        <v>75</v>
      </c>
      <c r="CH334" t="s">
        <v>39</v>
      </c>
    </row>
    <row r="335" spans="1:91" x14ac:dyDescent="0.35">
      <c r="B335" t="s">
        <v>70</v>
      </c>
      <c r="G335" t="s">
        <v>71</v>
      </c>
      <c r="S335" t="s">
        <v>70</v>
      </c>
      <c r="X335" t="s">
        <v>71</v>
      </c>
      <c r="AJ335" t="s">
        <v>70</v>
      </c>
      <c r="AO335" t="s">
        <v>71</v>
      </c>
      <c r="BA335" t="s">
        <v>70</v>
      </c>
      <c r="BF335" t="s">
        <v>71</v>
      </c>
      <c r="BR335" t="s">
        <v>70</v>
      </c>
      <c r="BW335" t="s">
        <v>71</v>
      </c>
      <c r="CH335" t="s">
        <v>38</v>
      </c>
    </row>
    <row r="336" spans="1:91" x14ac:dyDescent="0.35">
      <c r="B336" t="s">
        <v>80</v>
      </c>
      <c r="C336" t="s">
        <v>79</v>
      </c>
      <c r="D336" t="s">
        <v>78</v>
      </c>
      <c r="E336" t="s">
        <v>77</v>
      </c>
      <c r="F336" t="s">
        <v>76</v>
      </c>
      <c r="G336" t="s">
        <v>80</v>
      </c>
      <c r="H336" t="s">
        <v>79</v>
      </c>
      <c r="I336" t="s">
        <v>78</v>
      </c>
      <c r="J336" t="s">
        <v>77</v>
      </c>
      <c r="K336" t="s">
        <v>76</v>
      </c>
      <c r="S336" t="s">
        <v>80</v>
      </c>
      <c r="T336" t="s">
        <v>79</v>
      </c>
      <c r="U336" t="s">
        <v>78</v>
      </c>
      <c r="V336" t="s">
        <v>77</v>
      </c>
      <c r="W336" t="s">
        <v>76</v>
      </c>
      <c r="X336" t="s">
        <v>80</v>
      </c>
      <c r="Y336" t="s">
        <v>79</v>
      </c>
      <c r="Z336" t="s">
        <v>78</v>
      </c>
      <c r="AA336" t="s">
        <v>77</v>
      </c>
      <c r="AB336" t="s">
        <v>76</v>
      </c>
      <c r="AJ336" t="s">
        <v>80</v>
      </c>
      <c r="AK336" t="s">
        <v>79</v>
      </c>
      <c r="AL336" t="s">
        <v>78</v>
      </c>
      <c r="AM336" t="s">
        <v>77</v>
      </c>
      <c r="AN336" t="s">
        <v>76</v>
      </c>
      <c r="AO336" t="s">
        <v>80</v>
      </c>
      <c r="AP336" t="s">
        <v>79</v>
      </c>
      <c r="AQ336" t="s">
        <v>78</v>
      </c>
      <c r="AR336" t="s">
        <v>77</v>
      </c>
      <c r="AS336" t="s">
        <v>76</v>
      </c>
      <c r="BA336" t="s">
        <v>80</v>
      </c>
      <c r="BB336" t="s">
        <v>79</v>
      </c>
      <c r="BC336" t="s">
        <v>78</v>
      </c>
      <c r="BD336" t="s">
        <v>77</v>
      </c>
      <c r="BE336" t="s">
        <v>76</v>
      </c>
      <c r="BF336" t="s">
        <v>80</v>
      </c>
      <c r="BG336" t="s">
        <v>79</v>
      </c>
      <c r="BH336" t="s">
        <v>78</v>
      </c>
      <c r="BI336" t="s">
        <v>77</v>
      </c>
      <c r="BJ336" t="s">
        <v>76</v>
      </c>
      <c r="BR336" t="s">
        <v>80</v>
      </c>
      <c r="BS336" t="s">
        <v>79</v>
      </c>
      <c r="BT336" t="s">
        <v>78</v>
      </c>
      <c r="BU336" t="s">
        <v>77</v>
      </c>
      <c r="BV336" t="s">
        <v>76</v>
      </c>
      <c r="BW336" t="s">
        <v>80</v>
      </c>
      <c r="BX336" t="s">
        <v>79</v>
      </c>
      <c r="BY336" t="s">
        <v>78</v>
      </c>
      <c r="BZ336" t="s">
        <v>77</v>
      </c>
      <c r="CA336" t="s">
        <v>76</v>
      </c>
      <c r="CH336" t="s">
        <v>40</v>
      </c>
      <c r="CI336" t="s">
        <v>42</v>
      </c>
      <c r="CJ336" t="s">
        <v>18</v>
      </c>
      <c r="CK336" t="s">
        <v>41</v>
      </c>
      <c r="CL336" t="s">
        <v>43</v>
      </c>
      <c r="CM336" t="s">
        <v>44</v>
      </c>
    </row>
    <row r="337" spans="1:91" x14ac:dyDescent="0.35">
      <c r="A337" t="s">
        <v>14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R337" t="s">
        <v>14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I337" t="s">
        <v>14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Z337" t="s">
        <v>14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Q337" t="s">
        <v>14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</row>
    <row r="338" spans="1:91" x14ac:dyDescent="0.35">
      <c r="A338" t="s">
        <v>15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R338" t="s">
        <v>15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I338" t="s">
        <v>15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Z338" t="s">
        <v>15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Q338" t="s">
        <v>15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</row>
    <row r="339" spans="1:91" x14ac:dyDescent="0.35">
      <c r="A339" t="s">
        <v>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R339" t="s">
        <v>7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I339" t="s">
        <v>7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Z339" t="s">
        <v>7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Q339" t="s">
        <v>7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</row>
    <row r="340" spans="1:91" x14ac:dyDescent="0.35">
      <c r="A340" t="s">
        <v>17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R340" t="s">
        <v>17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I340" t="s">
        <v>17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Z340" t="s">
        <v>17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Q340" t="s">
        <v>17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</row>
    <row r="341" spans="1:91" x14ac:dyDescent="0.35">
      <c r="A341" t="s">
        <v>18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R341" t="s">
        <v>18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I341" t="s">
        <v>18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Z341" t="s">
        <v>18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Q341" t="s">
        <v>18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</row>
    <row r="343" spans="1:91" x14ac:dyDescent="0.35">
      <c r="B343" t="s">
        <v>75</v>
      </c>
      <c r="S343" t="s">
        <v>75</v>
      </c>
      <c r="AJ343" t="s">
        <v>75</v>
      </c>
      <c r="BA343" t="s">
        <v>75</v>
      </c>
      <c r="BR343" t="s">
        <v>75</v>
      </c>
    </row>
    <row r="344" spans="1:91" x14ac:dyDescent="0.35">
      <c r="B344" t="s">
        <v>64</v>
      </c>
      <c r="G344" t="s">
        <v>65</v>
      </c>
      <c r="S344" t="s">
        <v>64</v>
      </c>
      <c r="X344" t="s">
        <v>65</v>
      </c>
      <c r="AJ344" t="s">
        <v>64</v>
      </c>
      <c r="AO344" t="s">
        <v>65</v>
      </c>
      <c r="BA344" t="s">
        <v>64</v>
      </c>
      <c r="BF344" t="s">
        <v>65</v>
      </c>
      <c r="BR344" t="s">
        <v>64</v>
      </c>
      <c r="BW344" t="s">
        <v>65</v>
      </c>
    </row>
    <row r="345" spans="1:91" x14ac:dyDescent="0.35">
      <c r="B345" t="s">
        <v>80</v>
      </c>
      <c r="C345" t="s">
        <v>79</v>
      </c>
      <c r="D345" t="s">
        <v>78</v>
      </c>
      <c r="E345" t="s">
        <v>77</v>
      </c>
      <c r="F345" t="s">
        <v>76</v>
      </c>
      <c r="G345" t="s">
        <v>80</v>
      </c>
      <c r="H345" t="s">
        <v>79</v>
      </c>
      <c r="I345" t="s">
        <v>78</v>
      </c>
      <c r="J345" t="s">
        <v>77</v>
      </c>
      <c r="K345" t="s">
        <v>76</v>
      </c>
      <c r="S345" t="s">
        <v>80</v>
      </c>
      <c r="T345" t="s">
        <v>79</v>
      </c>
      <c r="U345" t="s">
        <v>78</v>
      </c>
      <c r="V345" t="s">
        <v>77</v>
      </c>
      <c r="W345" t="s">
        <v>76</v>
      </c>
      <c r="X345" t="s">
        <v>80</v>
      </c>
      <c r="Y345" t="s">
        <v>79</v>
      </c>
      <c r="Z345" t="s">
        <v>78</v>
      </c>
      <c r="AA345" t="s">
        <v>77</v>
      </c>
      <c r="AB345" t="s">
        <v>76</v>
      </c>
      <c r="AJ345" t="s">
        <v>80</v>
      </c>
      <c r="AK345" t="s">
        <v>79</v>
      </c>
      <c r="AL345" t="s">
        <v>78</v>
      </c>
      <c r="AM345" t="s">
        <v>77</v>
      </c>
      <c r="AN345" t="s">
        <v>76</v>
      </c>
      <c r="AO345" t="s">
        <v>80</v>
      </c>
      <c r="AP345" t="s">
        <v>79</v>
      </c>
      <c r="AQ345" t="s">
        <v>78</v>
      </c>
      <c r="AR345" t="s">
        <v>77</v>
      </c>
      <c r="AS345" t="s">
        <v>76</v>
      </c>
      <c r="BA345" t="s">
        <v>80</v>
      </c>
      <c r="BB345" t="s">
        <v>79</v>
      </c>
      <c r="BC345" t="s">
        <v>78</v>
      </c>
      <c r="BD345" t="s">
        <v>77</v>
      </c>
      <c r="BE345" t="s">
        <v>76</v>
      </c>
      <c r="BF345" t="s">
        <v>80</v>
      </c>
      <c r="BG345" t="s">
        <v>79</v>
      </c>
      <c r="BH345" t="s">
        <v>78</v>
      </c>
      <c r="BI345" t="s">
        <v>77</v>
      </c>
      <c r="BJ345" t="s">
        <v>76</v>
      </c>
      <c r="BR345" t="s">
        <v>80</v>
      </c>
      <c r="BS345" t="s">
        <v>79</v>
      </c>
      <c r="BT345" t="s">
        <v>78</v>
      </c>
      <c r="BU345" t="s">
        <v>77</v>
      </c>
      <c r="BV345" t="s">
        <v>76</v>
      </c>
      <c r="BW345" t="s">
        <v>80</v>
      </c>
      <c r="BX345" t="s">
        <v>79</v>
      </c>
      <c r="BY345" t="s">
        <v>78</v>
      </c>
      <c r="BZ345" t="s">
        <v>77</v>
      </c>
      <c r="CA345" t="s">
        <v>76</v>
      </c>
    </row>
    <row r="346" spans="1:91" x14ac:dyDescent="0.35">
      <c r="A346" t="s">
        <v>14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R346" t="s">
        <v>14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I346" t="s">
        <v>14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Z346" t="s">
        <v>14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Q346" t="s">
        <v>14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</row>
    <row r="347" spans="1:91" x14ac:dyDescent="0.35">
      <c r="A347" t="s">
        <v>15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R347" t="s">
        <v>15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I347" t="s">
        <v>15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Z347" t="s">
        <v>15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Q347" t="s">
        <v>15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</row>
    <row r="348" spans="1:91" x14ac:dyDescent="0.35">
      <c r="A348" t="s">
        <v>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R348" t="s">
        <v>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I348" t="s">
        <v>7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Z348" t="s">
        <v>7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Q348" t="s">
        <v>7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</row>
    <row r="349" spans="1:91" x14ac:dyDescent="0.35">
      <c r="A349" t="s">
        <v>17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R349" t="s">
        <v>17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I349" t="s">
        <v>17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Z349" t="s">
        <v>17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Q349" t="s">
        <v>17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</row>
    <row r="350" spans="1:91" x14ac:dyDescent="0.35">
      <c r="A350" t="s">
        <v>18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R350" t="s">
        <v>18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I350" t="s">
        <v>18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Z350" t="s">
        <v>18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Q350" t="s">
        <v>18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</row>
    <row r="352" spans="1:91" x14ac:dyDescent="0.35">
      <c r="B352" t="s">
        <v>75</v>
      </c>
      <c r="S352" t="s">
        <v>75</v>
      </c>
      <c r="AJ352" t="s">
        <v>75</v>
      </c>
      <c r="BA352" t="s">
        <v>75</v>
      </c>
      <c r="BR352" t="s">
        <v>75</v>
      </c>
    </row>
    <row r="353" spans="1:104" x14ac:dyDescent="0.35">
      <c r="B353" t="s">
        <v>68</v>
      </c>
      <c r="G353" t="s">
        <v>69</v>
      </c>
      <c r="S353" t="s">
        <v>68</v>
      </c>
      <c r="X353" t="s">
        <v>69</v>
      </c>
      <c r="AJ353" t="s">
        <v>68</v>
      </c>
      <c r="AO353" t="s">
        <v>69</v>
      </c>
      <c r="BA353" t="s">
        <v>68</v>
      </c>
      <c r="BF353" t="s">
        <v>69</v>
      </c>
      <c r="BR353" t="s">
        <v>68</v>
      </c>
      <c r="BW353" t="s">
        <v>69</v>
      </c>
    </row>
    <row r="354" spans="1:104" x14ac:dyDescent="0.35">
      <c r="B354" t="s">
        <v>80</v>
      </c>
      <c r="C354" t="s">
        <v>79</v>
      </c>
      <c r="D354" t="s">
        <v>78</v>
      </c>
      <c r="E354" t="s">
        <v>77</v>
      </c>
      <c r="F354" t="s">
        <v>76</v>
      </c>
      <c r="G354" t="s">
        <v>80</v>
      </c>
      <c r="H354" t="s">
        <v>79</v>
      </c>
      <c r="I354" t="s">
        <v>78</v>
      </c>
      <c r="J354" t="s">
        <v>77</v>
      </c>
      <c r="K354" t="s">
        <v>76</v>
      </c>
      <c r="S354" t="s">
        <v>80</v>
      </c>
      <c r="T354" t="s">
        <v>79</v>
      </c>
      <c r="U354" t="s">
        <v>78</v>
      </c>
      <c r="V354" t="s">
        <v>77</v>
      </c>
      <c r="W354" t="s">
        <v>76</v>
      </c>
      <c r="X354" t="s">
        <v>80</v>
      </c>
      <c r="Y354" t="s">
        <v>79</v>
      </c>
      <c r="Z354" t="s">
        <v>78</v>
      </c>
      <c r="AA354" t="s">
        <v>77</v>
      </c>
      <c r="AB354" t="s">
        <v>76</v>
      </c>
      <c r="AJ354" t="s">
        <v>80</v>
      </c>
      <c r="AK354" t="s">
        <v>79</v>
      </c>
      <c r="AL354" t="s">
        <v>78</v>
      </c>
      <c r="AM354" t="s">
        <v>77</v>
      </c>
      <c r="AN354" t="s">
        <v>76</v>
      </c>
      <c r="AO354" t="s">
        <v>80</v>
      </c>
      <c r="AP354" t="s">
        <v>79</v>
      </c>
      <c r="AQ354" t="s">
        <v>78</v>
      </c>
      <c r="AR354" t="s">
        <v>77</v>
      </c>
      <c r="AS354" t="s">
        <v>76</v>
      </c>
      <c r="BA354" t="s">
        <v>80</v>
      </c>
      <c r="BB354" t="s">
        <v>79</v>
      </c>
      <c r="BC354" t="s">
        <v>78</v>
      </c>
      <c r="BD354" t="s">
        <v>77</v>
      </c>
      <c r="BE354" t="s">
        <v>76</v>
      </c>
      <c r="BF354" t="s">
        <v>80</v>
      </c>
      <c r="BG354" t="s">
        <v>79</v>
      </c>
      <c r="BH354" t="s">
        <v>78</v>
      </c>
      <c r="BI354" t="s">
        <v>77</v>
      </c>
      <c r="BJ354" t="s">
        <v>76</v>
      </c>
      <c r="BR354" t="s">
        <v>80</v>
      </c>
      <c r="BS354" t="s">
        <v>79</v>
      </c>
      <c r="BT354" t="s">
        <v>78</v>
      </c>
      <c r="BU354" t="s">
        <v>77</v>
      </c>
      <c r="BV354" t="s">
        <v>76</v>
      </c>
      <c r="BW354" t="s">
        <v>80</v>
      </c>
      <c r="BX354" t="s">
        <v>79</v>
      </c>
      <c r="BY354" t="s">
        <v>78</v>
      </c>
      <c r="BZ354" t="s">
        <v>77</v>
      </c>
      <c r="CA354" t="s">
        <v>76</v>
      </c>
    </row>
    <row r="355" spans="1:104" x14ac:dyDescent="0.35">
      <c r="A355" t="s">
        <v>14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R355" t="s">
        <v>14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I355" t="s">
        <v>14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Z355" t="s">
        <v>14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Q355" t="s">
        <v>14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</row>
    <row r="356" spans="1:104" x14ac:dyDescent="0.35">
      <c r="A356" t="s">
        <v>15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R356" t="s">
        <v>15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I356" t="s">
        <v>15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Z356" t="s">
        <v>15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Q356" t="s">
        <v>15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</row>
    <row r="357" spans="1:104" x14ac:dyDescent="0.35">
      <c r="A357" t="s">
        <v>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R357" t="s">
        <v>7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I357" t="s">
        <v>7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Z357" t="s">
        <v>7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Q357" t="s">
        <v>7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</row>
    <row r="358" spans="1:104" x14ac:dyDescent="0.35">
      <c r="A358" t="s">
        <v>17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R358" t="s">
        <v>17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I358" t="s">
        <v>17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Z358" t="s">
        <v>17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Q358" t="s">
        <v>17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</row>
    <row r="359" spans="1:104" x14ac:dyDescent="0.35">
      <c r="A359" t="s">
        <v>18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R359" t="s">
        <v>18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I359" t="s">
        <v>18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Z359" t="s">
        <v>18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Q359" t="s">
        <v>18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</row>
    <row r="361" spans="1:104" x14ac:dyDescent="0.35">
      <c r="B361" t="s">
        <v>75</v>
      </c>
      <c r="S361" t="s">
        <v>75</v>
      </c>
      <c r="AJ361" t="s">
        <v>75</v>
      </c>
      <c r="BA361" t="s">
        <v>75</v>
      </c>
      <c r="BR361" t="s">
        <v>75</v>
      </c>
      <c r="CV361" t="s">
        <v>45</v>
      </c>
    </row>
    <row r="362" spans="1:104" x14ac:dyDescent="0.35">
      <c r="B362" t="s">
        <v>72</v>
      </c>
      <c r="G362" t="s">
        <v>73</v>
      </c>
      <c r="S362" t="s">
        <v>72</v>
      </c>
      <c r="X362" t="s">
        <v>73</v>
      </c>
      <c r="AJ362" t="s">
        <v>72</v>
      </c>
      <c r="AO362" t="s">
        <v>73</v>
      </c>
      <c r="BA362" t="s">
        <v>72</v>
      </c>
      <c r="BF362" t="s">
        <v>73</v>
      </c>
      <c r="BR362" t="s">
        <v>72</v>
      </c>
      <c r="BW362" t="s">
        <v>73</v>
      </c>
      <c r="CV362" t="s">
        <v>5</v>
      </c>
    </row>
    <row r="363" spans="1:104" x14ac:dyDescent="0.35">
      <c r="B363" t="s">
        <v>80</v>
      </c>
      <c r="C363" t="s">
        <v>79</v>
      </c>
      <c r="D363" t="s">
        <v>78</v>
      </c>
      <c r="E363" t="s">
        <v>77</v>
      </c>
      <c r="F363" t="s">
        <v>76</v>
      </c>
      <c r="G363" t="s">
        <v>80</v>
      </c>
      <c r="H363" t="s">
        <v>79</v>
      </c>
      <c r="I363" t="s">
        <v>78</v>
      </c>
      <c r="J363" t="s">
        <v>77</v>
      </c>
      <c r="K363" t="s">
        <v>76</v>
      </c>
      <c r="S363" t="s">
        <v>80</v>
      </c>
      <c r="T363" t="s">
        <v>79</v>
      </c>
      <c r="U363" t="s">
        <v>78</v>
      </c>
      <c r="V363" t="s">
        <v>77</v>
      </c>
      <c r="W363" t="s">
        <v>76</v>
      </c>
      <c r="X363" t="s">
        <v>80</v>
      </c>
      <c r="Y363" t="s">
        <v>79</v>
      </c>
      <c r="Z363" t="s">
        <v>78</v>
      </c>
      <c r="AA363" t="s">
        <v>77</v>
      </c>
      <c r="AB363" t="s">
        <v>76</v>
      </c>
      <c r="AJ363" t="s">
        <v>80</v>
      </c>
      <c r="AK363" t="s">
        <v>79</v>
      </c>
      <c r="AL363" t="s">
        <v>78</v>
      </c>
      <c r="AM363" t="s">
        <v>77</v>
      </c>
      <c r="AN363" t="s">
        <v>76</v>
      </c>
      <c r="AO363" t="s">
        <v>80</v>
      </c>
      <c r="AP363" t="s">
        <v>79</v>
      </c>
      <c r="AQ363" t="s">
        <v>78</v>
      </c>
      <c r="AR363" t="s">
        <v>77</v>
      </c>
      <c r="AS363" t="s">
        <v>76</v>
      </c>
      <c r="BA363" t="s">
        <v>80</v>
      </c>
      <c r="BB363" t="s">
        <v>79</v>
      </c>
      <c r="BC363" t="s">
        <v>78</v>
      </c>
      <c r="BD363" t="s">
        <v>77</v>
      </c>
      <c r="BE363" t="s">
        <v>76</v>
      </c>
      <c r="BF363" t="s">
        <v>80</v>
      </c>
      <c r="BG363" t="s">
        <v>79</v>
      </c>
      <c r="BH363" t="s">
        <v>78</v>
      </c>
      <c r="BI363" t="s">
        <v>77</v>
      </c>
      <c r="BJ363" t="s">
        <v>76</v>
      </c>
      <c r="BR363" t="s">
        <v>80</v>
      </c>
      <c r="BS363" t="s">
        <v>79</v>
      </c>
      <c r="BT363" t="s">
        <v>78</v>
      </c>
      <c r="BU363" t="s">
        <v>77</v>
      </c>
      <c r="BV363" t="s">
        <v>76</v>
      </c>
      <c r="BW363" t="s">
        <v>80</v>
      </c>
      <c r="BX363" t="s">
        <v>79</v>
      </c>
      <c r="BY363" t="s">
        <v>78</v>
      </c>
      <c r="BZ363" t="s">
        <v>77</v>
      </c>
      <c r="CA363" t="s">
        <v>76</v>
      </c>
      <c r="CV363" t="s">
        <v>80</v>
      </c>
      <c r="CW363" t="s">
        <v>79</v>
      </c>
      <c r="CX363" t="s">
        <v>78</v>
      </c>
      <c r="CY363" t="s">
        <v>77</v>
      </c>
      <c r="CZ363" t="s">
        <v>76</v>
      </c>
    </row>
    <row r="364" spans="1:104" x14ac:dyDescent="0.35">
      <c r="A364" t="s">
        <v>14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R364" t="s">
        <v>14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I364" t="s">
        <v>14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Z364" t="s">
        <v>14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Q364" t="s">
        <v>14</v>
      </c>
      <c r="BR364">
        <v>3263516.5756999999</v>
      </c>
      <c r="BS364">
        <v>3690961.0502999998</v>
      </c>
      <c r="BT364">
        <v>4100306.5724999998</v>
      </c>
      <c r="BU364">
        <v>4523879.4648000002</v>
      </c>
      <c r="BV364">
        <v>4991891.4518999998</v>
      </c>
      <c r="BW364">
        <v>1352.4718</v>
      </c>
      <c r="BX364">
        <v>1388.2335</v>
      </c>
      <c r="BY364">
        <v>1443.7334000000001</v>
      </c>
      <c r="BZ364">
        <v>1494.521</v>
      </c>
      <c r="CA364">
        <v>1536.1351999999999</v>
      </c>
      <c r="CV364">
        <v>3263516.5756999999</v>
      </c>
      <c r="CW364">
        <v>3690961.0502999998</v>
      </c>
      <c r="CX364">
        <v>4100306.5724999998</v>
      </c>
      <c r="CY364">
        <v>4523879.4648000002</v>
      </c>
      <c r="CZ364">
        <v>4991891.4518999998</v>
      </c>
    </row>
    <row r="365" spans="1:104" x14ac:dyDescent="0.35">
      <c r="A365" t="s">
        <v>15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R365" t="s">
        <v>15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I365" t="s">
        <v>15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Z365" t="s">
        <v>15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Q365" t="s">
        <v>15</v>
      </c>
      <c r="BR365">
        <v>222208.7524</v>
      </c>
      <c r="BS365">
        <v>251287.85819999999</v>
      </c>
      <c r="BT365">
        <v>270854.07390000002</v>
      </c>
      <c r="BU365">
        <v>280939.1923</v>
      </c>
      <c r="BV365">
        <v>286766.97730000003</v>
      </c>
      <c r="BW365">
        <v>1349.6747</v>
      </c>
      <c r="BX365">
        <v>1515.5663999999999</v>
      </c>
      <c r="BY365">
        <v>1693.3358000000001</v>
      </c>
      <c r="BZ365">
        <v>1862.7440999999999</v>
      </c>
      <c r="CA365">
        <v>1897.3592000000001</v>
      </c>
      <c r="CV365">
        <v>222208.7524</v>
      </c>
      <c r="CW365">
        <v>251287.85819999999</v>
      </c>
      <c r="CX365">
        <v>270854.07390000002</v>
      </c>
      <c r="CY365">
        <v>280939.1923</v>
      </c>
      <c r="CZ365">
        <v>286766.97730000003</v>
      </c>
    </row>
    <row r="366" spans="1:104" x14ac:dyDescent="0.35">
      <c r="A366" t="s">
        <v>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R366" t="s">
        <v>7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I366" t="s">
        <v>7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Z366" t="s">
        <v>7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Q366" t="s">
        <v>7</v>
      </c>
      <c r="BR366">
        <v>136892.61660000001</v>
      </c>
      <c r="BS366">
        <v>150683.0772</v>
      </c>
      <c r="BT366">
        <v>170794.5698</v>
      </c>
      <c r="BU366">
        <v>190597.60060000001</v>
      </c>
      <c r="BV366">
        <v>215851.3425</v>
      </c>
      <c r="BW366">
        <v>1701.4719</v>
      </c>
      <c r="BX366">
        <v>1774.9673</v>
      </c>
      <c r="BY366">
        <v>1965.0596</v>
      </c>
      <c r="BZ366">
        <v>2106.3831</v>
      </c>
      <c r="CA366">
        <v>2132.5736999999999</v>
      </c>
      <c r="CV366">
        <v>136892.61660000001</v>
      </c>
      <c r="CW366">
        <v>150683.0772</v>
      </c>
      <c r="CX366">
        <v>170794.5698</v>
      </c>
      <c r="CY366">
        <v>190597.60060000001</v>
      </c>
      <c r="CZ366">
        <v>215851.3425</v>
      </c>
    </row>
    <row r="367" spans="1:104" x14ac:dyDescent="0.35">
      <c r="A367" t="s">
        <v>17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R367" t="s">
        <v>17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I367" t="s">
        <v>17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Z367" t="s">
        <v>17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Q367" t="s">
        <v>17</v>
      </c>
      <c r="BR367">
        <v>198246.58720000001</v>
      </c>
      <c r="BS367">
        <v>269102.66450000001</v>
      </c>
      <c r="BT367">
        <v>277329.05709999998</v>
      </c>
      <c r="BU367">
        <v>292257.43560000003</v>
      </c>
      <c r="BV367">
        <v>312092.84419999999</v>
      </c>
      <c r="BW367">
        <v>15586.180200000001</v>
      </c>
      <c r="BX367">
        <v>15922.9719</v>
      </c>
      <c r="BY367">
        <v>16551.473000000002</v>
      </c>
      <c r="BZ367">
        <v>17234.9735</v>
      </c>
      <c r="CA367">
        <v>17955.490000000002</v>
      </c>
      <c r="CV367">
        <v>198246.58720000001</v>
      </c>
      <c r="CW367">
        <v>269102.66450000001</v>
      </c>
      <c r="CX367">
        <v>277329.05709999998</v>
      </c>
      <c r="CY367">
        <v>292257.43560000003</v>
      </c>
      <c r="CZ367">
        <v>312092.84419999999</v>
      </c>
    </row>
    <row r="368" spans="1:104" x14ac:dyDescent="0.35">
      <c r="A368" t="s">
        <v>18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R368" t="s">
        <v>18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I368" t="s">
        <v>18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Z368" t="s">
        <v>18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Q368" t="s">
        <v>18</v>
      </c>
      <c r="BR368">
        <v>3820864.5318999998</v>
      </c>
      <c r="BS368">
        <v>4362034.6502</v>
      </c>
      <c r="BT368">
        <v>4819284.2734000003</v>
      </c>
      <c r="BU368">
        <v>5287673.6933000004</v>
      </c>
      <c r="BV368">
        <v>5806602.6158999996</v>
      </c>
      <c r="BW368">
        <v>1430.5987</v>
      </c>
      <c r="BX368">
        <v>1490.6086</v>
      </c>
      <c r="BY368">
        <v>1552.7565</v>
      </c>
      <c r="BZ368">
        <v>1609.5246999999999</v>
      </c>
      <c r="CA368">
        <v>1649.8931</v>
      </c>
      <c r="CV368">
        <v>3820864.5318999998</v>
      </c>
      <c r="CW368">
        <v>4362034.6502</v>
      </c>
      <c r="CX368">
        <v>4819284.2734000003</v>
      </c>
      <c r="CY368">
        <v>5287673.6933000004</v>
      </c>
      <c r="CZ368">
        <v>5806602.6158999996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F55AA8-5E9E-43D3-85C1-A2C400F388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Rate Build-up</vt:lpstr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2025-12-16T05:36:05Z</dcterms:created>
  <dcterms:modified xsi:type="dcterms:W3CDTF">2025-12-18T07:12:25Z</dcterms:modified>
</cp:coreProperties>
</file>